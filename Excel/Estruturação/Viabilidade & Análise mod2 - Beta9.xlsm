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Z:\00.Estruturação\01. Análises Carteiras\01. Planilhas Modelo\"/>
    </mc:Choice>
  </mc:AlternateContent>
  <bookViews>
    <workbookView xWindow="0" yWindow="0" windowWidth="21600" windowHeight="9510" tabRatio="801" activeTab="4"/>
  </bookViews>
  <sheets>
    <sheet name="Resumo Folheto" sheetId="46" r:id="rId1"/>
    <sheet name="TSHEET" sheetId="43" r:id="rId2"/>
    <sheet name="CUSTOS OP" sheetId="45" r:id="rId3"/>
    <sheet name="CAPA" sheetId="37" r:id="rId4"/>
    <sheet name="ESTRUTURA" sheetId="6" r:id="rId5"/>
    <sheet name="CUSTOS" sheetId="14" r:id="rId6"/>
    <sheet name="ANEXO" sheetId="41" r:id="rId7"/>
    <sheet name="INAD" sheetId="40" state="hidden" r:id="rId8"/>
    <sheet name="bd" sheetId="3" r:id="rId9"/>
    <sheet name="Tabela" sheetId="36" r:id="rId10"/>
  </sheets>
  <externalReferences>
    <externalReference r:id="rId11"/>
  </externalReferences>
  <definedNames>
    <definedName name="_xlnm._FilterDatabase" localSheetId="2" hidden="1">'CUSTOS OP'!$B$12:$H$47</definedName>
    <definedName name="_xlnm._FilterDatabase" localSheetId="4" hidden="1">ESTRUTURA!$F$10:$F$219</definedName>
    <definedName name="_xlnm._FilterDatabase" localSheetId="9" hidden="1">Tabela!$A$1:$H$33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llin">ESTRUTURA!$BG$9:$BH$9</definedName>
    <definedName name="base_calc">ESTRUTURA!$C$2</definedName>
    <definedName name="carência_se">ESTRUTURA!$R$5</definedName>
    <definedName name="carência_sub">ESTRUTURA!$AE$5</definedName>
    <definedName name="carência_subp">ESTRUTURA!$Y$5</definedName>
    <definedName name="def_fluxo">ESTRUTURA!$C$3</definedName>
    <definedName name="def_pgto">ESTRUTURA!$C$4</definedName>
    <definedName name="dt_aniversário">ESTRUTURA!$F$4</definedName>
    <definedName name="dt_emissão">ESTRUTURA!$F$3</definedName>
    <definedName name="dt_pagamento">ESTRUTURA!$F$5</definedName>
    <definedName name="dt_vencimento">ESTRUTURA!$F$6</definedName>
    <definedName name="ExibeSerie.aspx?serid_37796_module_M" localSheetId="8">bd!#REF!</definedName>
    <definedName name="ExibeSerie.aspx?serid_37796_module_M_1" localSheetId="8">bd!#REF!</definedName>
    <definedName name="ExibeSerie.aspx?serid_37796_module_M_10" localSheetId="8">bd!#REF!</definedName>
    <definedName name="ExibeSerie.aspx?serid_37796_module_M_11" localSheetId="8">bd!#REF!</definedName>
    <definedName name="ExibeSerie.aspx?serid_37796_module_M_12" localSheetId="8">bd!$C$1:$D$334</definedName>
    <definedName name="ExibeSerie.aspx?serid_37796_module_M_2" localSheetId="8">bd!#REF!</definedName>
    <definedName name="ExibeSerie.aspx?serid_37796_module_M_3" localSheetId="8">bd!#REF!</definedName>
    <definedName name="ExibeSerie.aspx?serid_37796_module_M_4" localSheetId="8">bd!#REF!</definedName>
    <definedName name="ExibeSerie.aspx?serid_37796_module_M_5" localSheetId="8">bd!#REF!</definedName>
    <definedName name="ExibeSerie.aspx?serid_37796_module_M_6" localSheetId="8">bd!#REF!</definedName>
    <definedName name="ExibeSerie.aspx?serid_37796_module_M_7" localSheetId="8">bd!#REF!</definedName>
    <definedName name="ExibeSerie.aspx?serid_37796_module_M_8" localSheetId="8">bd!#REF!</definedName>
    <definedName name="ExibeSerie.aspx?serid_37796_module_M_9" localSheetId="8">bd!#REF!</definedName>
    <definedName name="holiday">bd!$A$3:$A$938</definedName>
    <definedName name="icvm">CAPA!$M$7</definedName>
    <definedName name="nm_elegíveis">ESTRUTURA!$I$4</definedName>
    <definedName name="nm_séries">ESTRUTURA!$I$3</definedName>
    <definedName name="op_tipo">ESTRUTURA!$I$2</definedName>
    <definedName name="per_se">ESTRUTURA!$R$3</definedName>
    <definedName name="per_sub">ESTRUTURA!$AE$3</definedName>
    <definedName name="per_subp">ESTRUTURA!$Y$3</definedName>
    <definedName name="pmt_se">ESTRUTURA!$R$4</definedName>
    <definedName name="pmt_sub">ESTRUTURA!$AE$4</definedName>
    <definedName name="pmt_subp">ESTRUTURA!$Y$4</definedName>
    <definedName name="prazo_op">ESTRUTURA!$F$2</definedName>
    <definedName name="prazo_se">ESTRUTURA!$R$2</definedName>
    <definedName name="prazo_sub">ESTRUTURA!$AE$2</definedName>
    <definedName name="prazo_subp">ESTRUTURA!$Y$2</definedName>
    <definedName name="sd_lastro1">ESTRUTURA!$I$11</definedName>
    <definedName name="sd_lastro2">ESTRUTURA!$M$11</definedName>
    <definedName name="sd_over">ESTRUTURA!$AM$11</definedName>
    <definedName name="sd_over2">ESTRUTURA!$AO$11</definedName>
    <definedName name="sd_se">ESTRUTURA!$T$11</definedName>
    <definedName name="sd_sub">ESTRUTURA!$AG$11</definedName>
    <definedName name="sd_subp">ESTRUTURA!$AA$11</definedName>
    <definedName name="título">CAPA!$H$7</definedName>
    <definedName name="titulo2">[1]CAPA!$H$7</definedName>
    <definedName name="tx_lastro">ESTRUTURA!$I$6</definedName>
    <definedName name="tx_over">ESTRUTURA!$AZ$9</definedName>
    <definedName name="tx_se">ESTRUTURA!$U$2</definedName>
    <definedName name="tx_se2">ESTRUTURA!$U$3</definedName>
    <definedName name="tx_sub">ESTRUTURA!$AH$2</definedName>
    <definedName name="tx_subp">ESTRUTURA!$AB$2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6" l="1"/>
  <c r="AK2" i="6" l="1"/>
  <c r="C10" i="46" l="1"/>
  <c r="E2" i="46" l="1"/>
  <c r="D2" i="46"/>
  <c r="B2" i="46"/>
  <c r="C10" i="45" l="1"/>
  <c r="C6" i="45"/>
  <c r="G46" i="45" l="1"/>
  <c r="G45" i="45"/>
  <c r="G44" i="45"/>
  <c r="G43" i="45"/>
  <c r="G42" i="45"/>
  <c r="G41" i="45"/>
  <c r="G40" i="45"/>
  <c r="G39" i="45"/>
  <c r="G38" i="45"/>
  <c r="G37" i="45"/>
  <c r="G36" i="45"/>
  <c r="G35" i="45"/>
  <c r="G34" i="45"/>
  <c r="G33" i="45"/>
  <c r="G32" i="45"/>
  <c r="G31" i="45"/>
  <c r="G30" i="45"/>
  <c r="G29" i="45"/>
  <c r="G28" i="45"/>
  <c r="G27" i="45"/>
  <c r="G26" i="45"/>
  <c r="G25" i="45"/>
  <c r="G24" i="45"/>
  <c r="G23" i="45"/>
  <c r="G22" i="45"/>
  <c r="G21" i="45"/>
  <c r="G20" i="45"/>
  <c r="G19" i="45"/>
  <c r="G18" i="45"/>
  <c r="G17" i="45"/>
  <c r="G16" i="45"/>
  <c r="G15" i="45"/>
  <c r="G14" i="45"/>
  <c r="G13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F46" i="45"/>
  <c r="F45" i="45"/>
  <c r="H45" i="45" s="1"/>
  <c r="F44" i="45"/>
  <c r="H44" i="45" s="1"/>
  <c r="F43" i="45"/>
  <c r="F42" i="45"/>
  <c r="F41" i="45"/>
  <c r="H41" i="45" s="1"/>
  <c r="F40" i="45"/>
  <c r="F39" i="45"/>
  <c r="F38" i="45"/>
  <c r="H38" i="45" s="1"/>
  <c r="F37" i="45"/>
  <c r="F36" i="45"/>
  <c r="H36" i="45" s="1"/>
  <c r="F35" i="45"/>
  <c r="F34" i="45"/>
  <c r="H34" i="45" s="1"/>
  <c r="F33" i="45"/>
  <c r="F32" i="45"/>
  <c r="F31" i="45"/>
  <c r="H31" i="45" s="1"/>
  <c r="F29" i="45"/>
  <c r="H29" i="45" s="1"/>
  <c r="F28" i="45"/>
  <c r="H28" i="45" s="1"/>
  <c r="F27" i="45"/>
  <c r="F26" i="45"/>
  <c r="F25" i="45"/>
  <c r="F24" i="45"/>
  <c r="F23" i="45"/>
  <c r="F22" i="45"/>
  <c r="F21" i="45"/>
  <c r="F20" i="45"/>
  <c r="F19" i="45"/>
  <c r="H19" i="45" s="1"/>
  <c r="F18" i="45"/>
  <c r="F17" i="45"/>
  <c r="H17" i="45" s="1"/>
  <c r="F16" i="45"/>
  <c r="F15" i="45"/>
  <c r="F14" i="45"/>
  <c r="F13" i="45"/>
  <c r="D46" i="45" l="1"/>
  <c r="D45" i="45"/>
  <c r="D44" i="45"/>
  <c r="D43" i="45"/>
  <c r="D42" i="45"/>
  <c r="D41" i="45"/>
  <c r="D40" i="45"/>
  <c r="D39" i="45"/>
  <c r="D38" i="45"/>
  <c r="D37" i="45"/>
  <c r="D36" i="45"/>
  <c r="D35" i="45"/>
  <c r="D34" i="45"/>
  <c r="D33" i="45"/>
  <c r="D32" i="45"/>
  <c r="D31" i="45"/>
  <c r="D30" i="45"/>
  <c r="D29" i="45"/>
  <c r="D28" i="45"/>
  <c r="D27" i="45"/>
  <c r="D26" i="45"/>
  <c r="D25" i="45"/>
  <c r="D24" i="45"/>
  <c r="D23" i="45"/>
  <c r="D22" i="45"/>
  <c r="D21" i="45"/>
  <c r="D20" i="45"/>
  <c r="D19" i="45"/>
  <c r="D18" i="45"/>
  <c r="D17" i="45"/>
  <c r="D16" i="45"/>
  <c r="D15" i="45"/>
  <c r="D14" i="45"/>
  <c r="D13" i="45"/>
  <c r="H20" i="45"/>
  <c r="H22" i="45"/>
  <c r="H27" i="45"/>
  <c r="H27" i="36"/>
  <c r="C23" i="36"/>
  <c r="H23" i="36"/>
  <c r="H22" i="36"/>
  <c r="C74" i="37"/>
  <c r="C73" i="37"/>
  <c r="C72" i="37"/>
  <c r="C71" i="37"/>
  <c r="C70" i="37"/>
  <c r="C69" i="37"/>
  <c r="C68" i="37"/>
  <c r="C67" i="37"/>
  <c r="C66" i="37"/>
  <c r="C65" i="37"/>
  <c r="C64" i="37"/>
  <c r="C63" i="37"/>
  <c r="C62" i="37"/>
  <c r="C61" i="37"/>
  <c r="C60" i="37"/>
  <c r="C59" i="37"/>
  <c r="C58" i="37"/>
  <c r="C57" i="37"/>
  <c r="C56" i="37"/>
  <c r="C55" i="37"/>
  <c r="C54" i="37"/>
  <c r="C53" i="37"/>
  <c r="C52" i="37"/>
  <c r="C51" i="37"/>
  <c r="C50" i="37"/>
  <c r="C49" i="37"/>
  <c r="C48" i="37"/>
  <c r="C47" i="37"/>
  <c r="C46" i="37"/>
  <c r="C45" i="37"/>
  <c r="C44" i="37"/>
  <c r="C43" i="37"/>
  <c r="C42" i="37"/>
  <c r="C41" i="37"/>
  <c r="C40" i="37"/>
  <c r="C39" i="37"/>
  <c r="C38" i="37"/>
  <c r="C37" i="37"/>
  <c r="C36" i="37"/>
  <c r="C16" i="43"/>
  <c r="C9" i="43"/>
  <c r="C5" i="43"/>
  <c r="C3" i="43"/>
  <c r="H35" i="3"/>
  <c r="G35" i="3"/>
  <c r="J10" i="3"/>
  <c r="K10" i="3"/>
  <c r="E35" i="36"/>
  <c r="F7" i="14"/>
  <c r="H34" i="3"/>
  <c r="G34" i="3"/>
  <c r="J9" i="3"/>
  <c r="K9" i="3"/>
  <c r="BC9" i="6"/>
  <c r="BB9" i="6"/>
  <c r="BA9" i="6"/>
  <c r="T44" i="37"/>
  <c r="C6" i="41"/>
  <c r="A19" i="40"/>
  <c r="A18" i="40"/>
  <c r="A5" i="40"/>
  <c r="A6" i="40"/>
  <c r="A7" i="40"/>
  <c r="A8" i="40"/>
  <c r="A9" i="40"/>
  <c r="A10" i="40"/>
  <c r="A11" i="40"/>
  <c r="A12" i="40"/>
  <c r="A13" i="40"/>
  <c r="A14" i="40"/>
  <c r="A29" i="40"/>
  <c r="A4" i="40"/>
  <c r="A27" i="40"/>
  <c r="A20" i="40"/>
  <c r="A24" i="40"/>
  <c r="A28" i="40"/>
  <c r="A21" i="40"/>
  <c r="A25" i="40"/>
  <c r="A23" i="40"/>
  <c r="A22" i="40"/>
  <c r="A26" i="40"/>
  <c r="K6" i="3"/>
  <c r="K11" i="3"/>
  <c r="K14" i="3"/>
  <c r="K19" i="3"/>
  <c r="K22" i="3"/>
  <c r="K25" i="3"/>
  <c r="K3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2" i="3"/>
  <c r="G3" i="3"/>
  <c r="J7" i="3"/>
  <c r="G4" i="3"/>
  <c r="J8" i="3"/>
  <c r="G5" i="3"/>
  <c r="J2" i="3"/>
  <c r="K2" i="3"/>
  <c r="G6" i="3"/>
  <c r="J15" i="3"/>
  <c r="G7" i="3"/>
  <c r="J16" i="3"/>
  <c r="G8" i="3"/>
  <c r="J17" i="3"/>
  <c r="G9" i="3"/>
  <c r="J32" i="3"/>
  <c r="G10" i="3"/>
  <c r="J33" i="3"/>
  <c r="G11" i="3"/>
  <c r="K34" i="3"/>
  <c r="G12" i="3"/>
  <c r="K35" i="3"/>
  <c r="G13" i="3"/>
  <c r="J34" i="3"/>
  <c r="G14" i="3"/>
  <c r="J35" i="3"/>
  <c r="G15" i="3"/>
  <c r="K36" i="3"/>
  <c r="G16" i="3"/>
  <c r="G17" i="3"/>
  <c r="G18" i="3"/>
  <c r="G19" i="3"/>
  <c r="G20" i="3"/>
  <c r="G21" i="3"/>
  <c r="J4" i="3"/>
  <c r="G22" i="3"/>
  <c r="J20" i="3"/>
  <c r="G23" i="3"/>
  <c r="J21" i="3"/>
  <c r="G24" i="3"/>
  <c r="J28" i="3"/>
  <c r="G25" i="3"/>
  <c r="J23" i="3"/>
  <c r="G26" i="3"/>
  <c r="J24" i="3"/>
  <c r="G27" i="3"/>
  <c r="J18" i="3"/>
  <c r="G28" i="3"/>
  <c r="J30" i="3"/>
  <c r="G29" i="3"/>
  <c r="J26" i="3"/>
  <c r="G30" i="3"/>
  <c r="J27" i="3"/>
  <c r="G31" i="3"/>
  <c r="J12" i="3"/>
  <c r="G32" i="3"/>
  <c r="G33" i="3"/>
  <c r="J13" i="3"/>
  <c r="G2" i="3"/>
  <c r="J29" i="3"/>
  <c r="K33" i="3"/>
  <c r="J37" i="3"/>
  <c r="K38" i="3"/>
  <c r="K32" i="3"/>
  <c r="K37" i="3"/>
  <c r="J36" i="3"/>
  <c r="J38" i="3"/>
  <c r="K39" i="3"/>
  <c r="J39" i="3"/>
  <c r="K40" i="3"/>
  <c r="K13" i="3"/>
  <c r="K23" i="3"/>
  <c r="K4" i="3"/>
  <c r="K29" i="3"/>
  <c r="K28" i="3"/>
  <c r="K17" i="3"/>
  <c r="K18" i="3"/>
  <c r="K12" i="3"/>
  <c r="K21" i="3"/>
  <c r="K16" i="3"/>
  <c r="K26" i="3"/>
  <c r="K7" i="3"/>
  <c r="K24" i="3"/>
  <c r="K27" i="3"/>
  <c r="K20" i="3"/>
  <c r="K15" i="3"/>
  <c r="K30" i="3"/>
  <c r="J3" i="3"/>
  <c r="K8" i="3"/>
  <c r="J5" i="3"/>
  <c r="AN3" i="6"/>
  <c r="K3" i="3"/>
  <c r="K5" i="3"/>
  <c r="C7" i="37"/>
  <c r="T31" i="37"/>
  <c r="O31" i="37"/>
  <c r="J31" i="37"/>
  <c r="T30" i="37"/>
  <c r="O30" i="37"/>
  <c r="J30" i="37"/>
  <c r="J26" i="37"/>
  <c r="C6" i="46" s="1"/>
  <c r="E29" i="37"/>
  <c r="E27" i="37"/>
  <c r="E26" i="37"/>
  <c r="E25" i="37"/>
  <c r="B3" i="40"/>
  <c r="B4" i="40"/>
  <c r="B18" i="40"/>
  <c r="B5" i="40"/>
  <c r="B19" i="40"/>
  <c r="B6" i="40"/>
  <c r="B20" i="40"/>
  <c r="B7" i="40"/>
  <c r="B21" i="40"/>
  <c r="B8" i="40"/>
  <c r="B22" i="40"/>
  <c r="P7" i="14"/>
  <c r="B9" i="40"/>
  <c r="B23" i="40"/>
  <c r="AI7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O7" i="14"/>
  <c r="N7" i="14"/>
  <c r="M7" i="14"/>
  <c r="L7" i="14"/>
  <c r="K7" i="14"/>
  <c r="J7" i="14"/>
  <c r="I7" i="14"/>
  <c r="H7" i="14"/>
  <c r="G7" i="14"/>
  <c r="E7" i="14"/>
  <c r="D7" i="14"/>
  <c r="C7" i="14"/>
  <c r="B10" i="40"/>
  <c r="B24" i="40"/>
  <c r="R7" i="37"/>
  <c r="T27" i="37"/>
  <c r="E4" i="46" s="1"/>
  <c r="O27" i="37"/>
  <c r="D4" i="46" s="1"/>
  <c r="J27" i="37"/>
  <c r="C4" i="46" s="1"/>
  <c r="B11" i="40"/>
  <c r="B25" i="40"/>
  <c r="B12" i="40"/>
  <c r="B26" i="40"/>
  <c r="R3" i="37"/>
  <c r="B13" i="40"/>
  <c r="B27" i="40"/>
  <c r="B14" i="40"/>
  <c r="B28" i="40"/>
  <c r="B29" i="40"/>
  <c r="A11" i="6"/>
  <c r="AJ11" i="6" s="1"/>
  <c r="C11" i="6"/>
  <c r="B13" i="14"/>
  <c r="BD13" i="6" s="1"/>
  <c r="B14" i="14"/>
  <c r="BD14" i="6" s="1"/>
  <c r="B15" i="14"/>
  <c r="BD15" i="6" s="1"/>
  <c r="B17" i="14"/>
  <c r="BD17" i="6" s="1"/>
  <c r="B18" i="14"/>
  <c r="BD18" i="6" s="1"/>
  <c r="B19" i="14"/>
  <c r="BD19" i="6" s="1"/>
  <c r="B21" i="14"/>
  <c r="BD21" i="6" s="1"/>
  <c r="B22" i="14"/>
  <c r="BD22" i="6" s="1"/>
  <c r="B23" i="14"/>
  <c r="BD23" i="6" s="1"/>
  <c r="B25" i="14"/>
  <c r="BD25" i="6" s="1"/>
  <c r="B26" i="14"/>
  <c r="B27" i="14"/>
  <c r="B29" i="14"/>
  <c r="BD29" i="6" s="1"/>
  <c r="B30" i="14"/>
  <c r="BD30" i="6" s="1"/>
  <c r="B31" i="14"/>
  <c r="BD31" i="6" s="1"/>
  <c r="B33" i="14"/>
  <c r="BD33" i="6" s="1"/>
  <c r="B34" i="14"/>
  <c r="BD34" i="6" s="1"/>
  <c r="B35" i="14"/>
  <c r="BD35" i="6" s="1"/>
  <c r="B36" i="14"/>
  <c r="BD36" i="6" s="1"/>
  <c r="B37" i="14"/>
  <c r="BD37" i="6" s="1"/>
  <c r="B38" i="14"/>
  <c r="BD38" i="6" s="1"/>
  <c r="B39" i="14"/>
  <c r="BD39" i="6" s="1"/>
  <c r="B40" i="14"/>
  <c r="B41" i="14"/>
  <c r="BD41" i="6" s="1"/>
  <c r="B42" i="14"/>
  <c r="BD42" i="6" s="1"/>
  <c r="B43" i="14"/>
  <c r="BD43" i="6" s="1"/>
  <c r="B44" i="14"/>
  <c r="BD44" i="6" s="1"/>
  <c r="B45" i="14"/>
  <c r="B46" i="14"/>
  <c r="BD46" i="6"/>
  <c r="B47" i="14"/>
  <c r="BD47" i="6" s="1"/>
  <c r="B48" i="14"/>
  <c r="BD48" i="6" s="1"/>
  <c r="B49" i="14"/>
  <c r="BD49" i="6" s="1"/>
  <c r="B50" i="14"/>
  <c r="BD50" i="6" s="1"/>
  <c r="B51" i="14"/>
  <c r="BD51" i="6" s="1"/>
  <c r="B52" i="14"/>
  <c r="B53" i="14"/>
  <c r="BD53" i="6" s="1"/>
  <c r="B54" i="14"/>
  <c r="BD54" i="6" s="1"/>
  <c r="B55" i="14"/>
  <c r="B56" i="14"/>
  <c r="BD56" i="6" s="1"/>
  <c r="B57" i="14"/>
  <c r="BD57" i="6" s="1"/>
  <c r="B58" i="14"/>
  <c r="BD58" i="6" s="1"/>
  <c r="B59" i="14"/>
  <c r="BD59" i="6" s="1"/>
  <c r="B60" i="14"/>
  <c r="B61" i="14"/>
  <c r="BD61" i="6" s="1"/>
  <c r="B62" i="14"/>
  <c r="BD62" i="6" s="1"/>
  <c r="B63" i="14"/>
  <c r="B64" i="14"/>
  <c r="BD64" i="6" s="1"/>
  <c r="B65" i="14"/>
  <c r="BD65" i="6" s="1"/>
  <c r="B66" i="14"/>
  <c r="BD66" i="6" s="1"/>
  <c r="B67" i="14"/>
  <c r="BD67" i="6" s="1"/>
  <c r="B68" i="14"/>
  <c r="B69" i="14"/>
  <c r="BD69" i="6" s="1"/>
  <c r="B70" i="14"/>
  <c r="BD70" i="6" s="1"/>
  <c r="B71" i="14"/>
  <c r="BD71" i="6" s="1"/>
  <c r="B72" i="14"/>
  <c r="BD72" i="6" s="1"/>
  <c r="B73" i="14"/>
  <c r="BD73" i="6" s="1"/>
  <c r="B74" i="14"/>
  <c r="BD74" i="6" s="1"/>
  <c r="B75" i="14"/>
  <c r="BD75" i="6" s="1"/>
  <c r="B76" i="14"/>
  <c r="B77" i="14"/>
  <c r="BD77" i="6" s="1"/>
  <c r="B78" i="14"/>
  <c r="BD78" i="6" s="1"/>
  <c r="B79" i="14"/>
  <c r="B80" i="14"/>
  <c r="BD80" i="6" s="1"/>
  <c r="B81" i="14"/>
  <c r="B82" i="14"/>
  <c r="BD82" i="6" s="1"/>
  <c r="B83" i="14"/>
  <c r="BD83" i="6" s="1"/>
  <c r="B84" i="14"/>
  <c r="BD84" i="6" s="1"/>
  <c r="B85" i="14"/>
  <c r="BD85" i="6" s="1"/>
  <c r="B86" i="14"/>
  <c r="BD86" i="6" s="1"/>
  <c r="B87" i="14"/>
  <c r="B88" i="14"/>
  <c r="BD88" i="6" s="1"/>
  <c r="B89" i="14"/>
  <c r="BD89" i="6" s="1"/>
  <c r="B90" i="14"/>
  <c r="BD90" i="6" s="1"/>
  <c r="B91" i="14"/>
  <c r="BD91" i="6" s="1"/>
  <c r="B92" i="14"/>
  <c r="BD92" i="6" s="1"/>
  <c r="B93" i="14"/>
  <c r="BD93" i="6" s="1"/>
  <c r="B94" i="14"/>
  <c r="BD94" i="6" s="1"/>
  <c r="B95" i="14"/>
  <c r="B96" i="14"/>
  <c r="BD96" i="6" s="1"/>
  <c r="B97" i="14"/>
  <c r="BD97" i="6" s="1"/>
  <c r="B98" i="14"/>
  <c r="B99" i="14"/>
  <c r="BD99" i="6" s="1"/>
  <c r="B100" i="14"/>
  <c r="B101" i="14"/>
  <c r="BD101" i="6" s="1"/>
  <c r="B102" i="14"/>
  <c r="BD102" i="6" s="1"/>
  <c r="B103" i="14"/>
  <c r="B104" i="14"/>
  <c r="BD104" i="6" s="1"/>
  <c r="B105" i="14"/>
  <c r="BD105" i="6" s="1"/>
  <c r="B106" i="14"/>
  <c r="BD106" i="6" s="1"/>
  <c r="B107" i="14"/>
  <c r="BD107" i="6" s="1"/>
  <c r="B108" i="14"/>
  <c r="BD108" i="6" s="1"/>
  <c r="B109" i="14"/>
  <c r="BD109" i="6" s="1"/>
  <c r="B110" i="14"/>
  <c r="BD110" i="6" s="1"/>
  <c r="B111" i="14"/>
  <c r="BD111" i="6" s="1"/>
  <c r="B112" i="14"/>
  <c r="BD112" i="6" s="1"/>
  <c r="B113" i="14"/>
  <c r="BD113" i="6" s="1"/>
  <c r="B114" i="14"/>
  <c r="BD114" i="6" s="1"/>
  <c r="B115" i="14"/>
  <c r="BD115" i="6" s="1"/>
  <c r="B116" i="14"/>
  <c r="BD116" i="6" s="1"/>
  <c r="B117" i="14"/>
  <c r="BD117" i="6" s="1"/>
  <c r="B118" i="14"/>
  <c r="BD118" i="6" s="1"/>
  <c r="B119" i="14"/>
  <c r="B120" i="14"/>
  <c r="BD120" i="6"/>
  <c r="B121" i="14"/>
  <c r="BD121" i="6" s="1"/>
  <c r="B122" i="14"/>
  <c r="BD122" i="6" s="1"/>
  <c r="B123" i="14"/>
  <c r="BD123" i="6"/>
  <c r="B124" i="14"/>
  <c r="BD124" i="6" s="1"/>
  <c r="B125" i="14"/>
  <c r="BD125" i="6" s="1"/>
  <c r="B126" i="14"/>
  <c r="BD126" i="6" s="1"/>
  <c r="B127" i="14"/>
  <c r="BD127" i="6" s="1"/>
  <c r="B128" i="14"/>
  <c r="BD128" i="6" s="1"/>
  <c r="B129" i="14"/>
  <c r="BD129" i="6" s="1"/>
  <c r="B130" i="14"/>
  <c r="BD130" i="6" s="1"/>
  <c r="B131" i="14"/>
  <c r="BD131" i="6" s="1"/>
  <c r="B132" i="14"/>
  <c r="BD132" i="6" s="1"/>
  <c r="B133" i="14"/>
  <c r="BD133" i="6" s="1"/>
  <c r="B134" i="14"/>
  <c r="BD134" i="6" s="1"/>
  <c r="B135" i="14"/>
  <c r="BD135" i="6" s="1"/>
  <c r="B136" i="14"/>
  <c r="BD136" i="6" s="1"/>
  <c r="B137" i="14"/>
  <c r="BD137" i="6" s="1"/>
  <c r="B138" i="14"/>
  <c r="BD138" i="6" s="1"/>
  <c r="B139" i="14"/>
  <c r="BD139" i="6" s="1"/>
  <c r="B140" i="14"/>
  <c r="BD140" i="6" s="1"/>
  <c r="B141" i="14"/>
  <c r="BD141" i="6" s="1"/>
  <c r="B142" i="14"/>
  <c r="BD142" i="6" s="1"/>
  <c r="B143" i="14"/>
  <c r="BD143" i="6" s="1"/>
  <c r="B144" i="14"/>
  <c r="BD144" i="6" s="1"/>
  <c r="B145" i="14"/>
  <c r="BD145" i="6" s="1"/>
  <c r="B146" i="14"/>
  <c r="BD146" i="6" s="1"/>
  <c r="B147" i="14"/>
  <c r="BD147" i="6" s="1"/>
  <c r="B148" i="14"/>
  <c r="BD148" i="6" s="1"/>
  <c r="B149" i="14"/>
  <c r="BD149" i="6" s="1"/>
  <c r="B150" i="14"/>
  <c r="BD150" i="6" s="1"/>
  <c r="B151" i="14"/>
  <c r="BD151" i="6" s="1"/>
  <c r="B152" i="14"/>
  <c r="BD152" i="6" s="1"/>
  <c r="B153" i="14"/>
  <c r="BD153" i="6" s="1"/>
  <c r="B154" i="14"/>
  <c r="BD154" i="6" s="1"/>
  <c r="B155" i="14"/>
  <c r="BD155" i="6" s="1"/>
  <c r="B156" i="14"/>
  <c r="BD156" i="6" s="1"/>
  <c r="B157" i="14"/>
  <c r="BD157" i="6" s="1"/>
  <c r="B158" i="14"/>
  <c r="BD158" i="6" s="1"/>
  <c r="B159" i="14"/>
  <c r="BD159" i="6" s="1"/>
  <c r="B160" i="14"/>
  <c r="BD160" i="6" s="1"/>
  <c r="B161" i="14"/>
  <c r="BD161" i="6" s="1"/>
  <c r="B162" i="14"/>
  <c r="BD162" i="6" s="1"/>
  <c r="B163" i="14"/>
  <c r="BD163" i="6" s="1"/>
  <c r="B164" i="14"/>
  <c r="BD164" i="6" s="1"/>
  <c r="B165" i="14"/>
  <c r="BD165" i="6" s="1"/>
  <c r="B166" i="14"/>
  <c r="BD166" i="6" s="1"/>
  <c r="B167" i="14"/>
  <c r="BD167" i="6" s="1"/>
  <c r="B168" i="14"/>
  <c r="BD168" i="6"/>
  <c r="B169" i="14"/>
  <c r="BD169" i="6" s="1"/>
  <c r="B170" i="14"/>
  <c r="BD170" i="6" s="1"/>
  <c r="B171" i="14"/>
  <c r="BD171" i="6" s="1"/>
  <c r="B172" i="14"/>
  <c r="BD172" i="6" s="1"/>
  <c r="B173" i="14"/>
  <c r="BD173" i="6" s="1"/>
  <c r="B174" i="14"/>
  <c r="BD174" i="6" s="1"/>
  <c r="B175" i="14"/>
  <c r="BD175" i="6"/>
  <c r="B176" i="14"/>
  <c r="BD176" i="6" s="1"/>
  <c r="B177" i="14"/>
  <c r="BD177" i="6" s="1"/>
  <c r="B178" i="14"/>
  <c r="BD178" i="6" s="1"/>
  <c r="B179" i="14"/>
  <c r="BD179" i="6" s="1"/>
  <c r="B180" i="14"/>
  <c r="BD180" i="6" s="1"/>
  <c r="B181" i="14"/>
  <c r="BD181" i="6" s="1"/>
  <c r="B182" i="14"/>
  <c r="BD182" i="6" s="1"/>
  <c r="B183" i="14"/>
  <c r="BD183" i="6" s="1"/>
  <c r="B184" i="14"/>
  <c r="BD184" i="6"/>
  <c r="B185" i="14"/>
  <c r="BD185" i="6" s="1"/>
  <c r="B186" i="14"/>
  <c r="BD186" i="6" s="1"/>
  <c r="B187" i="14"/>
  <c r="BD187" i="6" s="1"/>
  <c r="B188" i="14"/>
  <c r="BD188" i="6" s="1"/>
  <c r="B189" i="14"/>
  <c r="BD189" i="6" s="1"/>
  <c r="B190" i="14"/>
  <c r="BD190" i="6" s="1"/>
  <c r="B191" i="14"/>
  <c r="BD191" i="6" s="1"/>
  <c r="B192" i="14"/>
  <c r="BD192" i="6" s="1"/>
  <c r="B193" i="14"/>
  <c r="BD193" i="6" s="1"/>
  <c r="B194" i="14"/>
  <c r="BD194" i="6" s="1"/>
  <c r="B195" i="14"/>
  <c r="BD195" i="6" s="1"/>
  <c r="B196" i="14"/>
  <c r="BD196" i="6" s="1"/>
  <c r="B197" i="14"/>
  <c r="BD197" i="6" s="1"/>
  <c r="B198" i="14"/>
  <c r="BD198" i="6" s="1"/>
  <c r="B199" i="14"/>
  <c r="BD199" i="6" s="1"/>
  <c r="B200" i="14"/>
  <c r="BD200" i="6" s="1"/>
  <c r="B201" i="14"/>
  <c r="BD201" i="6" s="1"/>
  <c r="B202" i="14"/>
  <c r="BD202" i="6" s="1"/>
  <c r="B203" i="14"/>
  <c r="BD203" i="6" s="1"/>
  <c r="B204" i="14"/>
  <c r="BD204" i="6" s="1"/>
  <c r="B205" i="14"/>
  <c r="BD205" i="6" s="1"/>
  <c r="B206" i="14"/>
  <c r="BD206" i="6" s="1"/>
  <c r="B207" i="14"/>
  <c r="BD207" i="6" s="1"/>
  <c r="B208" i="14"/>
  <c r="BD208" i="6" s="1"/>
  <c r="B209" i="14"/>
  <c r="BD209" i="6" s="1"/>
  <c r="B210" i="14"/>
  <c r="BD210" i="6" s="1"/>
  <c r="B211" i="14"/>
  <c r="BD211" i="6" s="1"/>
  <c r="B212" i="14"/>
  <c r="BD212" i="6" s="1"/>
  <c r="B213" i="14"/>
  <c r="BD213" i="6" s="1"/>
  <c r="B214" i="14"/>
  <c r="BD214" i="6" s="1"/>
  <c r="B215" i="14"/>
  <c r="BD215" i="6" s="1"/>
  <c r="B216" i="14"/>
  <c r="BD216" i="6" s="1"/>
  <c r="B217" i="14"/>
  <c r="BD217" i="6" s="1"/>
  <c r="B218" i="14"/>
  <c r="BD218" i="6" s="1"/>
  <c r="B219" i="14"/>
  <c r="BD219" i="6" s="1"/>
  <c r="B220" i="14"/>
  <c r="BD220" i="6" s="1"/>
  <c r="B221" i="14"/>
  <c r="BD221" i="6" s="1"/>
  <c r="B222" i="14"/>
  <c r="BD222" i="6" s="1"/>
  <c r="B223" i="14"/>
  <c r="BD223" i="6" s="1"/>
  <c r="B224" i="14"/>
  <c r="BD224" i="6" s="1"/>
  <c r="B225" i="14"/>
  <c r="BD225" i="6" s="1"/>
  <c r="B226" i="14"/>
  <c r="BD226" i="6" s="1"/>
  <c r="B227" i="14"/>
  <c r="BD227" i="6" s="1"/>
  <c r="B228" i="14"/>
  <c r="BD228" i="6" s="1"/>
  <c r="B229" i="14"/>
  <c r="BD229" i="6" s="1"/>
  <c r="B230" i="14"/>
  <c r="BD230" i="6" s="1"/>
  <c r="B231" i="14"/>
  <c r="BD231" i="6" s="1"/>
  <c r="B232" i="14"/>
  <c r="BD232" i="6" s="1"/>
  <c r="B233" i="14"/>
  <c r="BD233" i="6" s="1"/>
  <c r="B234" i="14"/>
  <c r="BD234" i="6" s="1"/>
  <c r="B235" i="14"/>
  <c r="BD235" i="6" s="1"/>
  <c r="B236" i="14"/>
  <c r="BD236" i="6" s="1"/>
  <c r="B237" i="14"/>
  <c r="BD237" i="6" s="1"/>
  <c r="B238" i="14"/>
  <c r="BD238" i="6" s="1"/>
  <c r="B239" i="14"/>
  <c r="BD239" i="6" s="1"/>
  <c r="B240" i="14"/>
  <c r="BD240" i="6" s="1"/>
  <c r="B241" i="14"/>
  <c r="BD241" i="6" s="1"/>
  <c r="B242" i="14"/>
  <c r="BD242" i="6" s="1"/>
  <c r="B243" i="14"/>
  <c r="BD243" i="6" s="1"/>
  <c r="B244" i="14"/>
  <c r="BD244" i="6" s="1"/>
  <c r="B245" i="14"/>
  <c r="BD245" i="6" s="1"/>
  <c r="B246" i="14"/>
  <c r="BD246" i="6" s="1"/>
  <c r="B247" i="14"/>
  <c r="BD247" i="6" s="1"/>
  <c r="B248" i="14"/>
  <c r="BD248" i="6" s="1"/>
  <c r="B249" i="14"/>
  <c r="BD249" i="6" s="1"/>
  <c r="B250" i="14"/>
  <c r="BD250" i="6" s="1"/>
  <c r="B251" i="14"/>
  <c r="BD251" i="6" s="1"/>
  <c r="B252" i="14"/>
  <c r="BD252" i="6" s="1"/>
  <c r="B253" i="14"/>
  <c r="BD253" i="6" s="1"/>
  <c r="B254" i="14"/>
  <c r="BD254" i="6" s="1"/>
  <c r="B255" i="14"/>
  <c r="BD255" i="6" s="1"/>
  <c r="B256" i="14"/>
  <c r="BD256" i="6" s="1"/>
  <c r="B257" i="14"/>
  <c r="BD257" i="6" s="1"/>
  <c r="B258" i="14"/>
  <c r="BD258" i="6" s="1"/>
  <c r="B259" i="14"/>
  <c r="BD259" i="6" s="1"/>
  <c r="B260" i="14"/>
  <c r="BD260" i="6" s="1"/>
  <c r="B261" i="14"/>
  <c r="BD261" i="6" s="1"/>
  <c r="B262" i="14"/>
  <c r="BD262" i="6" s="1"/>
  <c r="B263" i="14"/>
  <c r="BD263" i="6" s="1"/>
  <c r="B264" i="14"/>
  <c r="BD264" i="6" s="1"/>
  <c r="B265" i="14"/>
  <c r="BD265" i="6" s="1"/>
  <c r="B266" i="14"/>
  <c r="BD266" i="6" s="1"/>
  <c r="B267" i="14"/>
  <c r="BD267" i="6" s="1"/>
  <c r="B268" i="14"/>
  <c r="BD268" i="6" s="1"/>
  <c r="B269" i="14"/>
  <c r="BD269" i="6" s="1"/>
  <c r="B270" i="14"/>
  <c r="BD270" i="6" s="1"/>
  <c r="B271" i="14"/>
  <c r="BD271" i="6" s="1"/>
  <c r="B272" i="14"/>
  <c r="BD272" i="6" s="1"/>
  <c r="B273" i="14"/>
  <c r="BD273" i="6" s="1"/>
  <c r="B274" i="14"/>
  <c r="BD274" i="6" s="1"/>
  <c r="B275" i="14"/>
  <c r="BD275" i="6" s="1"/>
  <c r="B276" i="14"/>
  <c r="BD276" i="6" s="1"/>
  <c r="B277" i="14"/>
  <c r="BD277" i="6" s="1"/>
  <c r="B278" i="14"/>
  <c r="BD278" i="6" s="1"/>
  <c r="B279" i="14"/>
  <c r="BD279" i="6" s="1"/>
  <c r="B280" i="14"/>
  <c r="BD280" i="6" s="1"/>
  <c r="B281" i="14"/>
  <c r="BD281" i="6" s="1"/>
  <c r="B282" i="14"/>
  <c r="BD282" i="6" s="1"/>
  <c r="B283" i="14"/>
  <c r="BD283" i="6" s="1"/>
  <c r="B284" i="14"/>
  <c r="BD284" i="6" s="1"/>
  <c r="B285" i="14"/>
  <c r="BD285" i="6" s="1"/>
  <c r="B286" i="14"/>
  <c r="BD286" i="6" s="1"/>
  <c r="B287" i="14"/>
  <c r="BD287" i="6" s="1"/>
  <c r="B288" i="14"/>
  <c r="BD288" i="6" s="1"/>
  <c r="B289" i="14"/>
  <c r="BD289" i="6" s="1"/>
  <c r="B290" i="14"/>
  <c r="BD290" i="6" s="1"/>
  <c r="B291" i="14"/>
  <c r="BD291" i="6" s="1"/>
  <c r="B292" i="14"/>
  <c r="BD292" i="6" s="1"/>
  <c r="B293" i="14"/>
  <c r="BD293" i="6"/>
  <c r="B294" i="14"/>
  <c r="BD294" i="6" s="1"/>
  <c r="B295" i="14"/>
  <c r="BD295" i="6" s="1"/>
  <c r="B296" i="14"/>
  <c r="BD296" i="6" s="1"/>
  <c r="B297" i="14"/>
  <c r="BD297" i="6" s="1"/>
  <c r="B298" i="14"/>
  <c r="BD298" i="6"/>
  <c r="B299" i="14"/>
  <c r="BD299" i="6" s="1"/>
  <c r="B300" i="14"/>
  <c r="BD300" i="6" s="1"/>
  <c r="B301" i="14"/>
  <c r="BD301" i="6" s="1"/>
  <c r="B302" i="14"/>
  <c r="BD302" i="6" s="1"/>
  <c r="B303" i="14"/>
  <c r="BD303" i="6" s="1"/>
  <c r="B304" i="14"/>
  <c r="BD304" i="6" s="1"/>
  <c r="B305" i="14"/>
  <c r="BD305" i="6" s="1"/>
  <c r="B306" i="14"/>
  <c r="BD306" i="6" s="1"/>
  <c r="B307" i="14"/>
  <c r="BD307" i="6" s="1"/>
  <c r="B308" i="14"/>
  <c r="BD308" i="6" s="1"/>
  <c r="B309" i="14"/>
  <c r="BD309" i="6" s="1"/>
  <c r="B310" i="14"/>
  <c r="BD310" i="6" s="1"/>
  <c r="B311" i="14"/>
  <c r="BD311" i="6" s="1"/>
  <c r="B312" i="14"/>
  <c r="BD312" i="6" s="1"/>
  <c r="B313" i="14"/>
  <c r="BD313" i="6" s="1"/>
  <c r="B314" i="14"/>
  <c r="BD314" i="6" s="1"/>
  <c r="B315" i="14"/>
  <c r="BD315" i="6" s="1"/>
  <c r="B316" i="14"/>
  <c r="BD316" i="6" s="1"/>
  <c r="B317" i="14"/>
  <c r="BD317" i="6" s="1"/>
  <c r="B318" i="14"/>
  <c r="BD318" i="6" s="1"/>
  <c r="B319" i="14"/>
  <c r="BD319" i="6" s="1"/>
  <c r="B320" i="14"/>
  <c r="BD320" i="6" s="1"/>
  <c r="B321" i="14"/>
  <c r="BD321" i="6" s="1"/>
  <c r="B322" i="14"/>
  <c r="BD322" i="6" s="1"/>
  <c r="B323" i="14"/>
  <c r="BD323" i="6" s="1"/>
  <c r="B324" i="14"/>
  <c r="BD324" i="6" s="1"/>
  <c r="B325" i="14"/>
  <c r="BD325" i="6" s="1"/>
  <c r="B326" i="14"/>
  <c r="BD326" i="6" s="1"/>
  <c r="B327" i="14"/>
  <c r="BD327" i="6" s="1"/>
  <c r="B328" i="14"/>
  <c r="BD328" i="6" s="1"/>
  <c r="B329" i="14"/>
  <c r="BD329" i="6" s="1"/>
  <c r="B330" i="14"/>
  <c r="BD330" i="6" s="1"/>
  <c r="B331" i="14"/>
  <c r="BD331" i="6" s="1"/>
  <c r="B332" i="14"/>
  <c r="BD332" i="6" s="1"/>
  <c r="B333" i="14"/>
  <c r="BD333" i="6" s="1"/>
  <c r="B334" i="14"/>
  <c r="BD334" i="6" s="1"/>
  <c r="B335" i="14"/>
  <c r="BD335" i="6" s="1"/>
  <c r="B336" i="14"/>
  <c r="BD336" i="6" s="1"/>
  <c r="B337" i="14"/>
  <c r="BD337" i="6" s="1"/>
  <c r="B338" i="14"/>
  <c r="BD338" i="6" s="1"/>
  <c r="B339" i="14"/>
  <c r="BD339" i="6" s="1"/>
  <c r="B340" i="14"/>
  <c r="BD340" i="6" s="1"/>
  <c r="B341" i="14"/>
  <c r="BD341" i="6" s="1"/>
  <c r="B342" i="14"/>
  <c r="BD342" i="6" s="1"/>
  <c r="B343" i="14"/>
  <c r="BD343" i="6" s="1"/>
  <c r="B344" i="14"/>
  <c r="BD344" i="6" s="1"/>
  <c r="B345" i="14"/>
  <c r="BD345" i="6" s="1"/>
  <c r="B346" i="14"/>
  <c r="BD346" i="6" s="1"/>
  <c r="B347" i="14"/>
  <c r="BD347" i="6" s="1"/>
  <c r="B348" i="14"/>
  <c r="BD348" i="6" s="1"/>
  <c r="B349" i="14"/>
  <c r="BD349" i="6" s="1"/>
  <c r="B350" i="14"/>
  <c r="BD350" i="6" s="1"/>
  <c r="B351" i="14"/>
  <c r="BD351" i="6"/>
  <c r="B352" i="14"/>
  <c r="BD352" i="6" s="1"/>
  <c r="B353" i="14"/>
  <c r="BD353" i="6" s="1"/>
  <c r="B354" i="14"/>
  <c r="BD354" i="6" s="1"/>
  <c r="E28" i="40"/>
  <c r="G26" i="40"/>
  <c r="D25" i="40"/>
  <c r="F23" i="40"/>
  <c r="C22" i="40"/>
  <c r="E20" i="40"/>
  <c r="G18" i="40"/>
  <c r="G29" i="40"/>
  <c r="D28" i="40"/>
  <c r="F26" i="40"/>
  <c r="C25" i="40"/>
  <c r="E23" i="40"/>
  <c r="G21" i="40"/>
  <c r="D20" i="40"/>
  <c r="F18" i="40"/>
  <c r="F29" i="40"/>
  <c r="C28" i="40"/>
  <c r="E26" i="40"/>
  <c r="G24" i="40"/>
  <c r="D23" i="40"/>
  <c r="F21" i="40"/>
  <c r="C20" i="40"/>
  <c r="E18" i="40"/>
  <c r="E29" i="40"/>
  <c r="G27" i="40"/>
  <c r="D26" i="40"/>
  <c r="F24" i="40"/>
  <c r="C23" i="40"/>
  <c r="H23" i="40"/>
  <c r="E21" i="40"/>
  <c r="G19" i="40"/>
  <c r="D18" i="40"/>
  <c r="D29" i="40"/>
  <c r="F27" i="40"/>
  <c r="C26" i="40"/>
  <c r="E24" i="40"/>
  <c r="G22" i="40"/>
  <c r="D21" i="40"/>
  <c r="F19" i="40"/>
  <c r="C18" i="40"/>
  <c r="C29" i="40"/>
  <c r="E27" i="40"/>
  <c r="G25" i="40"/>
  <c r="D24" i="40"/>
  <c r="F22" i="40"/>
  <c r="C21" i="40"/>
  <c r="E19" i="40"/>
  <c r="G28" i="40"/>
  <c r="D27" i="40"/>
  <c r="F25" i="40"/>
  <c r="C24" i="40"/>
  <c r="E22" i="40"/>
  <c r="G20" i="40"/>
  <c r="D19" i="40"/>
  <c r="F28" i="40"/>
  <c r="C27" i="40"/>
  <c r="E25" i="40"/>
  <c r="G23" i="40"/>
  <c r="D22" i="40"/>
  <c r="F20" i="40"/>
  <c r="C19" i="40"/>
  <c r="E10" i="40"/>
  <c r="F12" i="40"/>
  <c r="C13" i="40"/>
  <c r="G3" i="40"/>
  <c r="G5" i="40"/>
  <c r="D9" i="40"/>
  <c r="F9" i="40"/>
  <c r="C10" i="40"/>
  <c r="G13" i="40"/>
  <c r="F13" i="40"/>
  <c r="G14" i="40"/>
  <c r="E3" i="40"/>
  <c r="G4" i="40"/>
  <c r="E6" i="40"/>
  <c r="C6" i="40"/>
  <c r="E7" i="40"/>
  <c r="D8" i="40"/>
  <c r="F10" i="40"/>
  <c r="E14" i="40"/>
  <c r="C14" i="40"/>
  <c r="D12" i="40"/>
  <c r="E8" i="40"/>
  <c r="C3" i="40"/>
  <c r="G7" i="40"/>
  <c r="C9" i="40"/>
  <c r="D10" i="40"/>
  <c r="F11" i="40"/>
  <c r="F3" i="40"/>
  <c r="F4" i="40"/>
  <c r="D5" i="40"/>
  <c r="F6" i="40"/>
  <c r="C7" i="40"/>
  <c r="G11" i="40"/>
  <c r="E12" i="40"/>
  <c r="E13" i="40"/>
  <c r="F14" i="40"/>
  <c r="D3" i="40"/>
  <c r="F7" i="40"/>
  <c r="D7" i="40"/>
  <c r="C11" i="40"/>
  <c r="G6" i="40"/>
  <c r="C4" i="40"/>
  <c r="D4" i="40"/>
  <c r="E5" i="40"/>
  <c r="C8" i="40"/>
  <c r="G8" i="40"/>
  <c r="E9" i="40"/>
  <c r="G10" i="40"/>
  <c r="E11" i="40"/>
  <c r="G12" i="40"/>
  <c r="C12" i="40"/>
  <c r="D14" i="40"/>
  <c r="E4" i="40"/>
  <c r="F5" i="40"/>
  <c r="C5" i="40"/>
  <c r="D6" i="40"/>
  <c r="F8" i="40"/>
  <c r="G9" i="40"/>
  <c r="D11" i="40"/>
  <c r="D13" i="40"/>
  <c r="B355" i="14"/>
  <c r="BD355" i="6" s="1"/>
  <c r="H7" i="40"/>
  <c r="H22" i="40"/>
  <c r="H20" i="40"/>
  <c r="I23" i="40"/>
  <c r="H29" i="40"/>
  <c r="H6" i="40"/>
  <c r="H28" i="40"/>
  <c r="H10" i="40"/>
  <c r="I7" i="40"/>
  <c r="I13" i="40"/>
  <c r="H14" i="40"/>
  <c r="H3" i="40"/>
  <c r="I3" i="40"/>
  <c r="H13" i="40"/>
  <c r="I8" i="40"/>
  <c r="I26" i="40"/>
  <c r="H5" i="40"/>
  <c r="I25" i="40"/>
  <c r="H19" i="40"/>
  <c r="I18" i="40"/>
  <c r="H11" i="40"/>
  <c r="H27" i="40"/>
  <c r="I21" i="40"/>
  <c r="I22" i="40"/>
  <c r="I24" i="40"/>
  <c r="I4" i="40"/>
  <c r="I9" i="40"/>
  <c r="H18" i="40"/>
  <c r="H24" i="40"/>
  <c r="I10" i="40"/>
  <c r="H9" i="40"/>
  <c r="I28" i="40"/>
  <c r="I20" i="40"/>
  <c r="H12" i="40"/>
  <c r="H8" i="40"/>
  <c r="I12" i="40"/>
  <c r="I5" i="40"/>
  <c r="H4" i="40"/>
  <c r="I29" i="40"/>
  <c r="I14" i="40"/>
  <c r="I11" i="40"/>
  <c r="H26" i="40"/>
  <c r="I19" i="40"/>
  <c r="H21" i="40"/>
  <c r="I6" i="40"/>
  <c r="I27" i="40"/>
  <c r="H25" i="40"/>
  <c r="B356" i="14"/>
  <c r="BD356" i="6" s="1"/>
  <c r="H16" i="40"/>
  <c r="H1" i="40"/>
  <c r="I16" i="40"/>
  <c r="I1" i="40"/>
  <c r="B357" i="14"/>
  <c r="BD357" i="6" s="1"/>
  <c r="B358" i="14"/>
  <c r="BD358" i="6" s="1"/>
  <c r="B359" i="14"/>
  <c r="BD359" i="6" s="1"/>
  <c r="B360" i="14"/>
  <c r="BD360" i="6" s="1"/>
  <c r="B361" i="14"/>
  <c r="BD361" i="6" s="1"/>
  <c r="B362" i="14"/>
  <c r="BD362" i="6" s="1"/>
  <c r="B363" i="14"/>
  <c r="BD363" i="6" s="1"/>
  <c r="B364" i="14"/>
  <c r="BD364" i="6" s="1"/>
  <c r="B365" i="14"/>
  <c r="BD365" i="6" s="1"/>
  <c r="B366" i="14"/>
  <c r="BD366" i="6" s="1"/>
  <c r="B367" i="14"/>
  <c r="BD367" i="6" s="1"/>
  <c r="B368" i="14"/>
  <c r="BD368" i="6" s="1"/>
  <c r="B369" i="14"/>
  <c r="BD369" i="6" s="1"/>
  <c r="B370" i="14"/>
  <c r="BD370" i="6" s="1"/>
  <c r="B371" i="14"/>
  <c r="BD371" i="6" s="1"/>
  <c r="H74" i="37"/>
  <c r="J74" i="37" s="1"/>
  <c r="B24" i="14"/>
  <c r="B12" i="14"/>
  <c r="BD12" i="6" s="1"/>
  <c r="B16" i="14"/>
  <c r="B20" i="14"/>
  <c r="B28" i="14"/>
  <c r="B32" i="14"/>
  <c r="A12" i="6" l="1"/>
  <c r="A11" i="41" s="1"/>
  <c r="B11" i="41" s="1"/>
  <c r="A11" i="14"/>
  <c r="BD32" i="6"/>
  <c r="BD28" i="6"/>
  <c r="AI11" i="14"/>
  <c r="P11" i="14"/>
  <c r="Y11" i="14"/>
  <c r="AA11" i="14"/>
  <c r="H57" i="37" s="1"/>
  <c r="AE11" i="14"/>
  <c r="AJ11" i="14"/>
  <c r="AF11" i="14"/>
  <c r="BD24" i="6"/>
  <c r="C15" i="43"/>
  <c r="BD100" i="6"/>
  <c r="BD81" i="6"/>
  <c r="BD63" i="6"/>
  <c r="BD45" i="6"/>
  <c r="BD26" i="6"/>
  <c r="BD20" i="6"/>
  <c r="BD60" i="6"/>
  <c r="BD16" i="6"/>
  <c r="BD98" i="6"/>
  <c r="BD79" i="6"/>
  <c r="BD68" i="6"/>
  <c r="BD27" i="6"/>
  <c r="BD119" i="6"/>
  <c r="BD103" i="6"/>
  <c r="BD87" i="6"/>
  <c r="BD52" i="6"/>
  <c r="BD55" i="6"/>
  <c r="BD95" i="6"/>
  <c r="BD76" i="6"/>
  <c r="BD40" i="6"/>
  <c r="G47" i="45"/>
  <c r="H23" i="45"/>
  <c r="H47" i="45" s="1"/>
  <c r="A13" i="6" l="1"/>
  <c r="G12" i="41" s="1"/>
  <c r="C11" i="41"/>
  <c r="AC11" i="14"/>
  <c r="H52" i="37" s="1"/>
  <c r="AB11" i="14"/>
  <c r="H58" i="37" s="1"/>
  <c r="H56" i="37" s="1"/>
  <c r="E11" i="14"/>
  <c r="H42" i="37" s="1"/>
  <c r="Z11" i="14"/>
  <c r="H62" i="37" s="1"/>
  <c r="D11" i="14"/>
  <c r="H41" i="37" s="1"/>
  <c r="L11" i="14"/>
  <c r="H67" i="37" s="1"/>
  <c r="X11" i="14"/>
  <c r="H54" i="37" s="1"/>
  <c r="G11" i="14"/>
  <c r="H36" i="37" s="1"/>
  <c r="C11" i="14"/>
  <c r="H63" i="37" s="1"/>
  <c r="O11" i="14"/>
  <c r="H68" i="37" s="1"/>
  <c r="AH11" i="14"/>
  <c r="H39" i="37" s="1"/>
  <c r="J11" i="14"/>
  <c r="H51" i="37" s="1"/>
  <c r="H11" i="14"/>
  <c r="H49" i="37" s="1"/>
  <c r="U11" i="14"/>
  <c r="H73" i="37" s="1"/>
  <c r="W11" i="14"/>
  <c r="H38" i="37" s="1"/>
  <c r="F11" i="14"/>
  <c r="H43" i="37" s="1"/>
  <c r="V11" i="14"/>
  <c r="H37" i="37" s="1"/>
  <c r="I11" i="14"/>
  <c r="H50" i="37" s="1"/>
  <c r="N11" i="14"/>
  <c r="AD11" i="14"/>
  <c r="H64" i="37" s="1"/>
  <c r="R11" i="14"/>
  <c r="H70" i="37" s="1"/>
  <c r="T11" i="14"/>
  <c r="H72" i="37" s="1"/>
  <c r="Q11" i="14"/>
  <c r="M11" i="14"/>
  <c r="AG11" i="14"/>
  <c r="H46" i="37" s="1"/>
  <c r="S11" i="14"/>
  <c r="H71" i="37" s="1"/>
  <c r="K11" i="14"/>
  <c r="H66" i="37" s="1"/>
  <c r="G11" i="41"/>
  <c r="C12" i="6"/>
  <c r="F12" i="6" s="1"/>
  <c r="G12" i="6"/>
  <c r="M11" i="41"/>
  <c r="A12" i="14"/>
  <c r="A14" i="6"/>
  <c r="H69" i="37"/>
  <c r="H44" i="37"/>
  <c r="H47" i="37"/>
  <c r="H60" i="37"/>
  <c r="H55" i="37"/>
  <c r="H61" i="37"/>
  <c r="H53" i="37" l="1"/>
  <c r="A12" i="41"/>
  <c r="A13" i="14"/>
  <c r="I13" i="14" s="1"/>
  <c r="H40" i="37"/>
  <c r="A14" i="14"/>
  <c r="A13" i="41"/>
  <c r="G13" i="41"/>
  <c r="D12" i="6"/>
  <c r="E12" i="6" s="1"/>
  <c r="I11" i="41" s="1"/>
  <c r="B12" i="6"/>
  <c r="AF13" i="14"/>
  <c r="AC13" i="14"/>
  <c r="V12" i="14"/>
  <c r="AJ12" i="14"/>
  <c r="C12" i="14"/>
  <c r="Z12" i="14"/>
  <c r="D12" i="14"/>
  <c r="AF12" i="14"/>
  <c r="L12" i="14"/>
  <c r="R12" i="14"/>
  <c r="N12" i="14"/>
  <c r="AA12" i="14"/>
  <c r="AB12" i="14"/>
  <c r="G12" i="14"/>
  <c r="T12" i="14"/>
  <c r="K12" i="14"/>
  <c r="AG12" i="14"/>
  <c r="S12" i="14"/>
  <c r="W12" i="14"/>
  <c r="Q12" i="14"/>
  <c r="Y12" i="14"/>
  <c r="J12" i="14"/>
  <c r="M12" i="14"/>
  <c r="AH12" i="14"/>
  <c r="O12" i="14"/>
  <c r="P12" i="14"/>
  <c r="I12" i="14"/>
  <c r="E12" i="14"/>
  <c r="H12" i="14"/>
  <c r="AE12" i="14"/>
  <c r="X12" i="14"/>
  <c r="AI12" i="14"/>
  <c r="F12" i="14"/>
  <c r="U12" i="14"/>
  <c r="AC12" i="14"/>
  <c r="AD12" i="14"/>
  <c r="A15" i="6"/>
  <c r="O11" i="41"/>
  <c r="N11" i="41"/>
  <c r="H12" i="6"/>
  <c r="H59" i="37"/>
  <c r="H11" i="41"/>
  <c r="C13" i="6"/>
  <c r="H48" i="37"/>
  <c r="H45" i="37"/>
  <c r="H65" i="37"/>
  <c r="AE13" i="14" l="1"/>
  <c r="O13" i="14"/>
  <c r="P13" i="14"/>
  <c r="Q13" i="14"/>
  <c r="T13" i="14"/>
  <c r="J13" i="14"/>
  <c r="AA13" i="14"/>
  <c r="H13" i="14"/>
  <c r="N13" i="14"/>
  <c r="L13" i="14"/>
  <c r="F13" i="14"/>
  <c r="M13" i="14"/>
  <c r="C13" i="14"/>
  <c r="AI13" i="14"/>
  <c r="AH13" i="14"/>
  <c r="AJ13" i="14"/>
  <c r="Z13" i="14"/>
  <c r="R13" i="14"/>
  <c r="X13" i="14"/>
  <c r="AG13" i="14"/>
  <c r="Y13" i="14"/>
  <c r="U13" i="14"/>
  <c r="G13" i="14"/>
  <c r="AD13" i="14"/>
  <c r="AB13" i="14"/>
  <c r="E13" i="14"/>
  <c r="D13" i="14"/>
  <c r="K13" i="14"/>
  <c r="S13" i="14"/>
  <c r="W13" i="14"/>
  <c r="V13" i="14"/>
  <c r="H75" i="37"/>
  <c r="T45" i="37" s="1"/>
  <c r="C7" i="45" s="1"/>
  <c r="B12" i="41"/>
  <c r="G13" i="6"/>
  <c r="F13" i="6"/>
  <c r="H13" i="6"/>
  <c r="D13" i="6"/>
  <c r="E13" i="6" s="1"/>
  <c r="H12" i="41"/>
  <c r="B13" i="6"/>
  <c r="A15" i="14"/>
  <c r="A14" i="41"/>
  <c r="G14" i="41"/>
  <c r="A16" i="6"/>
  <c r="C14" i="6"/>
  <c r="AU12" i="6"/>
  <c r="I12" i="6"/>
  <c r="J12" i="6"/>
  <c r="Y14" i="14"/>
  <c r="AA14" i="14"/>
  <c r="AE14" i="14"/>
  <c r="S14" i="14"/>
  <c r="W14" i="14"/>
  <c r="F14" i="14"/>
  <c r="V14" i="14"/>
  <c r="N14" i="14"/>
  <c r="I14" i="14"/>
  <c r="P14" i="14"/>
  <c r="AD14" i="14"/>
  <c r="R14" i="14"/>
  <c r="L14" i="14"/>
  <c r="E14" i="14"/>
  <c r="G14" i="14"/>
  <c r="AB14" i="14"/>
  <c r="AG14" i="14"/>
  <c r="K14" i="14"/>
  <c r="AC14" i="14"/>
  <c r="AF14" i="14"/>
  <c r="X14" i="14"/>
  <c r="J14" i="14"/>
  <c r="H14" i="14"/>
  <c r="M14" i="14"/>
  <c r="AI14" i="14"/>
  <c r="AJ14" i="14"/>
  <c r="C14" i="14"/>
  <c r="AH14" i="14"/>
  <c r="Q14" i="14"/>
  <c r="D14" i="14"/>
  <c r="U14" i="14"/>
  <c r="T14" i="14"/>
  <c r="Z14" i="14"/>
  <c r="O14" i="14"/>
  <c r="C7" i="46" l="1"/>
  <c r="B13" i="41"/>
  <c r="B14" i="6"/>
  <c r="G14" i="6"/>
  <c r="F14" i="6"/>
  <c r="H14" i="6"/>
  <c r="D14" i="6"/>
  <c r="E14" i="6" s="1"/>
  <c r="A15" i="41"/>
  <c r="A16" i="14"/>
  <c r="G15" i="41"/>
  <c r="A17" i="6"/>
  <c r="C12" i="41"/>
  <c r="I12" i="41"/>
  <c r="AU13" i="6"/>
  <c r="J13" i="6"/>
  <c r="I13" i="6"/>
  <c r="H13" i="41"/>
  <c r="AV12" i="6"/>
  <c r="N12" i="6"/>
  <c r="V15" i="14"/>
  <c r="T15" i="14"/>
  <c r="N15" i="14"/>
  <c r="AI15" i="14"/>
  <c r="H15" i="14"/>
  <c r="AD15" i="14"/>
  <c r="Y15" i="14"/>
  <c r="AB15" i="14"/>
  <c r="F15" i="14"/>
  <c r="AH15" i="14"/>
  <c r="U15" i="14"/>
  <c r="W15" i="14"/>
  <c r="AG15" i="14"/>
  <c r="AJ15" i="14"/>
  <c r="X15" i="14"/>
  <c r="AA15" i="14"/>
  <c r="AF15" i="14"/>
  <c r="R15" i="14"/>
  <c r="J15" i="14"/>
  <c r="S15" i="14"/>
  <c r="G15" i="14"/>
  <c r="M15" i="14"/>
  <c r="K15" i="14"/>
  <c r="D15" i="14"/>
  <c r="AC15" i="14"/>
  <c r="AE15" i="14"/>
  <c r="P15" i="14"/>
  <c r="O15" i="14"/>
  <c r="L15" i="14"/>
  <c r="C15" i="14"/>
  <c r="Z15" i="14"/>
  <c r="E15" i="14"/>
  <c r="Q15" i="14"/>
  <c r="I15" i="14"/>
  <c r="C15" i="6"/>
  <c r="V16" i="14" l="1"/>
  <c r="L16" i="14"/>
  <c r="AB16" i="14"/>
  <c r="AF16" i="14"/>
  <c r="M16" i="14"/>
  <c r="W16" i="14"/>
  <c r="R16" i="14"/>
  <c r="AG16" i="14"/>
  <c r="AD16" i="14"/>
  <c r="F16" i="14"/>
  <c r="AH16" i="14"/>
  <c r="D16" i="14"/>
  <c r="Y16" i="14"/>
  <c r="I16" i="14"/>
  <c r="X16" i="14"/>
  <c r="AA16" i="14"/>
  <c r="P16" i="14"/>
  <c r="AJ16" i="14"/>
  <c r="E16" i="14"/>
  <c r="J16" i="14"/>
  <c r="T16" i="14"/>
  <c r="N16" i="14"/>
  <c r="H16" i="14"/>
  <c r="AE16" i="14"/>
  <c r="O16" i="14"/>
  <c r="C16" i="14"/>
  <c r="U16" i="14"/>
  <c r="G16" i="14"/>
  <c r="K16" i="14"/>
  <c r="AC16" i="14"/>
  <c r="Z16" i="14"/>
  <c r="AI16" i="14"/>
  <c r="Q16" i="14"/>
  <c r="S16" i="14"/>
  <c r="A18" i="6"/>
  <c r="G16" i="41"/>
  <c r="A17" i="14"/>
  <c r="A16" i="41"/>
  <c r="C13" i="41"/>
  <c r="I13" i="41"/>
  <c r="N13" i="6"/>
  <c r="AV13" i="6"/>
  <c r="AU14" i="6"/>
  <c r="J14" i="6"/>
  <c r="I14" i="6"/>
  <c r="B14" i="41"/>
  <c r="H15" i="6"/>
  <c r="B15" i="6"/>
  <c r="D15" i="6"/>
  <c r="E15" i="6" s="1"/>
  <c r="F15" i="6"/>
  <c r="G15" i="6"/>
  <c r="C16" i="6"/>
  <c r="H15" i="41" s="1"/>
  <c r="H14" i="41"/>
  <c r="C14" i="41" l="1"/>
  <c r="I14" i="41"/>
  <c r="AA17" i="14"/>
  <c r="R17" i="14"/>
  <c r="AB17" i="14"/>
  <c r="Y17" i="14"/>
  <c r="D17" i="14"/>
  <c r="F17" i="14"/>
  <c r="P17" i="14"/>
  <c r="X17" i="14"/>
  <c r="U17" i="14"/>
  <c r="T17" i="14"/>
  <c r="C17" i="14"/>
  <c r="AI17" i="14"/>
  <c r="AF17" i="14"/>
  <c r="W17" i="14"/>
  <c r="K17" i="14"/>
  <c r="L17" i="14"/>
  <c r="Z17" i="14"/>
  <c r="M17" i="14"/>
  <c r="N17" i="14"/>
  <c r="O17" i="14"/>
  <c r="AC17" i="14"/>
  <c r="AG17" i="14"/>
  <c r="AJ17" i="14"/>
  <c r="I17" i="14"/>
  <c r="J17" i="14"/>
  <c r="E17" i="14"/>
  <c r="V17" i="14"/>
  <c r="G17" i="14"/>
  <c r="H17" i="14"/>
  <c r="Q17" i="14"/>
  <c r="AH17" i="14"/>
  <c r="AE17" i="14"/>
  <c r="S17" i="14"/>
  <c r="AD17" i="14"/>
  <c r="G17" i="41"/>
  <c r="A17" i="41"/>
  <c r="A18" i="14"/>
  <c r="C18" i="6"/>
  <c r="B17" i="41" s="1"/>
  <c r="A19" i="6"/>
  <c r="A20" i="6" s="1"/>
  <c r="AU15" i="6"/>
  <c r="I15" i="6"/>
  <c r="J15" i="6"/>
  <c r="B15" i="41"/>
  <c r="B16" i="6"/>
  <c r="D16" i="6"/>
  <c r="E16" i="6" s="1"/>
  <c r="G16" i="6"/>
  <c r="H16" i="6"/>
  <c r="F16" i="6"/>
  <c r="AV14" i="6"/>
  <c r="N14" i="6"/>
  <c r="C17" i="6"/>
  <c r="C15" i="41" l="1"/>
  <c r="I15" i="41"/>
  <c r="A18" i="41"/>
  <c r="A19" i="14"/>
  <c r="C19" i="6"/>
  <c r="B18" i="41" s="1"/>
  <c r="G18" i="41"/>
  <c r="D19" i="6"/>
  <c r="E19" i="6" s="1"/>
  <c r="C18" i="41" s="1"/>
  <c r="A21" i="6"/>
  <c r="F18" i="6"/>
  <c r="H17" i="41"/>
  <c r="A19" i="41"/>
  <c r="A20" i="14"/>
  <c r="G19" i="41"/>
  <c r="C20" i="6"/>
  <c r="B19" i="41" s="1"/>
  <c r="B16" i="41"/>
  <c r="G17" i="6"/>
  <c r="F17" i="6"/>
  <c r="B17" i="6"/>
  <c r="H17" i="6"/>
  <c r="D17" i="6"/>
  <c r="E17" i="6" s="1"/>
  <c r="J18" i="14"/>
  <c r="O18" i="14"/>
  <c r="AG18" i="14"/>
  <c r="P18" i="14"/>
  <c r="AF18" i="14"/>
  <c r="U18" i="14"/>
  <c r="W18" i="14"/>
  <c r="G18" i="14"/>
  <c r="T18" i="14"/>
  <c r="AH18" i="14"/>
  <c r="F18" i="14"/>
  <c r="K18" i="14"/>
  <c r="C18" i="14"/>
  <c r="X18" i="14"/>
  <c r="V18" i="14"/>
  <c r="AB18" i="14"/>
  <c r="AD18" i="14"/>
  <c r="S18" i="14"/>
  <c r="Y18" i="14"/>
  <c r="Q18" i="14"/>
  <c r="Z18" i="14"/>
  <c r="AI18" i="14"/>
  <c r="M18" i="14"/>
  <c r="R18" i="14"/>
  <c r="N18" i="14"/>
  <c r="AJ18" i="14"/>
  <c r="H18" i="14"/>
  <c r="AC18" i="14"/>
  <c r="D18" i="14"/>
  <c r="E18" i="14"/>
  <c r="I18" i="14"/>
  <c r="AA18" i="14"/>
  <c r="L18" i="14"/>
  <c r="AE18" i="14"/>
  <c r="H16" i="41"/>
  <c r="AV15" i="6"/>
  <c r="N15" i="6"/>
  <c r="G18" i="6"/>
  <c r="B18" i="6"/>
  <c r="D18" i="6"/>
  <c r="E18" i="6" s="1"/>
  <c r="C17" i="41" s="1"/>
  <c r="AU16" i="6"/>
  <c r="J16" i="6"/>
  <c r="I16" i="6"/>
  <c r="H18" i="6"/>
  <c r="A22" i="6" l="1"/>
  <c r="A23" i="6" s="1"/>
  <c r="G19" i="6"/>
  <c r="C16" i="41"/>
  <c r="I16" i="41"/>
  <c r="B20" i="6"/>
  <c r="AU17" i="6"/>
  <c r="I17" i="6"/>
  <c r="J17" i="6"/>
  <c r="D20" i="6"/>
  <c r="E20" i="6" s="1"/>
  <c r="C19" i="41" s="1"/>
  <c r="F20" i="6"/>
  <c r="AV16" i="6"/>
  <c r="N16" i="6"/>
  <c r="G21" i="41"/>
  <c r="A22" i="14"/>
  <c r="B19" i="6"/>
  <c r="G20" i="6"/>
  <c r="I17" i="41"/>
  <c r="H18" i="41"/>
  <c r="I18" i="41"/>
  <c r="H20" i="6"/>
  <c r="F19" i="6"/>
  <c r="Y19" i="14"/>
  <c r="AG19" i="14"/>
  <c r="U19" i="14"/>
  <c r="AH19" i="14"/>
  <c r="AB19" i="14"/>
  <c r="AJ19" i="14"/>
  <c r="N19" i="14"/>
  <c r="X19" i="14"/>
  <c r="AC19" i="14"/>
  <c r="H19" i="14"/>
  <c r="F19" i="14"/>
  <c r="M19" i="14"/>
  <c r="Z19" i="14"/>
  <c r="AA19" i="14"/>
  <c r="Q19" i="14"/>
  <c r="I19" i="14"/>
  <c r="S19" i="14"/>
  <c r="O19" i="14"/>
  <c r="G19" i="14"/>
  <c r="C19" i="14"/>
  <c r="D19" i="14"/>
  <c r="W19" i="14"/>
  <c r="L19" i="14"/>
  <c r="T19" i="14"/>
  <c r="V19" i="14"/>
  <c r="P19" i="14"/>
  <c r="J19" i="14"/>
  <c r="E19" i="14"/>
  <c r="K19" i="14"/>
  <c r="R19" i="14"/>
  <c r="AI19" i="14"/>
  <c r="AD19" i="14"/>
  <c r="AF19" i="14"/>
  <c r="AE19" i="14"/>
  <c r="H19" i="41"/>
  <c r="AU18" i="6"/>
  <c r="I18" i="6"/>
  <c r="J18" i="6"/>
  <c r="Z20" i="14"/>
  <c r="G20" i="14"/>
  <c r="AF20" i="14"/>
  <c r="AB20" i="14"/>
  <c r="C20" i="14"/>
  <c r="R20" i="14"/>
  <c r="X20" i="14"/>
  <c r="AC20" i="14"/>
  <c r="O20" i="14"/>
  <c r="AE20" i="14"/>
  <c r="AD20" i="14"/>
  <c r="AJ20" i="14"/>
  <c r="T20" i="14"/>
  <c r="I20" i="14"/>
  <c r="K20" i="14"/>
  <c r="U20" i="14"/>
  <c r="AG20" i="14"/>
  <c r="H20" i="14"/>
  <c r="L20" i="14"/>
  <c r="J20" i="14"/>
  <c r="AI20" i="14"/>
  <c r="AA20" i="14"/>
  <c r="N20" i="14"/>
  <c r="AH20" i="14"/>
  <c r="D20" i="14"/>
  <c r="W20" i="14"/>
  <c r="P20" i="14"/>
  <c r="Y20" i="14"/>
  <c r="V20" i="14"/>
  <c r="S20" i="14"/>
  <c r="E20" i="14"/>
  <c r="M20" i="14"/>
  <c r="F20" i="14"/>
  <c r="Q20" i="14"/>
  <c r="A21" i="14"/>
  <c r="C21" i="6"/>
  <c r="B20" i="41" s="1"/>
  <c r="G20" i="41"/>
  <c r="A20" i="41"/>
  <c r="H19" i="6"/>
  <c r="A23" i="14" l="1"/>
  <c r="A22" i="41"/>
  <c r="G22" i="41"/>
  <c r="A24" i="6"/>
  <c r="A21" i="41"/>
  <c r="H21" i="6"/>
  <c r="AU21" i="6" s="1"/>
  <c r="B21" i="6"/>
  <c r="G21" i="6"/>
  <c r="O23" i="14"/>
  <c r="N23" i="14"/>
  <c r="G23" i="14"/>
  <c r="H23" i="14"/>
  <c r="Y23" i="14"/>
  <c r="L23" i="14"/>
  <c r="M23" i="14"/>
  <c r="J23" i="14"/>
  <c r="AA23" i="14"/>
  <c r="V23" i="14"/>
  <c r="F23" i="14"/>
  <c r="S23" i="14"/>
  <c r="R23" i="14"/>
  <c r="E23" i="14"/>
  <c r="D23" i="14"/>
  <c r="AJ23" i="14"/>
  <c r="AG23" i="14"/>
  <c r="W23" i="14"/>
  <c r="I23" i="14"/>
  <c r="Z23" i="14"/>
  <c r="AI23" i="14"/>
  <c r="AE23" i="14"/>
  <c r="X23" i="14"/>
  <c r="K23" i="14"/>
  <c r="AC23" i="14"/>
  <c r="AD23" i="14"/>
  <c r="Q23" i="14"/>
  <c r="P23" i="14"/>
  <c r="AH23" i="14"/>
  <c r="AF23" i="14"/>
  <c r="T23" i="14"/>
  <c r="AB23" i="14"/>
  <c r="C23" i="14"/>
  <c r="U23" i="14"/>
  <c r="C22" i="6"/>
  <c r="N17" i="6"/>
  <c r="AV17" i="6"/>
  <c r="AE21" i="14"/>
  <c r="H21" i="14"/>
  <c r="L21" i="14"/>
  <c r="Q21" i="14"/>
  <c r="N21" i="14"/>
  <c r="U21" i="14"/>
  <c r="K21" i="14"/>
  <c r="AF21" i="14"/>
  <c r="AG21" i="14"/>
  <c r="T21" i="14"/>
  <c r="D21" i="14"/>
  <c r="Y21" i="14"/>
  <c r="AJ21" i="14"/>
  <c r="AD21" i="14"/>
  <c r="V21" i="14"/>
  <c r="M21" i="14"/>
  <c r="R21" i="14"/>
  <c r="O21" i="14"/>
  <c r="F21" i="14"/>
  <c r="J21" i="14"/>
  <c r="AB21" i="14"/>
  <c r="AA21" i="14"/>
  <c r="C21" i="14"/>
  <c r="X21" i="14"/>
  <c r="I21" i="14"/>
  <c r="W21" i="14"/>
  <c r="S21" i="14"/>
  <c r="AI21" i="14"/>
  <c r="AC21" i="14"/>
  <c r="G21" i="14"/>
  <c r="AH21" i="14"/>
  <c r="E21" i="14"/>
  <c r="Z21" i="14"/>
  <c r="P21" i="14"/>
  <c r="I19" i="41"/>
  <c r="N22" i="14"/>
  <c r="Q22" i="14"/>
  <c r="AH22" i="14"/>
  <c r="AD22" i="14"/>
  <c r="L22" i="14"/>
  <c r="W22" i="14"/>
  <c r="X22" i="14"/>
  <c r="Z22" i="14"/>
  <c r="G22" i="14"/>
  <c r="AB22" i="14"/>
  <c r="I22" i="14"/>
  <c r="T22" i="14"/>
  <c r="AA22" i="14"/>
  <c r="R22" i="14"/>
  <c r="AF22" i="14"/>
  <c r="C22" i="14"/>
  <c r="F22" i="14"/>
  <c r="AC22" i="14"/>
  <c r="J22" i="14"/>
  <c r="V22" i="14"/>
  <c r="O22" i="14"/>
  <c r="D22" i="14"/>
  <c r="H22" i="14"/>
  <c r="E22" i="14"/>
  <c r="AI22" i="14"/>
  <c r="P22" i="14"/>
  <c r="S22" i="14"/>
  <c r="U22" i="14"/>
  <c r="K22" i="14"/>
  <c r="M22" i="14"/>
  <c r="Y22" i="14"/>
  <c r="AE22" i="14"/>
  <c r="AG22" i="14"/>
  <c r="AJ22" i="14"/>
  <c r="AU20" i="6"/>
  <c r="J20" i="6"/>
  <c r="I20" i="6"/>
  <c r="AV18" i="6"/>
  <c r="N18" i="6"/>
  <c r="AU19" i="6"/>
  <c r="J19" i="6"/>
  <c r="I19" i="6"/>
  <c r="D21" i="6"/>
  <c r="E21" i="6" s="1"/>
  <c r="C20" i="41" s="1"/>
  <c r="H20" i="41"/>
  <c r="F21" i="6"/>
  <c r="G23" i="41" l="1"/>
  <c r="A23" i="41"/>
  <c r="A24" i="14"/>
  <c r="A25" i="6"/>
  <c r="J21" i="6"/>
  <c r="I21" i="6"/>
  <c r="AV19" i="6"/>
  <c r="N19" i="6"/>
  <c r="AV20" i="6"/>
  <c r="N20" i="6"/>
  <c r="I20" i="41"/>
  <c r="B21" i="41"/>
  <c r="C23" i="6"/>
  <c r="G22" i="6"/>
  <c r="B22" i="6"/>
  <c r="F22" i="6"/>
  <c r="H22" i="6"/>
  <c r="D22" i="6"/>
  <c r="E22" i="6" s="1"/>
  <c r="H21" i="41"/>
  <c r="G24" i="41" l="1"/>
  <c r="A24" i="41"/>
  <c r="A26" i="6"/>
  <c r="A25" i="14"/>
  <c r="G24" i="14"/>
  <c r="AB24" i="14"/>
  <c r="AE24" i="14"/>
  <c r="AA24" i="14"/>
  <c r="I24" i="14"/>
  <c r="S24" i="14"/>
  <c r="J24" i="14"/>
  <c r="N24" i="14"/>
  <c r="F24" i="14"/>
  <c r="C24" i="14"/>
  <c r="H24" i="14"/>
  <c r="Z24" i="14"/>
  <c r="Q24" i="14"/>
  <c r="W24" i="14"/>
  <c r="R24" i="14"/>
  <c r="O24" i="14"/>
  <c r="U24" i="14"/>
  <c r="AD24" i="14"/>
  <c r="AG24" i="14"/>
  <c r="AI24" i="14"/>
  <c r="V24" i="14"/>
  <c r="M24" i="14"/>
  <c r="AC24" i="14"/>
  <c r="D24" i="14"/>
  <c r="X24" i="14"/>
  <c r="K24" i="14"/>
  <c r="P24" i="14"/>
  <c r="AF24" i="14"/>
  <c r="AJ24" i="14"/>
  <c r="AH24" i="14"/>
  <c r="Y24" i="14"/>
  <c r="T24" i="14"/>
  <c r="L24" i="14"/>
  <c r="E24" i="14"/>
  <c r="AV21" i="6"/>
  <c r="N21" i="6"/>
  <c r="AU22" i="6"/>
  <c r="J22" i="6"/>
  <c r="I22" i="6"/>
  <c r="B22" i="41"/>
  <c r="H23" i="6"/>
  <c r="G23" i="6"/>
  <c r="C24" i="6"/>
  <c r="D23" i="6"/>
  <c r="E23" i="6" s="1"/>
  <c r="B23" i="6"/>
  <c r="F23" i="6"/>
  <c r="H22" i="41"/>
  <c r="C21" i="41"/>
  <c r="I21" i="41"/>
  <c r="W25" i="14" l="1"/>
  <c r="M25" i="14"/>
  <c r="AC25" i="14"/>
  <c r="AE25" i="14"/>
  <c r="AB25" i="14"/>
  <c r="AH25" i="14"/>
  <c r="Z25" i="14"/>
  <c r="AJ25" i="14"/>
  <c r="H25" i="14"/>
  <c r="C25" i="14"/>
  <c r="AA25" i="14"/>
  <c r="F25" i="14"/>
  <c r="L25" i="14"/>
  <c r="Y25" i="14"/>
  <c r="U25" i="14"/>
  <c r="T25" i="14"/>
  <c r="AD25" i="14"/>
  <c r="S25" i="14"/>
  <c r="G25" i="14"/>
  <c r="Q25" i="14"/>
  <c r="R25" i="14"/>
  <c r="AI25" i="14"/>
  <c r="O25" i="14"/>
  <c r="X25" i="14"/>
  <c r="I25" i="14"/>
  <c r="V25" i="14"/>
  <c r="E25" i="14"/>
  <c r="N25" i="14"/>
  <c r="P25" i="14"/>
  <c r="AF25" i="14"/>
  <c r="J25" i="14"/>
  <c r="D25" i="14"/>
  <c r="AG25" i="14"/>
  <c r="K25" i="14"/>
  <c r="A26" i="14"/>
  <c r="A27" i="6"/>
  <c r="G25" i="41"/>
  <c r="A25" i="41"/>
  <c r="C22" i="41"/>
  <c r="I22" i="41"/>
  <c r="AU23" i="6"/>
  <c r="I23" i="6"/>
  <c r="J23" i="6"/>
  <c r="B23" i="41"/>
  <c r="G24" i="6"/>
  <c r="H24" i="6"/>
  <c r="B24" i="6"/>
  <c r="F24" i="6"/>
  <c r="D24" i="6"/>
  <c r="E24" i="6" s="1"/>
  <c r="C25" i="6"/>
  <c r="H23" i="41"/>
  <c r="AV22" i="6"/>
  <c r="N22" i="6"/>
  <c r="A28" i="6" l="1"/>
  <c r="A26" i="41"/>
  <c r="A27" i="14"/>
  <c r="G26" i="41"/>
  <c r="A29" i="6"/>
  <c r="A30" i="6"/>
  <c r="AG26" i="14"/>
  <c r="O26" i="14"/>
  <c r="M26" i="14"/>
  <c r="Y26" i="14"/>
  <c r="AB26" i="14"/>
  <c r="C26" i="14"/>
  <c r="Q26" i="14"/>
  <c r="T26" i="14"/>
  <c r="AA26" i="14"/>
  <c r="Z26" i="14"/>
  <c r="U26" i="14"/>
  <c r="K26" i="14"/>
  <c r="AI26" i="14"/>
  <c r="X26" i="14"/>
  <c r="AE26" i="14"/>
  <c r="J26" i="14"/>
  <c r="F26" i="14"/>
  <c r="AD26" i="14"/>
  <c r="D26" i="14"/>
  <c r="I26" i="14"/>
  <c r="N26" i="14"/>
  <c r="S26" i="14"/>
  <c r="V26" i="14"/>
  <c r="W26" i="14"/>
  <c r="AF26" i="14"/>
  <c r="E26" i="14"/>
  <c r="G26" i="14"/>
  <c r="P26" i="14"/>
  <c r="R26" i="14"/>
  <c r="L26" i="14"/>
  <c r="AC26" i="14"/>
  <c r="AH26" i="14"/>
  <c r="AJ26" i="14"/>
  <c r="H26" i="14"/>
  <c r="C23" i="41"/>
  <c r="I23" i="41"/>
  <c r="AU24" i="6"/>
  <c r="I24" i="6"/>
  <c r="J24" i="6"/>
  <c r="B24" i="41"/>
  <c r="G25" i="6"/>
  <c r="H25" i="6"/>
  <c r="B25" i="6"/>
  <c r="F25" i="6"/>
  <c r="D25" i="6"/>
  <c r="E25" i="6" s="1"/>
  <c r="H24" i="41"/>
  <c r="C26" i="6"/>
  <c r="AV23" i="6"/>
  <c r="N23" i="6"/>
  <c r="A31" i="6" l="1"/>
  <c r="A30" i="14"/>
  <c r="G29" i="41"/>
  <c r="A29" i="41"/>
  <c r="G28" i="41"/>
  <c r="A28" i="41"/>
  <c r="A29" i="14"/>
  <c r="AG27" i="14"/>
  <c r="Q27" i="14"/>
  <c r="C27" i="14"/>
  <c r="AA27" i="14"/>
  <c r="Z27" i="14"/>
  <c r="P27" i="14"/>
  <c r="X27" i="14"/>
  <c r="L27" i="14"/>
  <c r="AI27" i="14"/>
  <c r="M27" i="14"/>
  <c r="O27" i="14"/>
  <c r="J27" i="14"/>
  <c r="AE27" i="14"/>
  <c r="T27" i="14"/>
  <c r="D27" i="14"/>
  <c r="AC27" i="14"/>
  <c r="U27" i="14"/>
  <c r="K27" i="14"/>
  <c r="AJ27" i="14"/>
  <c r="F27" i="14"/>
  <c r="E27" i="14"/>
  <c r="S27" i="14"/>
  <c r="I27" i="14"/>
  <c r="V27" i="14"/>
  <c r="N27" i="14"/>
  <c r="AF27" i="14"/>
  <c r="W27" i="14"/>
  <c r="AD27" i="14"/>
  <c r="G27" i="14"/>
  <c r="R27" i="14"/>
  <c r="H27" i="14"/>
  <c r="AH27" i="14"/>
  <c r="Y27" i="14"/>
  <c r="AB27" i="14"/>
  <c r="A28" i="14"/>
  <c r="G27" i="41"/>
  <c r="A27" i="41"/>
  <c r="A32" i="6"/>
  <c r="AV24" i="6"/>
  <c r="N24" i="6"/>
  <c r="AU25" i="6"/>
  <c r="I25" i="6"/>
  <c r="J25" i="6"/>
  <c r="B25" i="41"/>
  <c r="F26" i="6"/>
  <c r="B26" i="6"/>
  <c r="D26" i="6"/>
  <c r="E26" i="6" s="1"/>
  <c r="H26" i="6"/>
  <c r="G26" i="6"/>
  <c r="H25" i="41"/>
  <c r="C27" i="6"/>
  <c r="C24" i="41"/>
  <c r="I24" i="41"/>
  <c r="A31" i="41" l="1"/>
  <c r="A32" i="14"/>
  <c r="G31" i="41"/>
  <c r="Y29" i="14"/>
  <c r="AJ29" i="14"/>
  <c r="J29" i="14"/>
  <c r="N29" i="14"/>
  <c r="F29" i="14"/>
  <c r="AI29" i="14"/>
  <c r="S29" i="14"/>
  <c r="D29" i="14"/>
  <c r="U29" i="14"/>
  <c r="AA29" i="14"/>
  <c r="X29" i="14"/>
  <c r="K29" i="14"/>
  <c r="C29" i="14"/>
  <c r="AF29" i="14"/>
  <c r="AC29" i="14"/>
  <c r="AB29" i="14"/>
  <c r="I29" i="14"/>
  <c r="O29" i="14"/>
  <c r="R29" i="14"/>
  <c r="G29" i="14"/>
  <c r="P29" i="14"/>
  <c r="AE29" i="14"/>
  <c r="L29" i="14"/>
  <c r="AH29" i="14"/>
  <c r="Q29" i="14"/>
  <c r="T29" i="14"/>
  <c r="AD29" i="14"/>
  <c r="AG29" i="14"/>
  <c r="E29" i="14"/>
  <c r="V29" i="14"/>
  <c r="W29" i="14"/>
  <c r="M29" i="14"/>
  <c r="Z29" i="14"/>
  <c r="H29" i="14"/>
  <c r="A33" i="6"/>
  <c r="I28" i="14"/>
  <c r="J28" i="14"/>
  <c r="W28" i="14"/>
  <c r="Z28" i="14"/>
  <c r="N28" i="14"/>
  <c r="T28" i="14"/>
  <c r="AB28" i="14"/>
  <c r="E28" i="14"/>
  <c r="S28" i="14"/>
  <c r="X28" i="14"/>
  <c r="R28" i="14"/>
  <c r="AD28" i="14"/>
  <c r="O28" i="14"/>
  <c r="AI28" i="14"/>
  <c r="M28" i="14"/>
  <c r="L28" i="14"/>
  <c r="AC28" i="14"/>
  <c r="AA28" i="14"/>
  <c r="Y28" i="14"/>
  <c r="F28" i="14"/>
  <c r="AJ28" i="14"/>
  <c r="AE28" i="14"/>
  <c r="AF28" i="14"/>
  <c r="D28" i="14"/>
  <c r="AG28" i="14"/>
  <c r="U28" i="14"/>
  <c r="AH28" i="14"/>
  <c r="G28" i="14"/>
  <c r="H28" i="14"/>
  <c r="P28" i="14"/>
  <c r="C28" i="14"/>
  <c r="Q28" i="14"/>
  <c r="K28" i="14"/>
  <c r="V28" i="14"/>
  <c r="AF30" i="14"/>
  <c r="D30" i="14"/>
  <c r="AE30" i="14"/>
  <c r="K30" i="14"/>
  <c r="AB30" i="14"/>
  <c r="AD30" i="14"/>
  <c r="G30" i="14"/>
  <c r="H30" i="14"/>
  <c r="AA30" i="14"/>
  <c r="T30" i="14"/>
  <c r="AI30" i="14"/>
  <c r="U30" i="14"/>
  <c r="O30" i="14"/>
  <c r="S30" i="14"/>
  <c r="X30" i="14"/>
  <c r="V30" i="14"/>
  <c r="AG30" i="14"/>
  <c r="L30" i="14"/>
  <c r="R30" i="14"/>
  <c r="F30" i="14"/>
  <c r="Z30" i="14"/>
  <c r="AJ30" i="14"/>
  <c r="Y30" i="14"/>
  <c r="C30" i="14"/>
  <c r="N30" i="14"/>
  <c r="AC30" i="14"/>
  <c r="P30" i="14"/>
  <c r="W30" i="14"/>
  <c r="Q30" i="14"/>
  <c r="I30" i="14"/>
  <c r="E30" i="14"/>
  <c r="M30" i="14"/>
  <c r="AH30" i="14"/>
  <c r="J30" i="14"/>
  <c r="G30" i="41"/>
  <c r="A31" i="14"/>
  <c r="A30" i="41"/>
  <c r="A34" i="6"/>
  <c r="A35" i="6" s="1"/>
  <c r="B26" i="41"/>
  <c r="F27" i="6"/>
  <c r="H27" i="6"/>
  <c r="C28" i="6"/>
  <c r="G27" i="6"/>
  <c r="D27" i="6"/>
  <c r="E27" i="6" s="1"/>
  <c r="B27" i="6"/>
  <c r="H26" i="41"/>
  <c r="AV25" i="6"/>
  <c r="N25" i="6"/>
  <c r="AU26" i="6"/>
  <c r="J26" i="6"/>
  <c r="I26" i="6"/>
  <c r="C25" i="41"/>
  <c r="I25" i="41"/>
  <c r="A35" i="14" l="1"/>
  <c r="A34" i="41"/>
  <c r="G34" i="41"/>
  <c r="A32" i="41"/>
  <c r="G32" i="41"/>
  <c r="A33" i="14"/>
  <c r="P31" i="14"/>
  <c r="V31" i="14"/>
  <c r="AH31" i="14"/>
  <c r="U31" i="14"/>
  <c r="AE31" i="14"/>
  <c r="O31" i="14"/>
  <c r="R31" i="14"/>
  <c r="G31" i="14"/>
  <c r="AG31" i="14"/>
  <c r="F31" i="14"/>
  <c r="N31" i="14"/>
  <c r="X31" i="14"/>
  <c r="AA31" i="14"/>
  <c r="H31" i="14"/>
  <c r="D31" i="14"/>
  <c r="AF31" i="14"/>
  <c r="J31" i="14"/>
  <c r="K31" i="14"/>
  <c r="AD31" i="14"/>
  <c r="C31" i="14"/>
  <c r="AB31" i="14"/>
  <c r="I31" i="14"/>
  <c r="T31" i="14"/>
  <c r="Q31" i="14"/>
  <c r="E31" i="14"/>
  <c r="Z31" i="14"/>
  <c r="M31" i="14"/>
  <c r="AJ31" i="14"/>
  <c r="AI31" i="14"/>
  <c r="Y31" i="14"/>
  <c r="AC31" i="14"/>
  <c r="L31" i="14"/>
  <c r="S31" i="14"/>
  <c r="W31" i="14"/>
  <c r="A34" i="14"/>
  <c r="G33" i="41"/>
  <c r="A33" i="41"/>
  <c r="A36" i="6"/>
  <c r="A37" i="6" s="1"/>
  <c r="H32" i="14"/>
  <c r="T32" i="14"/>
  <c r="R32" i="14"/>
  <c r="E32" i="14"/>
  <c r="K32" i="14"/>
  <c r="AI32" i="14"/>
  <c r="F32" i="14"/>
  <c r="AG32" i="14"/>
  <c r="N32" i="14"/>
  <c r="I32" i="14"/>
  <c r="Y32" i="14"/>
  <c r="L32" i="14"/>
  <c r="Q32" i="14"/>
  <c r="O32" i="14"/>
  <c r="V32" i="14"/>
  <c r="AD32" i="14"/>
  <c r="G32" i="14"/>
  <c r="Z32" i="14"/>
  <c r="AC32" i="14"/>
  <c r="J32" i="14"/>
  <c r="S32" i="14"/>
  <c r="AB32" i="14"/>
  <c r="AA32" i="14"/>
  <c r="W32" i="14"/>
  <c r="U32" i="14"/>
  <c r="P32" i="14"/>
  <c r="AE32" i="14"/>
  <c r="AH32" i="14"/>
  <c r="C32" i="14"/>
  <c r="AJ32" i="14"/>
  <c r="D32" i="14"/>
  <c r="M32" i="14"/>
  <c r="AF32" i="14"/>
  <c r="X32" i="14"/>
  <c r="C26" i="41"/>
  <c r="I26" i="41"/>
  <c r="AV26" i="6"/>
  <c r="N26" i="6"/>
  <c r="B27" i="41"/>
  <c r="G28" i="6"/>
  <c r="B28" i="6"/>
  <c r="F28" i="6"/>
  <c r="H28" i="6"/>
  <c r="D28" i="6"/>
  <c r="E28" i="6" s="1"/>
  <c r="H27" i="41"/>
  <c r="C29" i="6"/>
  <c r="AU27" i="6"/>
  <c r="I27" i="6"/>
  <c r="J27" i="6"/>
  <c r="G35" i="41"/>
  <c r="A36" i="14"/>
  <c r="A35" i="41"/>
  <c r="V35" i="14"/>
  <c r="U35" i="14"/>
  <c r="E35" i="14"/>
  <c r="AD35" i="14"/>
  <c r="F35" i="14"/>
  <c r="AJ35" i="14"/>
  <c r="H35" i="14"/>
  <c r="G35" i="14"/>
  <c r="AE35" i="14"/>
  <c r="Y35" i="14"/>
  <c r="AF35" i="14"/>
  <c r="AH35" i="14"/>
  <c r="D35" i="14"/>
  <c r="J35" i="14"/>
  <c r="AA35" i="14"/>
  <c r="Z35" i="14"/>
  <c r="W35" i="14"/>
  <c r="S35" i="14"/>
  <c r="L35" i="14"/>
  <c r="C35" i="14"/>
  <c r="P35" i="14"/>
  <c r="AG35" i="14"/>
  <c r="M35" i="14"/>
  <c r="AC35" i="14"/>
  <c r="T35" i="14"/>
  <c r="N35" i="14"/>
  <c r="AB35" i="14"/>
  <c r="R35" i="14"/>
  <c r="AI35" i="14"/>
  <c r="K35" i="14"/>
  <c r="I35" i="14"/>
  <c r="X35" i="14"/>
  <c r="O35" i="14"/>
  <c r="Q35" i="14"/>
  <c r="AD33" i="14" l="1"/>
  <c r="K33" i="14"/>
  <c r="Z33" i="14"/>
  <c r="M33" i="14"/>
  <c r="H33" i="14"/>
  <c r="F33" i="14"/>
  <c r="AB33" i="14"/>
  <c r="Y33" i="14"/>
  <c r="S33" i="14"/>
  <c r="T33" i="14"/>
  <c r="AH33" i="14"/>
  <c r="AA33" i="14"/>
  <c r="D33" i="14"/>
  <c r="J33" i="14"/>
  <c r="W33" i="14"/>
  <c r="N33" i="14"/>
  <c r="AJ33" i="14"/>
  <c r="I33" i="14"/>
  <c r="U33" i="14"/>
  <c r="AG33" i="14"/>
  <c r="L33" i="14"/>
  <c r="G33" i="14"/>
  <c r="AF33" i="14"/>
  <c r="Q33" i="14"/>
  <c r="O33" i="14"/>
  <c r="C33" i="14"/>
  <c r="R33" i="14"/>
  <c r="AC33" i="14"/>
  <c r="E33" i="14"/>
  <c r="AI33" i="14"/>
  <c r="X33" i="14"/>
  <c r="AE33" i="14"/>
  <c r="V33" i="14"/>
  <c r="P33" i="14"/>
  <c r="AG34" i="14"/>
  <c r="Q34" i="14"/>
  <c r="E34" i="14"/>
  <c r="J34" i="14"/>
  <c r="N34" i="14"/>
  <c r="M34" i="14"/>
  <c r="H34" i="14"/>
  <c r="Z34" i="14"/>
  <c r="AH34" i="14"/>
  <c r="L34" i="14"/>
  <c r="W34" i="14"/>
  <c r="AA34" i="14"/>
  <c r="G34" i="14"/>
  <c r="AJ34" i="14"/>
  <c r="AC34" i="14"/>
  <c r="U34" i="14"/>
  <c r="O34" i="14"/>
  <c r="R34" i="14"/>
  <c r="P34" i="14"/>
  <c r="AI34" i="14"/>
  <c r="K34" i="14"/>
  <c r="X34" i="14"/>
  <c r="AE34" i="14"/>
  <c r="Y34" i="14"/>
  <c r="C34" i="14"/>
  <c r="I34" i="14"/>
  <c r="AD34" i="14"/>
  <c r="D34" i="14"/>
  <c r="S34" i="14"/>
  <c r="V34" i="14"/>
  <c r="AB34" i="14"/>
  <c r="T34" i="14"/>
  <c r="F34" i="14"/>
  <c r="AF34" i="14"/>
  <c r="AV27" i="6"/>
  <c r="N27" i="6"/>
  <c r="B28" i="41"/>
  <c r="F29" i="6"/>
  <c r="C30" i="6"/>
  <c r="B29" i="6"/>
  <c r="G29" i="6"/>
  <c r="D29" i="6"/>
  <c r="E29" i="6" s="1"/>
  <c r="H29" i="6"/>
  <c r="H28" i="41"/>
  <c r="C27" i="41"/>
  <c r="I27" i="41"/>
  <c r="AU28" i="6"/>
  <c r="I28" i="6"/>
  <c r="J28" i="6"/>
  <c r="A36" i="41"/>
  <c r="G36" i="41"/>
  <c r="A37" i="14"/>
  <c r="A38" i="6"/>
  <c r="J36" i="14"/>
  <c r="Y36" i="14"/>
  <c r="T36" i="14"/>
  <c r="U36" i="14"/>
  <c r="Z36" i="14"/>
  <c r="O36" i="14"/>
  <c r="S36" i="14"/>
  <c r="L36" i="14"/>
  <c r="R36" i="14"/>
  <c r="D36" i="14"/>
  <c r="F36" i="14"/>
  <c r="AJ36" i="14"/>
  <c r="K36" i="14"/>
  <c r="AG36" i="14"/>
  <c r="AI36" i="14"/>
  <c r="P36" i="14"/>
  <c r="W36" i="14"/>
  <c r="Q36" i="14"/>
  <c r="AB36" i="14"/>
  <c r="AE36" i="14"/>
  <c r="AF36" i="14"/>
  <c r="I36" i="14"/>
  <c r="AC36" i="14"/>
  <c r="G36" i="14"/>
  <c r="H36" i="14"/>
  <c r="M36" i="14"/>
  <c r="N36" i="14"/>
  <c r="AH36" i="14"/>
  <c r="V36" i="14"/>
  <c r="C36" i="14"/>
  <c r="AD36" i="14"/>
  <c r="E36" i="14"/>
  <c r="X36" i="14"/>
  <c r="AA36" i="14"/>
  <c r="C28" i="41" l="1"/>
  <c r="I28" i="41"/>
  <c r="AV28" i="6"/>
  <c r="N28" i="6"/>
  <c r="B29" i="41"/>
  <c r="D30" i="6"/>
  <c r="E30" i="6" s="1"/>
  <c r="F30" i="6"/>
  <c r="B30" i="6"/>
  <c r="G30" i="6"/>
  <c r="C31" i="6"/>
  <c r="H30" i="6"/>
  <c r="H29" i="41"/>
  <c r="AU29" i="6"/>
  <c r="I29" i="6"/>
  <c r="J29" i="6"/>
  <c r="G37" i="41"/>
  <c r="A38" i="14"/>
  <c r="A37" i="41"/>
  <c r="A39" i="6"/>
  <c r="Y37" i="14"/>
  <c r="AI37" i="14"/>
  <c r="H37" i="14"/>
  <c r="C37" i="14"/>
  <c r="K37" i="14"/>
  <c r="AF37" i="14"/>
  <c r="X37" i="14"/>
  <c r="Q37" i="14"/>
  <c r="I37" i="14"/>
  <c r="AC37" i="14"/>
  <c r="V37" i="14"/>
  <c r="D37" i="14"/>
  <c r="M37" i="14"/>
  <c r="Z37" i="14"/>
  <c r="F37" i="14"/>
  <c r="T37" i="14"/>
  <c r="E37" i="14"/>
  <c r="U37" i="14"/>
  <c r="R37" i="14"/>
  <c r="O37" i="14"/>
  <c r="AH37" i="14"/>
  <c r="AE37" i="14"/>
  <c r="G37" i="14"/>
  <c r="J37" i="14"/>
  <c r="AA37" i="14"/>
  <c r="AD37" i="14"/>
  <c r="W37" i="14"/>
  <c r="N37" i="14"/>
  <c r="L37" i="14"/>
  <c r="AJ37" i="14"/>
  <c r="AB37" i="14"/>
  <c r="P37" i="14"/>
  <c r="AG37" i="14"/>
  <c r="S37" i="14"/>
  <c r="AV29" i="6" l="1"/>
  <c r="N29" i="6"/>
  <c r="C29" i="41"/>
  <c r="I29" i="41"/>
  <c r="AU30" i="6"/>
  <c r="J30" i="6"/>
  <c r="I30" i="6"/>
  <c r="B30" i="41"/>
  <c r="B31" i="6"/>
  <c r="H30" i="41"/>
  <c r="C32" i="6"/>
  <c r="D31" i="6"/>
  <c r="E31" i="6" s="1"/>
  <c r="F31" i="6"/>
  <c r="H31" i="6"/>
  <c r="G31" i="6"/>
  <c r="A39" i="14"/>
  <c r="G38" i="41"/>
  <c r="A38" i="41"/>
  <c r="A40" i="6"/>
  <c r="AJ38" i="14"/>
  <c r="P38" i="14"/>
  <c r="E38" i="14"/>
  <c r="C38" i="14"/>
  <c r="AI38" i="14"/>
  <c r="H38" i="14"/>
  <c r="X38" i="14"/>
  <c r="AD38" i="14"/>
  <c r="J38" i="14"/>
  <c r="AF38" i="14"/>
  <c r="Z38" i="14"/>
  <c r="D38" i="14"/>
  <c r="U38" i="14"/>
  <c r="AC38" i="14"/>
  <c r="T38" i="14"/>
  <c r="R38" i="14"/>
  <c r="I38" i="14"/>
  <c r="L38" i="14"/>
  <c r="AH38" i="14"/>
  <c r="M38" i="14"/>
  <c r="G38" i="14"/>
  <c r="AB38" i="14"/>
  <c r="Y38" i="14"/>
  <c r="AA38" i="14"/>
  <c r="O38" i="14"/>
  <c r="Q38" i="14"/>
  <c r="AE38" i="14"/>
  <c r="W38" i="14"/>
  <c r="S38" i="14"/>
  <c r="K38" i="14"/>
  <c r="N38" i="14"/>
  <c r="F38" i="14"/>
  <c r="V38" i="14"/>
  <c r="AG38" i="14"/>
  <c r="AU31" i="6" l="1"/>
  <c r="J31" i="6"/>
  <c r="I31" i="6"/>
  <c r="AV30" i="6"/>
  <c r="N30" i="6"/>
  <c r="C30" i="41"/>
  <c r="I30" i="41"/>
  <c r="B31" i="41"/>
  <c r="D32" i="6"/>
  <c r="E32" i="6" s="1"/>
  <c r="H32" i="6"/>
  <c r="G32" i="6"/>
  <c r="F32" i="6"/>
  <c r="B32" i="6"/>
  <c r="C33" i="6"/>
  <c r="H31" i="41"/>
  <c r="A40" i="14"/>
  <c r="G39" i="41"/>
  <c r="A39" i="41"/>
  <c r="A41" i="6"/>
  <c r="S39" i="14"/>
  <c r="R39" i="14"/>
  <c r="D39" i="14"/>
  <c r="Y39" i="14"/>
  <c r="AI39" i="14"/>
  <c r="AB39" i="14"/>
  <c r="Q39" i="14"/>
  <c r="N39" i="14"/>
  <c r="AF39" i="14"/>
  <c r="K39" i="14"/>
  <c r="E39" i="14"/>
  <c r="C39" i="14"/>
  <c r="V39" i="14"/>
  <c r="U39" i="14"/>
  <c r="P39" i="14"/>
  <c r="X39" i="14"/>
  <c r="AH39" i="14"/>
  <c r="W39" i="14"/>
  <c r="J39" i="14"/>
  <c r="T39" i="14"/>
  <c r="L39" i="14"/>
  <c r="F39" i="14"/>
  <c r="I39" i="14"/>
  <c r="M39" i="14"/>
  <c r="Z39" i="14"/>
  <c r="G39" i="14"/>
  <c r="AJ39" i="14"/>
  <c r="O39" i="14"/>
  <c r="AD39" i="14"/>
  <c r="AC39" i="14"/>
  <c r="H39" i="14"/>
  <c r="AA39" i="14"/>
  <c r="AG39" i="14"/>
  <c r="AE39" i="14"/>
  <c r="B32" i="41" l="1"/>
  <c r="B33" i="6"/>
  <c r="H33" i="6"/>
  <c r="F33" i="6"/>
  <c r="D33" i="6"/>
  <c r="E33" i="6" s="1"/>
  <c r="G33" i="6"/>
  <c r="C34" i="6"/>
  <c r="H32" i="41"/>
  <c r="AU32" i="6"/>
  <c r="J32" i="6"/>
  <c r="I32" i="6"/>
  <c r="AV31" i="6"/>
  <c r="N31" i="6"/>
  <c r="C31" i="41"/>
  <c r="I31" i="41"/>
  <c r="F40" i="14"/>
  <c r="AA40" i="14"/>
  <c r="T40" i="14"/>
  <c r="L40" i="14"/>
  <c r="S40" i="14"/>
  <c r="U40" i="14"/>
  <c r="G40" i="14"/>
  <c r="C40" i="14"/>
  <c r="V40" i="14"/>
  <c r="W40" i="14"/>
  <c r="AG40" i="14"/>
  <c r="AC40" i="14"/>
  <c r="H40" i="14"/>
  <c r="I40" i="14"/>
  <c r="AE40" i="14"/>
  <c r="M40" i="14"/>
  <c r="E40" i="14"/>
  <c r="AJ40" i="14"/>
  <c r="AB40" i="14"/>
  <c r="O40" i="14"/>
  <c r="Y40" i="14"/>
  <c r="AI40" i="14"/>
  <c r="K40" i="14"/>
  <c r="D40" i="14"/>
  <c r="J40" i="14"/>
  <c r="AF40" i="14"/>
  <c r="AH40" i="14"/>
  <c r="P40" i="14"/>
  <c r="R40" i="14"/>
  <c r="Q40" i="14"/>
  <c r="X40" i="14"/>
  <c r="AD40" i="14"/>
  <c r="N40" i="14"/>
  <c r="Z40" i="14"/>
  <c r="A40" i="41"/>
  <c r="G40" i="41"/>
  <c r="A41" i="14"/>
  <c r="A42" i="6"/>
  <c r="B33" i="41" l="1"/>
  <c r="D34" i="6"/>
  <c r="E34" i="6" s="1"/>
  <c r="H34" i="6"/>
  <c r="B34" i="6"/>
  <c r="G34" i="6"/>
  <c r="F34" i="6"/>
  <c r="C35" i="6"/>
  <c r="H33" i="41"/>
  <c r="C32" i="41"/>
  <c r="I32" i="41"/>
  <c r="I33" i="6"/>
  <c r="J33" i="6"/>
  <c r="AU33" i="6"/>
  <c r="AV32" i="6"/>
  <c r="N32" i="6"/>
  <c r="AJ41" i="14"/>
  <c r="P41" i="14"/>
  <c r="N41" i="14"/>
  <c r="K41" i="14"/>
  <c r="AI41" i="14"/>
  <c r="H41" i="14"/>
  <c r="C41" i="14"/>
  <c r="I41" i="14"/>
  <c r="AC41" i="14"/>
  <c r="V41" i="14"/>
  <c r="D41" i="14"/>
  <c r="U41" i="14"/>
  <c r="R41" i="14"/>
  <c r="AF41" i="14"/>
  <c r="AE41" i="14"/>
  <c r="Z41" i="14"/>
  <c r="J41" i="14"/>
  <c r="T41" i="14"/>
  <c r="AD41" i="14"/>
  <c r="Q41" i="14"/>
  <c r="F41" i="14"/>
  <c r="S41" i="14"/>
  <c r="M41" i="14"/>
  <c r="L41" i="14"/>
  <c r="O41" i="14"/>
  <c r="AB41" i="14"/>
  <c r="AH41" i="14"/>
  <c r="G41" i="14"/>
  <c r="AA41" i="14"/>
  <c r="Y41" i="14"/>
  <c r="AG41" i="14"/>
  <c r="X41" i="14"/>
  <c r="W41" i="14"/>
  <c r="E41" i="14"/>
  <c r="A41" i="41"/>
  <c r="A42" i="14"/>
  <c r="G41" i="41"/>
  <c r="A43" i="6"/>
  <c r="B34" i="41" l="1"/>
  <c r="F35" i="6"/>
  <c r="H35" i="6"/>
  <c r="D35" i="6"/>
  <c r="E35" i="6" s="1"/>
  <c r="B35" i="6"/>
  <c r="G35" i="6"/>
  <c r="H34" i="41"/>
  <c r="C36" i="6"/>
  <c r="AV33" i="6"/>
  <c r="N33" i="6"/>
  <c r="AU34" i="6"/>
  <c r="J34" i="6"/>
  <c r="I34" i="6"/>
  <c r="C33" i="41"/>
  <c r="I33" i="41"/>
  <c r="J42" i="14"/>
  <c r="H42" i="14"/>
  <c r="I42" i="14"/>
  <c r="AD42" i="14"/>
  <c r="AC42" i="14"/>
  <c r="AJ42" i="14"/>
  <c r="AH42" i="14"/>
  <c r="X42" i="14"/>
  <c r="M42" i="14"/>
  <c r="AA42" i="14"/>
  <c r="G42" i="14"/>
  <c r="AE42" i="14"/>
  <c r="AB42" i="14"/>
  <c r="E42" i="14"/>
  <c r="K42" i="14"/>
  <c r="D42" i="14"/>
  <c r="AF42" i="14"/>
  <c r="P42" i="14"/>
  <c r="W42" i="14"/>
  <c r="Y42" i="14"/>
  <c r="AI42" i="14"/>
  <c r="Z42" i="14"/>
  <c r="N42" i="14"/>
  <c r="T42" i="14"/>
  <c r="AG42" i="14"/>
  <c r="U42" i="14"/>
  <c r="V42" i="14"/>
  <c r="S42" i="14"/>
  <c r="R42" i="14"/>
  <c r="Q42" i="14"/>
  <c r="C42" i="14"/>
  <c r="O42" i="14"/>
  <c r="F42" i="14"/>
  <c r="L42" i="14"/>
  <c r="A43" i="14"/>
  <c r="A42" i="41"/>
  <c r="G42" i="41"/>
  <c r="A44" i="6"/>
  <c r="B35" i="41" l="1"/>
  <c r="F36" i="6"/>
  <c r="B36" i="6"/>
  <c r="H36" i="6"/>
  <c r="D36" i="6"/>
  <c r="E36" i="6" s="1"/>
  <c r="G36" i="6"/>
  <c r="C37" i="6"/>
  <c r="H35" i="41"/>
  <c r="C34" i="41"/>
  <c r="I34" i="41"/>
  <c r="AU35" i="6"/>
  <c r="I35" i="6"/>
  <c r="J35" i="6"/>
  <c r="AV34" i="6"/>
  <c r="N34" i="6"/>
  <c r="G43" i="41"/>
  <c r="A43" i="41"/>
  <c r="A44" i="14"/>
  <c r="A45" i="6"/>
  <c r="S43" i="14"/>
  <c r="Z43" i="14"/>
  <c r="O43" i="14"/>
  <c r="P43" i="14"/>
  <c r="R43" i="14"/>
  <c r="D43" i="14"/>
  <c r="AC43" i="14"/>
  <c r="AF43" i="14"/>
  <c r="K43" i="14"/>
  <c r="AG43" i="14"/>
  <c r="N43" i="14"/>
  <c r="AA43" i="14"/>
  <c r="G43" i="14"/>
  <c r="AD43" i="14"/>
  <c r="T43" i="14"/>
  <c r="Q43" i="14"/>
  <c r="H43" i="14"/>
  <c r="E43" i="14"/>
  <c r="J43" i="14"/>
  <c r="AB43" i="14"/>
  <c r="X43" i="14"/>
  <c r="Y43" i="14"/>
  <c r="AJ43" i="14"/>
  <c r="I43" i="14"/>
  <c r="W43" i="14"/>
  <c r="F43" i="14"/>
  <c r="L43" i="14"/>
  <c r="AE43" i="14"/>
  <c r="C43" i="14"/>
  <c r="M43" i="14"/>
  <c r="V43" i="14"/>
  <c r="AI43" i="14"/>
  <c r="U43" i="14"/>
  <c r="AH43" i="14"/>
  <c r="B36" i="41" l="1"/>
  <c r="B37" i="6"/>
  <c r="F37" i="6"/>
  <c r="D37" i="6"/>
  <c r="E37" i="6" s="1"/>
  <c r="H37" i="6"/>
  <c r="G37" i="6"/>
  <c r="C38" i="6"/>
  <c r="H36" i="41"/>
  <c r="C35" i="41"/>
  <c r="I35" i="41"/>
  <c r="AV35" i="6"/>
  <c r="N35" i="6"/>
  <c r="AU36" i="6"/>
  <c r="I36" i="6"/>
  <c r="J36" i="6"/>
  <c r="F44" i="14"/>
  <c r="T44" i="14"/>
  <c r="L44" i="14"/>
  <c r="Z44" i="14"/>
  <c r="D44" i="14"/>
  <c r="S44" i="14"/>
  <c r="C44" i="14"/>
  <c r="R44" i="14"/>
  <c r="N44" i="14"/>
  <c r="AI44" i="14"/>
  <c r="H44" i="14"/>
  <c r="AE44" i="14"/>
  <c r="Q44" i="14"/>
  <c r="Y44" i="14"/>
  <c r="AF44" i="14"/>
  <c r="K44" i="14"/>
  <c r="O44" i="14"/>
  <c r="W44" i="14"/>
  <c r="P44" i="14"/>
  <c r="AH44" i="14"/>
  <c r="AD44" i="14"/>
  <c r="G44" i="14"/>
  <c r="AC44" i="14"/>
  <c r="AJ44" i="14"/>
  <c r="U44" i="14"/>
  <c r="E44" i="14"/>
  <c r="AA44" i="14"/>
  <c r="V44" i="14"/>
  <c r="M44" i="14"/>
  <c r="I44" i="14"/>
  <c r="AB44" i="14"/>
  <c r="AG44" i="14"/>
  <c r="X44" i="14"/>
  <c r="J44" i="14"/>
  <c r="G44" i="41"/>
  <c r="A44" i="41"/>
  <c r="A45" i="14"/>
  <c r="A46" i="6"/>
  <c r="AV36" i="6" l="1"/>
  <c r="N36" i="6"/>
  <c r="B37" i="41"/>
  <c r="G38" i="6"/>
  <c r="F38" i="6"/>
  <c r="H38" i="6"/>
  <c r="D38" i="6"/>
  <c r="E38" i="6" s="1"/>
  <c r="B38" i="6"/>
  <c r="C39" i="6"/>
  <c r="H37" i="41"/>
  <c r="AU37" i="6"/>
  <c r="J37" i="6"/>
  <c r="I37" i="6"/>
  <c r="C36" i="41"/>
  <c r="I36" i="41"/>
  <c r="A46" i="14"/>
  <c r="A45" i="41"/>
  <c r="G45" i="41"/>
  <c r="A47" i="6"/>
  <c r="AC45" i="14"/>
  <c r="AI45" i="14"/>
  <c r="X45" i="14"/>
  <c r="AD45" i="14"/>
  <c r="Q45" i="14"/>
  <c r="F45" i="14"/>
  <c r="AF45" i="14"/>
  <c r="O45" i="14"/>
  <c r="M45" i="14"/>
  <c r="AH45" i="14"/>
  <c r="T45" i="14"/>
  <c r="AE45" i="14"/>
  <c r="AB45" i="14"/>
  <c r="G45" i="14"/>
  <c r="Y45" i="14"/>
  <c r="AA45" i="14"/>
  <c r="N45" i="14"/>
  <c r="R45" i="14"/>
  <c r="S45" i="14"/>
  <c r="U45" i="14"/>
  <c r="P45" i="14"/>
  <c r="L45" i="14"/>
  <c r="H45" i="14"/>
  <c r="K45" i="14"/>
  <c r="E45" i="14"/>
  <c r="I45" i="14"/>
  <c r="W45" i="14"/>
  <c r="J45" i="14"/>
  <c r="C45" i="14"/>
  <c r="AG45" i="14"/>
  <c r="Z45" i="14"/>
  <c r="AJ45" i="14"/>
  <c r="V45" i="14"/>
  <c r="D45" i="14"/>
  <c r="C37" i="41" l="1"/>
  <c r="I37" i="41"/>
  <c r="J38" i="6"/>
  <c r="I38" i="6"/>
  <c r="AU38" i="6"/>
  <c r="AV37" i="6"/>
  <c r="N37" i="6"/>
  <c r="B38" i="41"/>
  <c r="G39" i="6"/>
  <c r="B39" i="6"/>
  <c r="H39" i="6"/>
  <c r="D39" i="6"/>
  <c r="E39" i="6" s="1"/>
  <c r="F39" i="6"/>
  <c r="H38" i="41"/>
  <c r="C40" i="6"/>
  <c r="G46" i="41"/>
  <c r="A47" i="14"/>
  <c r="A46" i="41"/>
  <c r="A48" i="6"/>
  <c r="J46" i="14"/>
  <c r="AF46" i="14"/>
  <c r="R46" i="14"/>
  <c r="I46" i="14"/>
  <c r="L46" i="14"/>
  <c r="AC46" i="14"/>
  <c r="T46" i="14"/>
  <c r="G46" i="14"/>
  <c r="AE46" i="14"/>
  <c r="AB46" i="14"/>
  <c r="P46" i="14"/>
  <c r="E46" i="14"/>
  <c r="C46" i="14"/>
  <c r="AJ46" i="14"/>
  <c r="AG46" i="14"/>
  <c r="M46" i="14"/>
  <c r="AA46" i="14"/>
  <c r="X46" i="14"/>
  <c r="K46" i="14"/>
  <c r="S46" i="14"/>
  <c r="O46" i="14"/>
  <c r="F46" i="14"/>
  <c r="V46" i="14"/>
  <c r="D46" i="14"/>
  <c r="Y46" i="14"/>
  <c r="AH46" i="14"/>
  <c r="N46" i="14"/>
  <c r="AD46" i="14"/>
  <c r="U46" i="14"/>
  <c r="AI46" i="14"/>
  <c r="Z46" i="14"/>
  <c r="H46" i="14"/>
  <c r="Q46" i="14"/>
  <c r="W46" i="14"/>
  <c r="B39" i="41" l="1"/>
  <c r="F40" i="6"/>
  <c r="H40" i="6"/>
  <c r="B40" i="6"/>
  <c r="D40" i="6"/>
  <c r="E40" i="6" s="1"/>
  <c r="G40" i="6"/>
  <c r="C41" i="6"/>
  <c r="H39" i="41"/>
  <c r="C38" i="41"/>
  <c r="I38" i="41"/>
  <c r="J39" i="6"/>
  <c r="I39" i="6"/>
  <c r="AU39" i="6"/>
  <c r="AV38" i="6"/>
  <c r="N38" i="6"/>
  <c r="J47" i="14"/>
  <c r="AJ47" i="14"/>
  <c r="H47" i="14"/>
  <c r="U47" i="14"/>
  <c r="W47" i="14"/>
  <c r="AC47" i="14"/>
  <c r="AI47" i="14"/>
  <c r="AB47" i="14"/>
  <c r="AG47" i="14"/>
  <c r="N47" i="14"/>
  <c r="T47" i="14"/>
  <c r="AH47" i="14"/>
  <c r="X47" i="14"/>
  <c r="M47" i="14"/>
  <c r="Z47" i="14"/>
  <c r="C47" i="14"/>
  <c r="AA47" i="14"/>
  <c r="G47" i="14"/>
  <c r="L47" i="14"/>
  <c r="V47" i="14"/>
  <c r="Q47" i="14"/>
  <c r="S47" i="14"/>
  <c r="E47" i="14"/>
  <c r="K47" i="14"/>
  <c r="D47" i="14"/>
  <c r="Y47" i="14"/>
  <c r="AF47" i="14"/>
  <c r="P47" i="14"/>
  <c r="F47" i="14"/>
  <c r="I47" i="14"/>
  <c r="O47" i="14"/>
  <c r="R47" i="14"/>
  <c r="AE47" i="14"/>
  <c r="AD47" i="14"/>
  <c r="A48" i="14"/>
  <c r="A47" i="41"/>
  <c r="G47" i="41"/>
  <c r="A49" i="6"/>
  <c r="B40" i="41" l="1"/>
  <c r="F41" i="6"/>
  <c r="G41" i="6"/>
  <c r="D41" i="6"/>
  <c r="E41" i="6" s="1"/>
  <c r="B41" i="6"/>
  <c r="H41" i="6"/>
  <c r="C42" i="6"/>
  <c r="H40" i="41"/>
  <c r="C39" i="41"/>
  <c r="I39" i="41"/>
  <c r="AV39" i="6"/>
  <c r="N39" i="6"/>
  <c r="AU40" i="6"/>
  <c r="I40" i="6"/>
  <c r="J40" i="6"/>
  <c r="G48" i="41"/>
  <c r="A49" i="14"/>
  <c r="A48" i="41"/>
  <c r="A50" i="6"/>
  <c r="AJ48" i="14"/>
  <c r="P48" i="14"/>
  <c r="AB48" i="14"/>
  <c r="AG48" i="14"/>
  <c r="J48" i="14"/>
  <c r="S48" i="14"/>
  <c r="N48" i="14"/>
  <c r="AH48" i="14"/>
  <c r="O48" i="14"/>
  <c r="V48" i="14"/>
  <c r="W48" i="14"/>
  <c r="E48" i="14"/>
  <c r="AE48" i="14"/>
  <c r="D48" i="14"/>
  <c r="H48" i="14"/>
  <c r="I48" i="14"/>
  <c r="C48" i="14"/>
  <c r="AC48" i="14"/>
  <c r="AD48" i="14"/>
  <c r="Z48" i="14"/>
  <c r="AA48" i="14"/>
  <c r="U48" i="14"/>
  <c r="G48" i="14"/>
  <c r="Y48" i="14"/>
  <c r="T48" i="14"/>
  <c r="M48" i="14"/>
  <c r="F48" i="14"/>
  <c r="L48" i="14"/>
  <c r="R48" i="14"/>
  <c r="K48" i="14"/>
  <c r="Q48" i="14"/>
  <c r="X48" i="14"/>
  <c r="AI48" i="14"/>
  <c r="AF48" i="14"/>
  <c r="AV40" i="6" l="1"/>
  <c r="N40" i="6"/>
  <c r="B41" i="41"/>
  <c r="D42" i="6"/>
  <c r="E42" i="6" s="1"/>
  <c r="H42" i="6"/>
  <c r="B42" i="6"/>
  <c r="G42" i="6"/>
  <c r="F42" i="6"/>
  <c r="C43" i="6"/>
  <c r="H41" i="41"/>
  <c r="AU41" i="6"/>
  <c r="J41" i="6"/>
  <c r="I41" i="6"/>
  <c r="C40" i="41"/>
  <c r="I40" i="41"/>
  <c r="G49" i="41"/>
  <c r="A49" i="41"/>
  <c r="A50" i="14"/>
  <c r="A51" i="6"/>
  <c r="AC49" i="14"/>
  <c r="AA49" i="14"/>
  <c r="O49" i="14"/>
  <c r="M49" i="14"/>
  <c r="AH49" i="14"/>
  <c r="Y49" i="14"/>
  <c r="W49" i="14"/>
  <c r="AB49" i="14"/>
  <c r="T49" i="14"/>
  <c r="AE49" i="14"/>
  <c r="I49" i="14"/>
  <c r="J49" i="14"/>
  <c r="C49" i="14"/>
  <c r="Z49" i="14"/>
  <c r="F49" i="14"/>
  <c r="P49" i="14"/>
  <c r="AD49" i="14"/>
  <c r="R49" i="14"/>
  <c r="AJ49" i="14"/>
  <c r="H49" i="14"/>
  <c r="U49" i="14"/>
  <c r="G49" i="14"/>
  <c r="AF49" i="14"/>
  <c r="D49" i="14"/>
  <c r="E49" i="14"/>
  <c r="S49" i="14"/>
  <c r="X49" i="14"/>
  <c r="AG49" i="14"/>
  <c r="L49" i="14"/>
  <c r="N49" i="14"/>
  <c r="K49" i="14"/>
  <c r="Q49" i="14"/>
  <c r="AI49" i="14"/>
  <c r="V49" i="14"/>
  <c r="AU42" i="6" l="1"/>
  <c r="J42" i="6"/>
  <c r="I42" i="6"/>
  <c r="C41" i="41"/>
  <c r="I41" i="41"/>
  <c r="AV41" i="6"/>
  <c r="N41" i="6"/>
  <c r="B42" i="41"/>
  <c r="B43" i="6"/>
  <c r="G43" i="6"/>
  <c r="F43" i="6"/>
  <c r="H43" i="6"/>
  <c r="D43" i="6"/>
  <c r="E43" i="6" s="1"/>
  <c r="C44" i="6"/>
  <c r="H42" i="41"/>
  <c r="Y50" i="14"/>
  <c r="AI50" i="14"/>
  <c r="AH50" i="14"/>
  <c r="O50" i="14"/>
  <c r="M50" i="14"/>
  <c r="T50" i="14"/>
  <c r="AG50" i="14"/>
  <c r="W50" i="14"/>
  <c r="K50" i="14"/>
  <c r="J50" i="14"/>
  <c r="P50" i="14"/>
  <c r="D50" i="14"/>
  <c r="AB50" i="14"/>
  <c r="F50" i="14"/>
  <c r="Z50" i="14"/>
  <c r="AE50" i="14"/>
  <c r="AJ50" i="14"/>
  <c r="R50" i="14"/>
  <c r="N50" i="14"/>
  <c r="AF50" i="14"/>
  <c r="G50" i="14"/>
  <c r="C50" i="14"/>
  <c r="V50" i="14"/>
  <c r="E50" i="14"/>
  <c r="U50" i="14"/>
  <c r="S50" i="14"/>
  <c r="H50" i="14"/>
  <c r="AC50" i="14"/>
  <c r="Q50" i="14"/>
  <c r="X50" i="14"/>
  <c r="AD50" i="14"/>
  <c r="AA50" i="14"/>
  <c r="I50" i="14"/>
  <c r="L50" i="14"/>
  <c r="A50" i="41"/>
  <c r="A51" i="14"/>
  <c r="G50" i="41"/>
  <c r="A52" i="6"/>
  <c r="B43" i="41" l="1"/>
  <c r="B44" i="6"/>
  <c r="F44" i="6"/>
  <c r="D44" i="6"/>
  <c r="E44" i="6" s="1"/>
  <c r="G44" i="6"/>
  <c r="H44" i="6"/>
  <c r="H43" i="41"/>
  <c r="C45" i="6"/>
  <c r="C42" i="41"/>
  <c r="I42" i="41"/>
  <c r="AU43" i="6"/>
  <c r="I43" i="6"/>
  <c r="J43" i="6"/>
  <c r="AV42" i="6"/>
  <c r="N42" i="6"/>
  <c r="S51" i="14"/>
  <c r="Q51" i="14"/>
  <c r="R51" i="14"/>
  <c r="AC51" i="14"/>
  <c r="AF51" i="14"/>
  <c r="W51" i="14"/>
  <c r="X51" i="14"/>
  <c r="AH51" i="14"/>
  <c r="H51" i="14"/>
  <c r="I51" i="14"/>
  <c r="M51" i="14"/>
  <c r="AJ51" i="14"/>
  <c r="U51" i="14"/>
  <c r="G51" i="14"/>
  <c r="AI51" i="14"/>
  <c r="AB51" i="14"/>
  <c r="E51" i="14"/>
  <c r="Y51" i="14"/>
  <c r="AA51" i="14"/>
  <c r="AG51" i="14"/>
  <c r="O51" i="14"/>
  <c r="J51" i="14"/>
  <c r="T51" i="14"/>
  <c r="K51" i="14"/>
  <c r="N51" i="14"/>
  <c r="P51" i="14"/>
  <c r="F51" i="14"/>
  <c r="AE51" i="14"/>
  <c r="Z51" i="14"/>
  <c r="AD51" i="14"/>
  <c r="D51" i="14"/>
  <c r="V51" i="14"/>
  <c r="L51" i="14"/>
  <c r="C51" i="14"/>
  <c r="G51" i="41"/>
  <c r="A52" i="14"/>
  <c r="A51" i="41"/>
  <c r="A53" i="6"/>
  <c r="AU44" i="6" l="1"/>
  <c r="J44" i="6"/>
  <c r="I44" i="6"/>
  <c r="B44" i="41"/>
  <c r="D45" i="6"/>
  <c r="E45" i="6" s="1"/>
  <c r="B45" i="6"/>
  <c r="F45" i="6"/>
  <c r="H45" i="6"/>
  <c r="G45" i="6"/>
  <c r="H44" i="41"/>
  <c r="C46" i="6"/>
  <c r="C43" i="41"/>
  <c r="I43" i="41"/>
  <c r="AV43" i="6"/>
  <c r="N43" i="6"/>
  <c r="AI52" i="14"/>
  <c r="E52" i="14"/>
  <c r="L52" i="14"/>
  <c r="D52" i="14"/>
  <c r="Y52" i="14"/>
  <c r="P52" i="14"/>
  <c r="C52" i="14"/>
  <c r="AH52" i="14"/>
  <c r="AJ52" i="14"/>
  <c r="Q52" i="14"/>
  <c r="R52" i="14"/>
  <c r="AA52" i="14"/>
  <c r="W52" i="14"/>
  <c r="K52" i="14"/>
  <c r="V52" i="14"/>
  <c r="N52" i="14"/>
  <c r="G52" i="14"/>
  <c r="J52" i="14"/>
  <c r="T52" i="14"/>
  <c r="AD52" i="14"/>
  <c r="AB52" i="14"/>
  <c r="F52" i="14"/>
  <c r="H52" i="14"/>
  <c r="U52" i="14"/>
  <c r="X52" i="14"/>
  <c r="AC52" i="14"/>
  <c r="AE52" i="14"/>
  <c r="M52" i="14"/>
  <c r="I52" i="14"/>
  <c r="O52" i="14"/>
  <c r="AF52" i="14"/>
  <c r="S52" i="14"/>
  <c r="AG52" i="14"/>
  <c r="Z52" i="14"/>
  <c r="G52" i="41"/>
  <c r="A53" i="14"/>
  <c r="A52" i="41"/>
  <c r="A54" i="6"/>
  <c r="AU45" i="6" l="1"/>
  <c r="I45" i="6"/>
  <c r="J45" i="6"/>
  <c r="C44" i="41"/>
  <c r="I44" i="41"/>
  <c r="B45" i="41"/>
  <c r="B46" i="6"/>
  <c r="F46" i="6"/>
  <c r="D46" i="6"/>
  <c r="E46" i="6" s="1"/>
  <c r="H46" i="6"/>
  <c r="G46" i="6"/>
  <c r="C47" i="6"/>
  <c r="H45" i="41"/>
  <c r="AV44" i="6"/>
  <c r="N44" i="6"/>
  <c r="J53" i="14"/>
  <c r="AI53" i="14"/>
  <c r="I53" i="14"/>
  <c r="D53" i="14"/>
  <c r="G53" i="14"/>
  <c r="T53" i="14"/>
  <c r="Q53" i="14"/>
  <c r="C53" i="14"/>
  <c r="M53" i="14"/>
  <c r="AA53" i="14"/>
  <c r="E53" i="14"/>
  <c r="L53" i="14"/>
  <c r="Y53" i="14"/>
  <c r="S53" i="14"/>
  <c r="O53" i="14"/>
  <c r="K53" i="14"/>
  <c r="AC53" i="14"/>
  <c r="P53" i="14"/>
  <c r="AE53" i="14"/>
  <c r="R53" i="14"/>
  <c r="F53" i="14"/>
  <c r="H53" i="14"/>
  <c r="W53" i="14"/>
  <c r="AJ53" i="14"/>
  <c r="Z53" i="14"/>
  <c r="AD53" i="14"/>
  <c r="N53" i="14"/>
  <c r="U53" i="14"/>
  <c r="AB53" i="14"/>
  <c r="AF53" i="14"/>
  <c r="AH53" i="14"/>
  <c r="AG53" i="14"/>
  <c r="X53" i="14"/>
  <c r="V53" i="14"/>
  <c r="A53" i="41"/>
  <c r="G53" i="41"/>
  <c r="A54" i="14"/>
  <c r="A55" i="6"/>
  <c r="B46" i="41" l="1"/>
  <c r="D47" i="6"/>
  <c r="E47" i="6" s="1"/>
  <c r="B47" i="6"/>
  <c r="G47" i="6"/>
  <c r="F47" i="6"/>
  <c r="H47" i="6"/>
  <c r="C48" i="6"/>
  <c r="H46" i="41"/>
  <c r="AV45" i="6"/>
  <c r="N45" i="6"/>
  <c r="AU46" i="6"/>
  <c r="J46" i="6"/>
  <c r="I46" i="6"/>
  <c r="C45" i="41"/>
  <c r="I45" i="41"/>
  <c r="J54" i="14"/>
  <c r="AC54" i="14"/>
  <c r="T54" i="14"/>
  <c r="AB54" i="14"/>
  <c r="Q54" i="14"/>
  <c r="C54" i="14"/>
  <c r="F54" i="14"/>
  <c r="S54" i="14"/>
  <c r="K54" i="14"/>
  <c r="E54" i="14"/>
  <c r="M54" i="14"/>
  <c r="V54" i="14"/>
  <c r="AJ54" i="14"/>
  <c r="P54" i="14"/>
  <c r="Z54" i="14"/>
  <c r="D54" i="14"/>
  <c r="L54" i="14"/>
  <c r="AE54" i="14"/>
  <c r="I54" i="14"/>
  <c r="W54" i="14"/>
  <c r="AI54" i="14"/>
  <c r="AH54" i="14"/>
  <c r="N54" i="14"/>
  <c r="AA54" i="14"/>
  <c r="R54" i="14"/>
  <c r="AD54" i="14"/>
  <c r="Y54" i="14"/>
  <c r="AG54" i="14"/>
  <c r="U54" i="14"/>
  <c r="G54" i="14"/>
  <c r="X54" i="14"/>
  <c r="O54" i="14"/>
  <c r="AF54" i="14"/>
  <c r="H54" i="14"/>
  <c r="A54" i="41"/>
  <c r="A55" i="14"/>
  <c r="G54" i="41"/>
  <c r="A56" i="6"/>
  <c r="B47" i="41" l="1"/>
  <c r="G48" i="6"/>
  <c r="B48" i="6"/>
  <c r="D48" i="6"/>
  <c r="E48" i="6" s="1"/>
  <c r="H48" i="6"/>
  <c r="F48" i="6"/>
  <c r="C49" i="6"/>
  <c r="H47" i="41"/>
  <c r="AU47" i="6"/>
  <c r="I47" i="6"/>
  <c r="J47" i="6"/>
  <c r="AV46" i="6"/>
  <c r="N46" i="6"/>
  <c r="C46" i="41"/>
  <c r="I46" i="41"/>
  <c r="J55" i="14"/>
  <c r="AA55" i="14"/>
  <c r="AE55" i="14"/>
  <c r="AB55" i="14"/>
  <c r="Q55" i="14"/>
  <c r="AC55" i="14"/>
  <c r="T55" i="14"/>
  <c r="W55" i="14"/>
  <c r="K55" i="14"/>
  <c r="E55" i="14"/>
  <c r="AD55" i="14"/>
  <c r="Z55" i="14"/>
  <c r="D55" i="14"/>
  <c r="F55" i="14"/>
  <c r="AI55" i="14"/>
  <c r="N55" i="14"/>
  <c r="G55" i="14"/>
  <c r="AF55" i="14"/>
  <c r="C55" i="14"/>
  <c r="AG55" i="14"/>
  <c r="V55" i="14"/>
  <c r="M55" i="14"/>
  <c r="X55" i="14"/>
  <c r="S55" i="14"/>
  <c r="U55" i="14"/>
  <c r="O55" i="14"/>
  <c r="I55" i="14"/>
  <c r="R55" i="14"/>
  <c r="AJ55" i="14"/>
  <c r="P55" i="14"/>
  <c r="H55" i="14"/>
  <c r="Y55" i="14"/>
  <c r="L55" i="14"/>
  <c r="AH55" i="14"/>
  <c r="G55" i="41"/>
  <c r="A55" i="41"/>
  <c r="A56" i="14"/>
  <c r="A57" i="6"/>
  <c r="B48" i="41" l="1"/>
  <c r="F49" i="6"/>
  <c r="B49" i="6"/>
  <c r="H49" i="6"/>
  <c r="G49" i="6"/>
  <c r="D49" i="6"/>
  <c r="E49" i="6" s="1"/>
  <c r="H48" i="41"/>
  <c r="C50" i="6"/>
  <c r="AU48" i="6"/>
  <c r="J48" i="6"/>
  <c r="I48" i="6"/>
  <c r="C47" i="41"/>
  <c r="I47" i="41"/>
  <c r="AV47" i="6"/>
  <c r="N47" i="6"/>
  <c r="AJ56" i="14"/>
  <c r="P56" i="14"/>
  <c r="AE56" i="14"/>
  <c r="AB56" i="14"/>
  <c r="Y56" i="14"/>
  <c r="AI56" i="14"/>
  <c r="H56" i="14"/>
  <c r="W56" i="14"/>
  <c r="K56" i="14"/>
  <c r="F56" i="14"/>
  <c r="S56" i="14"/>
  <c r="E56" i="14"/>
  <c r="AD56" i="14"/>
  <c r="R56" i="14"/>
  <c r="AC56" i="14"/>
  <c r="X56" i="14"/>
  <c r="I56" i="14"/>
  <c r="AF56" i="14"/>
  <c r="O56" i="14"/>
  <c r="Z56" i="14"/>
  <c r="AA56" i="14"/>
  <c r="D56" i="14"/>
  <c r="G56" i="14"/>
  <c r="T56" i="14"/>
  <c r="N56" i="14"/>
  <c r="AH56" i="14"/>
  <c r="M56" i="14"/>
  <c r="AG56" i="14"/>
  <c r="Q56" i="14"/>
  <c r="J56" i="14"/>
  <c r="C56" i="14"/>
  <c r="U56" i="14"/>
  <c r="L56" i="14"/>
  <c r="V56" i="14"/>
  <c r="A57" i="14"/>
  <c r="A56" i="41"/>
  <c r="G56" i="41"/>
  <c r="A58" i="6"/>
  <c r="B49" i="41" l="1"/>
  <c r="G50" i="6"/>
  <c r="F50" i="6"/>
  <c r="B50" i="6"/>
  <c r="H50" i="6"/>
  <c r="D50" i="6"/>
  <c r="E50" i="6" s="1"/>
  <c r="C51" i="6"/>
  <c r="H49" i="41"/>
  <c r="C48" i="41"/>
  <c r="I48" i="41"/>
  <c r="AU49" i="6"/>
  <c r="I49" i="6"/>
  <c r="J49" i="6"/>
  <c r="AV48" i="6"/>
  <c r="N48" i="6"/>
  <c r="A58" i="14"/>
  <c r="G57" i="41"/>
  <c r="A57" i="41"/>
  <c r="A59" i="6"/>
  <c r="S57" i="14"/>
  <c r="G57" i="14"/>
  <c r="W57" i="14"/>
  <c r="K57" i="14"/>
  <c r="AF57" i="14"/>
  <c r="I57" i="14"/>
  <c r="X57" i="14"/>
  <c r="M57" i="14"/>
  <c r="AC57" i="14"/>
  <c r="H57" i="14"/>
  <c r="D57" i="14"/>
  <c r="F57" i="14"/>
  <c r="AJ57" i="14"/>
  <c r="AH57" i="14"/>
  <c r="AE57" i="14"/>
  <c r="AI57" i="14"/>
  <c r="Z57" i="14"/>
  <c r="N57" i="14"/>
  <c r="AA57" i="14"/>
  <c r="R57" i="14"/>
  <c r="C57" i="14"/>
  <c r="Y57" i="14"/>
  <c r="T57" i="14"/>
  <c r="Q57" i="14"/>
  <c r="U57" i="14"/>
  <c r="J57" i="14"/>
  <c r="E57" i="14"/>
  <c r="O57" i="14"/>
  <c r="AD57" i="14"/>
  <c r="L57" i="14"/>
  <c r="V57" i="14"/>
  <c r="AB57" i="14"/>
  <c r="P57" i="14"/>
  <c r="AG57" i="14"/>
  <c r="B50" i="41" l="1"/>
  <c r="H51" i="6"/>
  <c r="F51" i="6"/>
  <c r="G51" i="6"/>
  <c r="B51" i="6"/>
  <c r="D51" i="6"/>
  <c r="E51" i="6" s="1"/>
  <c r="H50" i="41"/>
  <c r="C52" i="6"/>
  <c r="C49" i="41"/>
  <c r="I49" i="41"/>
  <c r="AV49" i="6"/>
  <c r="N49" i="6"/>
  <c r="AU50" i="6"/>
  <c r="J50" i="6"/>
  <c r="I50" i="6"/>
  <c r="F58" i="14"/>
  <c r="AJ58" i="14"/>
  <c r="L58" i="14"/>
  <c r="AG58" i="14"/>
  <c r="N58" i="14"/>
  <c r="S58" i="14"/>
  <c r="AH58" i="14"/>
  <c r="O58" i="14"/>
  <c r="U58" i="14"/>
  <c r="E58" i="14"/>
  <c r="AI58" i="14"/>
  <c r="AB58" i="14"/>
  <c r="X58" i="14"/>
  <c r="AF58" i="14"/>
  <c r="K58" i="14"/>
  <c r="D58" i="14"/>
  <c r="Y58" i="14"/>
  <c r="AA58" i="14"/>
  <c r="I58" i="14"/>
  <c r="AE58" i="14"/>
  <c r="AC58" i="14"/>
  <c r="T58" i="14"/>
  <c r="R58" i="14"/>
  <c r="C58" i="14"/>
  <c r="G58" i="14"/>
  <c r="Q58" i="14"/>
  <c r="W58" i="14"/>
  <c r="AD58" i="14"/>
  <c r="V58" i="14"/>
  <c r="M58" i="14"/>
  <c r="J58" i="14"/>
  <c r="P58" i="14"/>
  <c r="H58" i="14"/>
  <c r="Z58" i="14"/>
  <c r="A58" i="41"/>
  <c r="A59" i="14"/>
  <c r="G58" i="41"/>
  <c r="A60" i="6"/>
  <c r="C50" i="41" l="1"/>
  <c r="I50" i="41"/>
  <c r="AV50" i="6"/>
  <c r="N50" i="6"/>
  <c r="AU51" i="6"/>
  <c r="I51" i="6"/>
  <c r="J51" i="6"/>
  <c r="B51" i="41"/>
  <c r="F52" i="6"/>
  <c r="D52" i="6"/>
  <c r="E52" i="6" s="1"/>
  <c r="G52" i="6"/>
  <c r="B52" i="6"/>
  <c r="H52" i="6"/>
  <c r="C53" i="6"/>
  <c r="H51" i="41"/>
  <c r="G59" i="41"/>
  <c r="A59" i="41"/>
  <c r="A60" i="14"/>
  <c r="A61" i="6"/>
  <c r="P59" i="14"/>
  <c r="U59" i="14"/>
  <c r="G59" i="14"/>
  <c r="AA59" i="14"/>
  <c r="N59" i="14"/>
  <c r="I59" i="14"/>
  <c r="D59" i="14"/>
  <c r="AI59" i="14"/>
  <c r="C59" i="14"/>
  <c r="R59" i="14"/>
  <c r="AF59" i="14"/>
  <c r="AD59" i="14"/>
  <c r="AG59" i="14"/>
  <c r="Y59" i="14"/>
  <c r="V59" i="14"/>
  <c r="M59" i="14"/>
  <c r="Q59" i="14"/>
  <c r="J59" i="14"/>
  <c r="T59" i="14"/>
  <c r="L59" i="14"/>
  <c r="E59" i="14"/>
  <c r="F59" i="14"/>
  <c r="H59" i="14"/>
  <c r="K59" i="14"/>
  <c r="O59" i="14"/>
  <c r="Z59" i="14"/>
  <c r="X59" i="14"/>
  <c r="AJ59" i="14"/>
  <c r="S59" i="14"/>
  <c r="AE59" i="14"/>
  <c r="AC59" i="14"/>
  <c r="W59" i="14"/>
  <c r="AB59" i="14"/>
  <c r="AH59" i="14"/>
  <c r="AV51" i="6" l="1"/>
  <c r="N51" i="6"/>
  <c r="B52" i="41"/>
  <c r="F53" i="6"/>
  <c r="D53" i="6"/>
  <c r="E53" i="6" s="1"/>
  <c r="H53" i="6"/>
  <c r="G53" i="6"/>
  <c r="B53" i="6"/>
  <c r="H52" i="41"/>
  <c r="C54" i="6"/>
  <c r="AU52" i="6"/>
  <c r="I52" i="6"/>
  <c r="J52" i="6"/>
  <c r="C51" i="41"/>
  <c r="I51" i="41"/>
  <c r="G60" i="41"/>
  <c r="A60" i="41"/>
  <c r="A61" i="14"/>
  <c r="A62" i="6"/>
  <c r="S60" i="14"/>
  <c r="O60" i="14"/>
  <c r="U60" i="14"/>
  <c r="G60" i="14"/>
  <c r="J60" i="14"/>
  <c r="AA60" i="14"/>
  <c r="AG60" i="14"/>
  <c r="N60" i="14"/>
  <c r="I60" i="14"/>
  <c r="T60" i="14"/>
  <c r="AE60" i="14"/>
  <c r="AH60" i="14"/>
  <c r="Y60" i="14"/>
  <c r="W60" i="14"/>
  <c r="Z60" i="14"/>
  <c r="AC60" i="14"/>
  <c r="P60" i="14"/>
  <c r="C60" i="14"/>
  <c r="R60" i="14"/>
  <c r="F60" i="14"/>
  <c r="H60" i="14"/>
  <c r="AD60" i="14"/>
  <c r="AI60" i="14"/>
  <c r="E60" i="14"/>
  <c r="L60" i="14"/>
  <c r="AF60" i="14"/>
  <c r="K60" i="14"/>
  <c r="V60" i="14"/>
  <c r="Q60" i="14"/>
  <c r="X60" i="14"/>
  <c r="D60" i="14"/>
  <c r="M60" i="14"/>
  <c r="AB60" i="14"/>
  <c r="AJ60" i="14"/>
  <c r="AU53" i="6" l="1"/>
  <c r="I53" i="6"/>
  <c r="J53" i="6"/>
  <c r="C52" i="41"/>
  <c r="I52" i="41"/>
  <c r="AV52" i="6"/>
  <c r="N52" i="6"/>
  <c r="B53" i="41"/>
  <c r="D54" i="6"/>
  <c r="E54" i="6" s="1"/>
  <c r="B54" i="6"/>
  <c r="G54" i="6"/>
  <c r="F54" i="6"/>
  <c r="H54" i="6"/>
  <c r="H53" i="41"/>
  <c r="C55" i="6"/>
  <c r="F61" i="14"/>
  <c r="AA61" i="14"/>
  <c r="Z61" i="14"/>
  <c r="D61" i="14"/>
  <c r="L61" i="14"/>
  <c r="P61" i="14"/>
  <c r="Q61" i="14"/>
  <c r="C61" i="14"/>
  <c r="AC61" i="14"/>
  <c r="S61" i="14"/>
  <c r="X61" i="14"/>
  <c r="AB61" i="14"/>
  <c r="H61" i="14"/>
  <c r="O61" i="14"/>
  <c r="K61" i="14"/>
  <c r="I61" i="14"/>
  <c r="AE61" i="14"/>
  <c r="AJ61" i="14"/>
  <c r="AH61" i="14"/>
  <c r="W61" i="14"/>
  <c r="AF61" i="14"/>
  <c r="G61" i="14"/>
  <c r="AD61" i="14"/>
  <c r="AI61" i="14"/>
  <c r="U61" i="14"/>
  <c r="V61" i="14"/>
  <c r="Y61" i="14"/>
  <c r="T61" i="14"/>
  <c r="J61" i="14"/>
  <c r="R61" i="14"/>
  <c r="AG61" i="14"/>
  <c r="E61" i="14"/>
  <c r="N61" i="14"/>
  <c r="M61" i="14"/>
  <c r="A61" i="41"/>
  <c r="A62" i="14"/>
  <c r="G61" i="41"/>
  <c r="A63" i="6"/>
  <c r="B54" i="41" l="1"/>
  <c r="G55" i="6"/>
  <c r="F55" i="6"/>
  <c r="D55" i="6"/>
  <c r="E55" i="6" s="1"/>
  <c r="B55" i="6"/>
  <c r="H55" i="6"/>
  <c r="C56" i="6"/>
  <c r="H54" i="41"/>
  <c r="AU54" i="6"/>
  <c r="J54" i="6"/>
  <c r="I54" i="6"/>
  <c r="AV53" i="6"/>
  <c r="N53" i="6"/>
  <c r="C53" i="41"/>
  <c r="I53" i="41"/>
  <c r="A63" i="14"/>
  <c r="A62" i="41"/>
  <c r="G62" i="41"/>
  <c r="A64" i="6"/>
  <c r="J62" i="14"/>
  <c r="AJ62" i="14"/>
  <c r="U62" i="14"/>
  <c r="G62" i="14"/>
  <c r="W62" i="14"/>
  <c r="S62" i="14"/>
  <c r="I62" i="14"/>
  <c r="X62" i="14"/>
  <c r="M62" i="14"/>
  <c r="L62" i="14"/>
  <c r="E62" i="14"/>
  <c r="AI62" i="14"/>
  <c r="AB62" i="14"/>
  <c r="O62" i="14"/>
  <c r="AA62" i="14"/>
  <c r="K62" i="14"/>
  <c r="D62" i="14"/>
  <c r="AF62" i="14"/>
  <c r="AH62" i="14"/>
  <c r="AE62" i="14"/>
  <c r="V62" i="14"/>
  <c r="R62" i="14"/>
  <c r="C62" i="14"/>
  <c r="T62" i="14"/>
  <c r="Y62" i="14"/>
  <c r="P62" i="14"/>
  <c r="AC62" i="14"/>
  <c r="H62" i="14"/>
  <c r="F62" i="14"/>
  <c r="Z62" i="14"/>
  <c r="AG62" i="14"/>
  <c r="Q62" i="14"/>
  <c r="N62" i="14"/>
  <c r="AD62" i="14"/>
  <c r="B55" i="41" l="1"/>
  <c r="G56" i="6"/>
  <c r="B56" i="6"/>
  <c r="F56" i="6"/>
  <c r="D56" i="6"/>
  <c r="E56" i="6" s="1"/>
  <c r="H56" i="6"/>
  <c r="H55" i="41"/>
  <c r="C57" i="6"/>
  <c r="AU55" i="6"/>
  <c r="I55" i="6"/>
  <c r="J55" i="6"/>
  <c r="C54" i="41"/>
  <c r="I54" i="41"/>
  <c r="AV54" i="6"/>
  <c r="N54" i="6"/>
  <c r="A64" i="14"/>
  <c r="A63" i="41"/>
  <c r="G63" i="41"/>
  <c r="A65" i="6"/>
  <c r="M63" i="14"/>
  <c r="R63" i="14"/>
  <c r="AJ63" i="14"/>
  <c r="P63" i="14"/>
  <c r="U63" i="14"/>
  <c r="G63" i="14"/>
  <c r="Y63" i="14"/>
  <c r="AI63" i="14"/>
  <c r="H63" i="14"/>
  <c r="L63" i="14"/>
  <c r="AG63" i="14"/>
  <c r="J63" i="14"/>
  <c r="F63" i="14"/>
  <c r="T63" i="14"/>
  <c r="N63" i="14"/>
  <c r="I63" i="14"/>
  <c r="D63" i="14"/>
  <c r="AA63" i="14"/>
  <c r="AB63" i="14"/>
  <c r="AC63" i="14"/>
  <c r="V63" i="14"/>
  <c r="K63" i="14"/>
  <c r="S63" i="14"/>
  <c r="AH63" i="14"/>
  <c r="Z63" i="14"/>
  <c r="AE63" i="14"/>
  <c r="Q63" i="14"/>
  <c r="W63" i="14"/>
  <c r="E63" i="14"/>
  <c r="C63" i="14"/>
  <c r="O63" i="14"/>
  <c r="X63" i="14"/>
  <c r="AF63" i="14"/>
  <c r="AD63" i="14"/>
  <c r="B56" i="41" l="1"/>
  <c r="B57" i="6"/>
  <c r="H57" i="6"/>
  <c r="D57" i="6"/>
  <c r="E57" i="6" s="1"/>
  <c r="G57" i="6"/>
  <c r="F57" i="6"/>
  <c r="H56" i="41"/>
  <c r="C58" i="6"/>
  <c r="AU56" i="6"/>
  <c r="J56" i="6"/>
  <c r="I56" i="6"/>
  <c r="C55" i="41"/>
  <c r="I55" i="41"/>
  <c r="AV55" i="6"/>
  <c r="N55" i="6"/>
  <c r="A64" i="41"/>
  <c r="A65" i="14"/>
  <c r="G64" i="41"/>
  <c r="A66" i="6"/>
  <c r="V64" i="14"/>
  <c r="X64" i="14"/>
  <c r="M64" i="14"/>
  <c r="R64" i="14"/>
  <c r="T64" i="14"/>
  <c r="O64" i="14"/>
  <c r="U64" i="14"/>
  <c r="G64" i="14"/>
  <c r="D64" i="14"/>
  <c r="L64" i="14"/>
  <c r="J64" i="14"/>
  <c r="AF64" i="14"/>
  <c r="AG64" i="14"/>
  <c r="N64" i="14"/>
  <c r="I64" i="14"/>
  <c r="AJ64" i="14"/>
  <c r="E64" i="14"/>
  <c r="Z64" i="14"/>
  <c r="Y64" i="14"/>
  <c r="AI64" i="14"/>
  <c r="AE64" i="14"/>
  <c r="AC64" i="14"/>
  <c r="AA64" i="14"/>
  <c r="W64" i="14"/>
  <c r="F64" i="14"/>
  <c r="S64" i="14"/>
  <c r="C64" i="14"/>
  <c r="AD64" i="14"/>
  <c r="P64" i="14"/>
  <c r="AB64" i="14"/>
  <c r="H64" i="14"/>
  <c r="K64" i="14"/>
  <c r="Q64" i="14"/>
  <c r="AH64" i="14"/>
  <c r="B57" i="41" l="1"/>
  <c r="H58" i="6"/>
  <c r="B58" i="6"/>
  <c r="D58" i="6"/>
  <c r="E58" i="6" s="1"/>
  <c r="G58" i="6"/>
  <c r="F58" i="6"/>
  <c r="H57" i="41"/>
  <c r="C59" i="6"/>
  <c r="C56" i="41"/>
  <c r="I56" i="41"/>
  <c r="AU57" i="6"/>
  <c r="J57" i="6"/>
  <c r="I57" i="6"/>
  <c r="AV56" i="6"/>
  <c r="N56" i="6"/>
  <c r="G65" i="41"/>
  <c r="A65" i="41"/>
  <c r="A66" i="14"/>
  <c r="A67" i="6"/>
  <c r="AC65" i="14"/>
  <c r="AI65" i="14"/>
  <c r="I65" i="14"/>
  <c r="X65" i="14"/>
  <c r="F65" i="14"/>
  <c r="AF65" i="14"/>
  <c r="AA65" i="14"/>
  <c r="Z65" i="14"/>
  <c r="D65" i="14"/>
  <c r="L65" i="14"/>
  <c r="T65" i="14"/>
  <c r="Q65" i="14"/>
  <c r="M65" i="14"/>
  <c r="S65" i="14"/>
  <c r="E65" i="14"/>
  <c r="U65" i="14"/>
  <c r="P65" i="14"/>
  <c r="O65" i="14"/>
  <c r="K65" i="14"/>
  <c r="Y65" i="14"/>
  <c r="H65" i="14"/>
  <c r="AE65" i="14"/>
  <c r="AB65" i="14"/>
  <c r="J65" i="14"/>
  <c r="AH65" i="14"/>
  <c r="W65" i="14"/>
  <c r="R65" i="14"/>
  <c r="N65" i="14"/>
  <c r="AJ65" i="14"/>
  <c r="G65" i="14"/>
  <c r="C65" i="14"/>
  <c r="V65" i="14"/>
  <c r="AG65" i="14"/>
  <c r="AD65" i="14"/>
  <c r="B58" i="41" l="1"/>
  <c r="G59" i="6"/>
  <c r="F59" i="6"/>
  <c r="D59" i="6"/>
  <c r="E59" i="6" s="1"/>
  <c r="H59" i="6"/>
  <c r="B59" i="6"/>
  <c r="H58" i="41"/>
  <c r="C60" i="6"/>
  <c r="C57" i="41"/>
  <c r="I57" i="41"/>
  <c r="AV57" i="6"/>
  <c r="N57" i="6"/>
  <c r="AU58" i="6"/>
  <c r="I58" i="6"/>
  <c r="J58" i="6"/>
  <c r="A67" i="14"/>
  <c r="G66" i="41"/>
  <c r="A66" i="41"/>
  <c r="A68" i="6"/>
  <c r="Y66" i="14"/>
  <c r="AJ66" i="14"/>
  <c r="H66" i="14"/>
  <c r="R66" i="14"/>
  <c r="AE66" i="14"/>
  <c r="J66" i="14"/>
  <c r="AI66" i="14"/>
  <c r="U66" i="14"/>
  <c r="G66" i="14"/>
  <c r="W66" i="14"/>
  <c r="AC66" i="14"/>
  <c r="AF66" i="14"/>
  <c r="L66" i="14"/>
  <c r="AG66" i="14"/>
  <c r="N66" i="14"/>
  <c r="F66" i="14"/>
  <c r="AA66" i="14"/>
  <c r="AB66" i="14"/>
  <c r="Q66" i="14"/>
  <c r="C66" i="14"/>
  <c r="V66" i="14"/>
  <c r="K66" i="14"/>
  <c r="E66" i="14"/>
  <c r="AD66" i="14"/>
  <c r="T66" i="14"/>
  <c r="I66" i="14"/>
  <c r="X66" i="14"/>
  <c r="M66" i="14"/>
  <c r="S66" i="14"/>
  <c r="AH66" i="14"/>
  <c r="O66" i="14"/>
  <c r="Z66" i="14"/>
  <c r="D66" i="14"/>
  <c r="P66" i="14"/>
  <c r="B59" i="41" l="1"/>
  <c r="D60" i="6"/>
  <c r="E60" i="6" s="1"/>
  <c r="H60" i="6"/>
  <c r="B60" i="6"/>
  <c r="F60" i="6"/>
  <c r="G60" i="6"/>
  <c r="C61" i="6"/>
  <c r="H59" i="41"/>
  <c r="AV58" i="6"/>
  <c r="N58" i="6"/>
  <c r="AU59" i="6"/>
  <c r="I59" i="6"/>
  <c r="J59" i="6"/>
  <c r="C58" i="41"/>
  <c r="I58" i="41"/>
  <c r="A68" i="14"/>
  <c r="G67" i="41"/>
  <c r="A67" i="41"/>
  <c r="A69" i="6"/>
  <c r="Y67" i="14"/>
  <c r="AJ67" i="14"/>
  <c r="M67" i="14"/>
  <c r="R67" i="14"/>
  <c r="AI67" i="14"/>
  <c r="P67" i="14"/>
  <c r="U67" i="14"/>
  <c r="G67" i="14"/>
  <c r="J67" i="14"/>
  <c r="AF67" i="14"/>
  <c r="H67" i="14"/>
  <c r="L67" i="14"/>
  <c r="AG67" i="14"/>
  <c r="AC67" i="14"/>
  <c r="AA67" i="14"/>
  <c r="AE67" i="14"/>
  <c r="AB67" i="14"/>
  <c r="Q67" i="14"/>
  <c r="F67" i="14"/>
  <c r="T67" i="14"/>
  <c r="N67" i="14"/>
  <c r="I67" i="14"/>
  <c r="O67" i="14"/>
  <c r="W67" i="14"/>
  <c r="D67" i="14"/>
  <c r="C67" i="14"/>
  <c r="AD67" i="14"/>
  <c r="K67" i="14"/>
  <c r="AH67" i="14"/>
  <c r="V67" i="14"/>
  <c r="Z67" i="14"/>
  <c r="S67" i="14"/>
  <c r="E67" i="14"/>
  <c r="X67" i="14"/>
  <c r="B60" i="41" l="1"/>
  <c r="B61" i="6"/>
  <c r="H61" i="6"/>
  <c r="D61" i="6"/>
  <c r="E61" i="6" s="1"/>
  <c r="F61" i="6"/>
  <c r="G61" i="6"/>
  <c r="C62" i="6"/>
  <c r="H60" i="41"/>
  <c r="AV59" i="6"/>
  <c r="N59" i="6"/>
  <c r="AU60" i="6"/>
  <c r="J60" i="6"/>
  <c r="I60" i="6"/>
  <c r="C59" i="41"/>
  <c r="I59" i="41"/>
  <c r="A69" i="14"/>
  <c r="G68" i="41"/>
  <c r="A68" i="41"/>
  <c r="A70" i="6"/>
  <c r="T68" i="14"/>
  <c r="E68" i="14"/>
  <c r="AD68" i="14"/>
  <c r="Z68" i="14"/>
  <c r="S68" i="14"/>
  <c r="X68" i="14"/>
  <c r="M68" i="14"/>
  <c r="R68" i="14"/>
  <c r="O68" i="14"/>
  <c r="U68" i="14"/>
  <c r="G68" i="14"/>
  <c r="AJ68" i="14"/>
  <c r="D68" i="14"/>
  <c r="L68" i="14"/>
  <c r="J68" i="14"/>
  <c r="AF68" i="14"/>
  <c r="H68" i="14"/>
  <c r="W68" i="14"/>
  <c r="K68" i="14"/>
  <c r="AI68" i="14"/>
  <c r="C68" i="14"/>
  <c r="Y68" i="14"/>
  <c r="V68" i="14"/>
  <c r="AB68" i="14"/>
  <c r="AC68" i="14"/>
  <c r="I68" i="14"/>
  <c r="F68" i="14"/>
  <c r="P68" i="14"/>
  <c r="AH68" i="14"/>
  <c r="AG68" i="14"/>
  <c r="Q68" i="14"/>
  <c r="AE68" i="14"/>
  <c r="AA68" i="14"/>
  <c r="N68" i="14"/>
  <c r="B61" i="41" l="1"/>
  <c r="F62" i="6"/>
  <c r="G62" i="6"/>
  <c r="B62" i="6"/>
  <c r="H62" i="6"/>
  <c r="D62" i="6"/>
  <c r="E62" i="6" s="1"/>
  <c r="C63" i="6"/>
  <c r="H61" i="41"/>
  <c r="C60" i="41"/>
  <c r="I60" i="41"/>
  <c r="AV60" i="6"/>
  <c r="N60" i="6"/>
  <c r="AU61" i="6"/>
  <c r="I61" i="6"/>
  <c r="J61" i="6"/>
  <c r="G69" i="41"/>
  <c r="A69" i="41"/>
  <c r="A70" i="14"/>
  <c r="A71" i="6"/>
  <c r="J69" i="14"/>
  <c r="AI69" i="14"/>
  <c r="I69" i="14"/>
  <c r="X69" i="14"/>
  <c r="M69" i="14"/>
  <c r="AC69" i="14"/>
  <c r="AF69" i="14"/>
  <c r="AH69" i="14"/>
  <c r="O69" i="14"/>
  <c r="U69" i="14"/>
  <c r="F69" i="14"/>
  <c r="AA69" i="14"/>
  <c r="Z69" i="14"/>
  <c r="D69" i="14"/>
  <c r="L69" i="14"/>
  <c r="V69" i="14"/>
  <c r="R69" i="14"/>
  <c r="AE69" i="14"/>
  <c r="K69" i="14"/>
  <c r="S69" i="14"/>
  <c r="AG69" i="14"/>
  <c r="N69" i="14"/>
  <c r="G69" i="14"/>
  <c r="Q69" i="14"/>
  <c r="E69" i="14"/>
  <c r="W69" i="14"/>
  <c r="AJ69" i="14"/>
  <c r="C69" i="14"/>
  <c r="Y69" i="14"/>
  <c r="T69" i="14"/>
  <c r="AD69" i="14"/>
  <c r="P69" i="14"/>
  <c r="AB69" i="14"/>
  <c r="H69" i="14"/>
  <c r="AV61" i="6" l="1"/>
  <c r="N61" i="6"/>
  <c r="B62" i="41"/>
  <c r="B63" i="6"/>
  <c r="F63" i="6"/>
  <c r="H63" i="6"/>
  <c r="D63" i="6"/>
  <c r="E63" i="6" s="1"/>
  <c r="G63" i="6"/>
  <c r="H62" i="41"/>
  <c r="C64" i="6"/>
  <c r="C61" i="41"/>
  <c r="I61" i="41"/>
  <c r="AU62" i="6"/>
  <c r="J62" i="6"/>
  <c r="I62" i="6"/>
  <c r="P70" i="14"/>
  <c r="Z70" i="14"/>
  <c r="D70" i="14"/>
  <c r="Y70" i="14"/>
  <c r="AI70" i="14"/>
  <c r="H70" i="14"/>
  <c r="R70" i="14"/>
  <c r="AE70" i="14"/>
  <c r="AJ70" i="14"/>
  <c r="U70" i="14"/>
  <c r="G70" i="14"/>
  <c r="W70" i="14"/>
  <c r="J70" i="14"/>
  <c r="AA70" i="14"/>
  <c r="L70" i="14"/>
  <c r="AG70" i="14"/>
  <c r="N70" i="14"/>
  <c r="F70" i="14"/>
  <c r="T70" i="14"/>
  <c r="K70" i="14"/>
  <c r="E70" i="14"/>
  <c r="AD70" i="14"/>
  <c r="AF70" i="14"/>
  <c r="O70" i="14"/>
  <c r="AC70" i="14"/>
  <c r="S70" i="14"/>
  <c r="C70" i="14"/>
  <c r="V70" i="14"/>
  <c r="M70" i="14"/>
  <c r="AB70" i="14"/>
  <c r="I70" i="14"/>
  <c r="AH70" i="14"/>
  <c r="Q70" i="14"/>
  <c r="X70" i="14"/>
  <c r="A71" i="14"/>
  <c r="G70" i="41"/>
  <c r="A70" i="41"/>
  <c r="A72" i="6"/>
  <c r="C62" i="41" l="1"/>
  <c r="I62" i="41"/>
  <c r="AV62" i="6"/>
  <c r="N62" i="6"/>
  <c r="AU63" i="6"/>
  <c r="I63" i="6"/>
  <c r="J63" i="6"/>
  <c r="B63" i="41"/>
  <c r="H64" i="6"/>
  <c r="F64" i="6"/>
  <c r="B64" i="6"/>
  <c r="G64" i="6"/>
  <c r="D64" i="6"/>
  <c r="E64" i="6" s="1"/>
  <c r="C65" i="6"/>
  <c r="H63" i="41"/>
  <c r="A72" i="14"/>
  <c r="G71" i="41"/>
  <c r="A71" i="41"/>
  <c r="A73" i="6"/>
  <c r="S71" i="14"/>
  <c r="AD71" i="14"/>
  <c r="Z71" i="14"/>
  <c r="D71" i="14"/>
  <c r="M71" i="14"/>
  <c r="R71" i="14"/>
  <c r="Y71" i="14"/>
  <c r="AJ71" i="14"/>
  <c r="P71" i="14"/>
  <c r="U71" i="14"/>
  <c r="G71" i="14"/>
  <c r="AI71" i="14"/>
  <c r="H71" i="14"/>
  <c r="L71" i="14"/>
  <c r="AG71" i="14"/>
  <c r="AC71" i="14"/>
  <c r="AA71" i="14"/>
  <c r="W71" i="14"/>
  <c r="K71" i="14"/>
  <c r="E71" i="14"/>
  <c r="C71" i="14"/>
  <c r="AB71" i="14"/>
  <c r="AF71" i="14"/>
  <c r="I71" i="14"/>
  <c r="T71" i="14"/>
  <c r="AH71" i="14"/>
  <c r="J71" i="14"/>
  <c r="V71" i="14"/>
  <c r="Q71" i="14"/>
  <c r="F71" i="14"/>
  <c r="X71" i="14"/>
  <c r="AE71" i="14"/>
  <c r="O71" i="14"/>
  <c r="N71" i="14"/>
  <c r="AV63" i="6" l="1"/>
  <c r="N63" i="6"/>
  <c r="B64" i="41"/>
  <c r="D65" i="6"/>
  <c r="E65" i="6" s="1"/>
  <c r="H65" i="6"/>
  <c r="B65" i="6"/>
  <c r="F65" i="6"/>
  <c r="G65" i="6"/>
  <c r="H64" i="41"/>
  <c r="C66" i="6"/>
  <c r="C63" i="41"/>
  <c r="I63" i="41"/>
  <c r="AU64" i="6"/>
  <c r="I64" i="6"/>
  <c r="J64" i="6"/>
  <c r="J72" i="14"/>
  <c r="AA72" i="14"/>
  <c r="Q72" i="14"/>
  <c r="C72" i="14"/>
  <c r="AH72" i="14"/>
  <c r="AC72" i="14"/>
  <c r="S72" i="14"/>
  <c r="E72" i="14"/>
  <c r="AD72" i="14"/>
  <c r="Z72" i="14"/>
  <c r="F72" i="14"/>
  <c r="V72" i="14"/>
  <c r="X72" i="14"/>
  <c r="M72" i="14"/>
  <c r="R72" i="14"/>
  <c r="T72" i="14"/>
  <c r="O72" i="14"/>
  <c r="U72" i="14"/>
  <c r="G72" i="14"/>
  <c r="AJ72" i="14"/>
  <c r="P72" i="14"/>
  <c r="AE72" i="14"/>
  <c r="AB72" i="14"/>
  <c r="I72" i="14"/>
  <c r="Y72" i="14"/>
  <c r="H72" i="14"/>
  <c r="AG72" i="14"/>
  <c r="D72" i="14"/>
  <c r="W72" i="14"/>
  <c r="N72" i="14"/>
  <c r="AI72" i="14"/>
  <c r="L72" i="14"/>
  <c r="K72" i="14"/>
  <c r="AF72" i="14"/>
  <c r="A72" i="41"/>
  <c r="A73" i="14"/>
  <c r="G72" i="41"/>
  <c r="A74" i="6"/>
  <c r="AV64" i="6" l="1"/>
  <c r="N64" i="6"/>
  <c r="AU65" i="6"/>
  <c r="I65" i="6"/>
  <c r="J65" i="6"/>
  <c r="C64" i="41"/>
  <c r="I64" i="41"/>
  <c r="B65" i="41"/>
  <c r="F66" i="6"/>
  <c r="H66" i="6"/>
  <c r="B66" i="6"/>
  <c r="D66" i="6"/>
  <c r="E66" i="6" s="1"/>
  <c r="G66" i="6"/>
  <c r="H65" i="41"/>
  <c r="C67" i="6"/>
  <c r="Y73" i="14"/>
  <c r="AF73" i="14"/>
  <c r="H73" i="14"/>
  <c r="E73" i="14"/>
  <c r="AD73" i="14"/>
  <c r="J73" i="14"/>
  <c r="AA73" i="14"/>
  <c r="I73" i="14"/>
  <c r="X73" i="14"/>
  <c r="M73" i="14"/>
  <c r="AC73" i="14"/>
  <c r="V73" i="14"/>
  <c r="AH73" i="14"/>
  <c r="O73" i="14"/>
  <c r="U73" i="14"/>
  <c r="F73" i="14"/>
  <c r="T73" i="14"/>
  <c r="Z73" i="14"/>
  <c r="D73" i="14"/>
  <c r="L73" i="14"/>
  <c r="G73" i="14"/>
  <c r="W73" i="14"/>
  <c r="K73" i="14"/>
  <c r="AJ73" i="14"/>
  <c r="Q73" i="14"/>
  <c r="AI73" i="14"/>
  <c r="AE73" i="14"/>
  <c r="S73" i="14"/>
  <c r="N73" i="14"/>
  <c r="C73" i="14"/>
  <c r="AB73" i="14"/>
  <c r="P73" i="14"/>
  <c r="R73" i="14"/>
  <c r="AG73" i="14"/>
  <c r="A74" i="14"/>
  <c r="G73" i="41"/>
  <c r="A73" i="41"/>
  <c r="A75" i="6"/>
  <c r="B66" i="41" l="1"/>
  <c r="D67" i="6"/>
  <c r="E67" i="6" s="1"/>
  <c r="F67" i="6"/>
  <c r="H67" i="6"/>
  <c r="B67" i="6"/>
  <c r="G67" i="6"/>
  <c r="H66" i="41"/>
  <c r="C68" i="6"/>
  <c r="N65" i="6"/>
  <c r="AV65" i="6"/>
  <c r="C65" i="41"/>
  <c r="I65" i="41"/>
  <c r="AU66" i="6"/>
  <c r="I66" i="6"/>
  <c r="J66" i="6"/>
  <c r="S74" i="14"/>
  <c r="AH74" i="14"/>
  <c r="O74" i="14"/>
  <c r="P74" i="14"/>
  <c r="Z74" i="14"/>
  <c r="D74" i="14"/>
  <c r="Y74" i="14"/>
  <c r="AF74" i="14"/>
  <c r="H74" i="14"/>
  <c r="R74" i="14"/>
  <c r="AE74" i="14"/>
  <c r="J74" i="14"/>
  <c r="AI74" i="14"/>
  <c r="U74" i="14"/>
  <c r="G74" i="14"/>
  <c r="W74" i="14"/>
  <c r="F74" i="14"/>
  <c r="AJ74" i="14"/>
  <c r="AB74" i="14"/>
  <c r="Q74" i="14"/>
  <c r="C74" i="14"/>
  <c r="T74" i="14"/>
  <c r="AD74" i="14"/>
  <c r="L74" i="14"/>
  <c r="M74" i="14"/>
  <c r="K74" i="14"/>
  <c r="I74" i="14"/>
  <c r="AG74" i="14"/>
  <c r="E74" i="14"/>
  <c r="AA74" i="14"/>
  <c r="X74" i="14"/>
  <c r="N74" i="14"/>
  <c r="AC74" i="14"/>
  <c r="V74" i="14"/>
  <c r="A75" i="14"/>
  <c r="A74" i="41"/>
  <c r="G74" i="41"/>
  <c r="A76" i="6"/>
  <c r="B67" i="41" l="1"/>
  <c r="H68" i="6"/>
  <c r="F68" i="6"/>
  <c r="G68" i="6"/>
  <c r="D68" i="6"/>
  <c r="E68" i="6" s="1"/>
  <c r="B68" i="6"/>
  <c r="H67" i="41"/>
  <c r="C69" i="6"/>
  <c r="AV66" i="6"/>
  <c r="N66" i="6"/>
  <c r="AU67" i="6"/>
  <c r="I67" i="6"/>
  <c r="J67" i="6"/>
  <c r="C66" i="41"/>
  <c r="I66" i="41"/>
  <c r="A76" i="14"/>
  <c r="G75" i="41"/>
  <c r="A75" i="41"/>
  <c r="A77" i="6"/>
  <c r="T75" i="14"/>
  <c r="C75" i="14"/>
  <c r="AH75" i="14"/>
  <c r="O75" i="14"/>
  <c r="S75" i="14"/>
  <c r="AD75" i="14"/>
  <c r="Z75" i="14"/>
  <c r="D75" i="14"/>
  <c r="M75" i="14"/>
  <c r="R75" i="14"/>
  <c r="AJ75" i="14"/>
  <c r="P75" i="14"/>
  <c r="U75" i="14"/>
  <c r="G75" i="14"/>
  <c r="J75" i="14"/>
  <c r="AF75" i="14"/>
  <c r="AE75" i="14"/>
  <c r="AB75" i="14"/>
  <c r="Q75" i="14"/>
  <c r="AI75" i="14"/>
  <c r="K75" i="14"/>
  <c r="AA75" i="14"/>
  <c r="I75" i="14"/>
  <c r="Y75" i="14"/>
  <c r="V75" i="14"/>
  <c r="AG75" i="14"/>
  <c r="AC75" i="14"/>
  <c r="E75" i="14"/>
  <c r="F75" i="14"/>
  <c r="H75" i="14"/>
  <c r="X75" i="14"/>
  <c r="W75" i="14"/>
  <c r="N75" i="14"/>
  <c r="L75" i="14"/>
  <c r="B68" i="41" l="1"/>
  <c r="H69" i="6"/>
  <c r="G69" i="6"/>
  <c r="B69" i="6"/>
  <c r="D69" i="6"/>
  <c r="E69" i="6" s="1"/>
  <c r="F69" i="6"/>
  <c r="H68" i="41"/>
  <c r="C70" i="6"/>
  <c r="C67" i="41"/>
  <c r="I67" i="41"/>
  <c r="AU68" i="6"/>
  <c r="J68" i="6"/>
  <c r="I68" i="6"/>
  <c r="AV67" i="6"/>
  <c r="N67" i="6"/>
  <c r="G76" i="41"/>
  <c r="A76" i="41"/>
  <c r="A77" i="14"/>
  <c r="A78" i="6"/>
  <c r="AC76" i="14"/>
  <c r="AF76" i="14"/>
  <c r="AG76" i="14"/>
  <c r="N76" i="14"/>
  <c r="I76" i="14"/>
  <c r="F76" i="14"/>
  <c r="V76" i="14"/>
  <c r="Q76" i="14"/>
  <c r="C76" i="14"/>
  <c r="AH76" i="14"/>
  <c r="T76" i="14"/>
  <c r="E76" i="14"/>
  <c r="AD76" i="14"/>
  <c r="Z76" i="14"/>
  <c r="S76" i="14"/>
  <c r="X76" i="14"/>
  <c r="M76" i="14"/>
  <c r="G76" i="14"/>
  <c r="AJ76" i="14"/>
  <c r="D76" i="14"/>
  <c r="L76" i="14"/>
  <c r="H76" i="14"/>
  <c r="O76" i="14"/>
  <c r="AE76" i="14"/>
  <c r="W76" i="14"/>
  <c r="AI76" i="14"/>
  <c r="U76" i="14"/>
  <c r="AA76" i="14"/>
  <c r="AB76" i="14"/>
  <c r="Y76" i="14"/>
  <c r="K76" i="14"/>
  <c r="J76" i="14"/>
  <c r="P76" i="14"/>
  <c r="R76" i="14"/>
  <c r="B69" i="41" l="1"/>
  <c r="F70" i="6"/>
  <c r="G70" i="6"/>
  <c r="H70" i="6"/>
  <c r="B70" i="6"/>
  <c r="D70" i="6"/>
  <c r="E70" i="6" s="1"/>
  <c r="H69" i="41"/>
  <c r="C71" i="6"/>
  <c r="C68" i="41"/>
  <c r="I68" i="41"/>
  <c r="AV68" i="6"/>
  <c r="N68" i="6"/>
  <c r="AU69" i="6"/>
  <c r="J69" i="6"/>
  <c r="I69" i="6"/>
  <c r="AG77" i="14"/>
  <c r="N77" i="14"/>
  <c r="AJ77" i="14"/>
  <c r="P77" i="14"/>
  <c r="Q77" i="14"/>
  <c r="C77" i="14"/>
  <c r="AI77" i="14"/>
  <c r="H77" i="14"/>
  <c r="E77" i="14"/>
  <c r="AD77" i="14"/>
  <c r="Y77" i="14"/>
  <c r="AF77" i="14"/>
  <c r="I77" i="14"/>
  <c r="X77" i="14"/>
  <c r="M77" i="14"/>
  <c r="J77" i="14"/>
  <c r="V77" i="14"/>
  <c r="Z77" i="14"/>
  <c r="D77" i="14"/>
  <c r="L77" i="14"/>
  <c r="AA77" i="14"/>
  <c r="AE77" i="14"/>
  <c r="T77" i="14"/>
  <c r="W77" i="14"/>
  <c r="S77" i="14"/>
  <c r="U77" i="14"/>
  <c r="AC77" i="14"/>
  <c r="AB77" i="14"/>
  <c r="F77" i="14"/>
  <c r="AH77" i="14"/>
  <c r="K77" i="14"/>
  <c r="R77" i="14"/>
  <c r="G77" i="14"/>
  <c r="O77" i="14"/>
  <c r="A78" i="14"/>
  <c r="G77" i="41"/>
  <c r="A77" i="41"/>
  <c r="A79" i="6"/>
  <c r="B70" i="41" l="1"/>
  <c r="H71" i="6"/>
  <c r="G71" i="6"/>
  <c r="B71" i="6"/>
  <c r="F71" i="6"/>
  <c r="D71" i="6"/>
  <c r="E71" i="6" s="1"/>
  <c r="H70" i="41"/>
  <c r="C72" i="6"/>
  <c r="C69" i="41"/>
  <c r="I69" i="41"/>
  <c r="J70" i="6"/>
  <c r="AU70" i="6"/>
  <c r="I70" i="6"/>
  <c r="AV69" i="6"/>
  <c r="N69" i="6"/>
  <c r="A79" i="14"/>
  <c r="G78" i="41"/>
  <c r="A78" i="41"/>
  <c r="A80" i="6"/>
  <c r="S78" i="14"/>
  <c r="I78" i="14"/>
  <c r="X78" i="14"/>
  <c r="AD78" i="14"/>
  <c r="V78" i="14"/>
  <c r="AH78" i="14"/>
  <c r="O78" i="14"/>
  <c r="P78" i="14"/>
  <c r="Z78" i="14"/>
  <c r="D78" i="14"/>
  <c r="AI78" i="14"/>
  <c r="H78" i="14"/>
  <c r="R78" i="14"/>
  <c r="AE78" i="14"/>
  <c r="J78" i="14"/>
  <c r="AF78" i="14"/>
  <c r="L78" i="14"/>
  <c r="AG78" i="14"/>
  <c r="N78" i="14"/>
  <c r="AB78" i="14"/>
  <c r="K78" i="14"/>
  <c r="G78" i="14"/>
  <c r="Q78" i="14"/>
  <c r="AJ78" i="14"/>
  <c r="E78" i="14"/>
  <c r="Y78" i="14"/>
  <c r="AA78" i="14"/>
  <c r="W78" i="14"/>
  <c r="AC78" i="14"/>
  <c r="T78" i="14"/>
  <c r="C78" i="14"/>
  <c r="F78" i="14"/>
  <c r="U78" i="14"/>
  <c r="M78" i="14"/>
  <c r="C70" i="41" l="1"/>
  <c r="I70" i="41"/>
  <c r="B71" i="41"/>
  <c r="B72" i="6"/>
  <c r="G72" i="6"/>
  <c r="D72" i="6"/>
  <c r="E72" i="6" s="1"/>
  <c r="H72" i="6"/>
  <c r="F72" i="6"/>
  <c r="H71" i="41"/>
  <c r="C73" i="6"/>
  <c r="AV70" i="6"/>
  <c r="N70" i="6"/>
  <c r="AU71" i="6"/>
  <c r="J71" i="6"/>
  <c r="I71" i="6"/>
  <c r="F79" i="14"/>
  <c r="T79" i="14"/>
  <c r="N79" i="14"/>
  <c r="I79" i="14"/>
  <c r="X79" i="14"/>
  <c r="V79" i="14"/>
  <c r="C79" i="14"/>
  <c r="AH79" i="14"/>
  <c r="O79" i="14"/>
  <c r="S79" i="14"/>
  <c r="AD79" i="14"/>
  <c r="Z79" i="14"/>
  <c r="D79" i="14"/>
  <c r="M79" i="14"/>
  <c r="R79" i="14"/>
  <c r="Y79" i="14"/>
  <c r="AI79" i="14"/>
  <c r="H79" i="14"/>
  <c r="L79" i="14"/>
  <c r="AG79" i="14"/>
  <c r="AA79" i="14"/>
  <c r="G79" i="14"/>
  <c r="J79" i="14"/>
  <c r="Q79" i="14"/>
  <c r="AC79" i="14"/>
  <c r="P79" i="14"/>
  <c r="E79" i="14"/>
  <c r="AE79" i="14"/>
  <c r="W79" i="14"/>
  <c r="U79" i="14"/>
  <c r="AJ79" i="14"/>
  <c r="AB79" i="14"/>
  <c r="K79" i="14"/>
  <c r="AF79" i="14"/>
  <c r="A79" i="41"/>
  <c r="A80" i="14"/>
  <c r="G79" i="41"/>
  <c r="A81" i="6"/>
  <c r="I72" i="6" l="1"/>
  <c r="J72" i="6"/>
  <c r="AU72" i="6"/>
  <c r="C71" i="41"/>
  <c r="I71" i="41"/>
  <c r="AV71" i="6"/>
  <c r="N71" i="6"/>
  <c r="B72" i="41"/>
  <c r="D73" i="6"/>
  <c r="E73" i="6" s="1"/>
  <c r="H73" i="6"/>
  <c r="F73" i="6"/>
  <c r="B73" i="6"/>
  <c r="G73" i="6"/>
  <c r="H72" i="41"/>
  <c r="C74" i="6"/>
  <c r="G80" i="41"/>
  <c r="A80" i="41"/>
  <c r="A81" i="14"/>
  <c r="A82" i="6"/>
  <c r="J80" i="14"/>
  <c r="AA80" i="14"/>
  <c r="AG80" i="14"/>
  <c r="N80" i="14"/>
  <c r="I80" i="14"/>
  <c r="AC80" i="14"/>
  <c r="AF80" i="14"/>
  <c r="Q80" i="14"/>
  <c r="C80" i="14"/>
  <c r="G80" i="14"/>
  <c r="F80" i="14"/>
  <c r="S80" i="14"/>
  <c r="E80" i="14"/>
  <c r="AD80" i="14"/>
  <c r="R80" i="14"/>
  <c r="T80" i="14"/>
  <c r="X80" i="14"/>
  <c r="M80" i="14"/>
  <c r="AH80" i="14"/>
  <c r="D80" i="14"/>
  <c r="L80" i="14"/>
  <c r="O80" i="14"/>
  <c r="AE80" i="14"/>
  <c r="AJ80" i="14"/>
  <c r="W80" i="14"/>
  <c r="AI80" i="14"/>
  <c r="U80" i="14"/>
  <c r="V80" i="14"/>
  <c r="AB80" i="14"/>
  <c r="Y80" i="14"/>
  <c r="K80" i="14"/>
  <c r="P80" i="14"/>
  <c r="Z80" i="14"/>
  <c r="H80" i="14"/>
  <c r="B73" i="41" l="1"/>
  <c r="H74" i="6"/>
  <c r="D74" i="6"/>
  <c r="E74" i="6" s="1"/>
  <c r="B74" i="6"/>
  <c r="G74" i="6"/>
  <c r="F74" i="6"/>
  <c r="C75" i="6"/>
  <c r="H73" i="41"/>
  <c r="AU73" i="6"/>
  <c r="I73" i="6"/>
  <c r="J73" i="6"/>
  <c r="AV72" i="6"/>
  <c r="N72" i="6"/>
  <c r="C72" i="41"/>
  <c r="I72" i="41"/>
  <c r="G81" i="41"/>
  <c r="A82" i="14"/>
  <c r="A81" i="41"/>
  <c r="A83" i="6"/>
  <c r="Y81" i="14"/>
  <c r="P81" i="14"/>
  <c r="Q81" i="14"/>
  <c r="C81" i="14"/>
  <c r="AJ81" i="14"/>
  <c r="H81" i="14"/>
  <c r="E81" i="14"/>
  <c r="AD81" i="14"/>
  <c r="J81" i="14"/>
  <c r="AI81" i="14"/>
  <c r="I81" i="14"/>
  <c r="X81" i="14"/>
  <c r="M81" i="14"/>
  <c r="AC81" i="14"/>
  <c r="AF81" i="14"/>
  <c r="AH81" i="14"/>
  <c r="O81" i="14"/>
  <c r="U81" i="14"/>
  <c r="V81" i="14"/>
  <c r="R81" i="14"/>
  <c r="AE81" i="14"/>
  <c r="AB81" i="14"/>
  <c r="F81" i="14"/>
  <c r="T81" i="14"/>
  <c r="L81" i="14"/>
  <c r="S81" i="14"/>
  <c r="K81" i="14"/>
  <c r="Z81" i="14"/>
  <c r="G81" i="14"/>
  <c r="AG81" i="14"/>
  <c r="D81" i="14"/>
  <c r="W81" i="14"/>
  <c r="N81" i="14"/>
  <c r="AA81" i="14"/>
  <c r="B74" i="41" l="1"/>
  <c r="H75" i="6"/>
  <c r="F75" i="6"/>
  <c r="B75" i="6"/>
  <c r="G75" i="6"/>
  <c r="D75" i="6"/>
  <c r="E75" i="6" s="1"/>
  <c r="C76" i="6"/>
  <c r="H74" i="41"/>
  <c r="C73" i="41"/>
  <c r="I73" i="41"/>
  <c r="AU74" i="6"/>
  <c r="I74" i="6"/>
  <c r="J74" i="6"/>
  <c r="AV73" i="6"/>
  <c r="N73" i="6"/>
  <c r="G82" i="41"/>
  <c r="A83" i="14"/>
  <c r="A82" i="41"/>
  <c r="A84" i="6"/>
  <c r="F82" i="14"/>
  <c r="V82" i="14"/>
  <c r="K82" i="14"/>
  <c r="E82" i="14"/>
  <c r="M82" i="14"/>
  <c r="T82" i="14"/>
  <c r="I82" i="14"/>
  <c r="X82" i="14"/>
  <c r="AD82" i="14"/>
  <c r="S82" i="14"/>
  <c r="AH82" i="14"/>
  <c r="O82" i="14"/>
  <c r="P82" i="14"/>
  <c r="Z82" i="14"/>
  <c r="D82" i="14"/>
  <c r="AI82" i="14"/>
  <c r="U82" i="14"/>
  <c r="G82" i="14"/>
  <c r="W82" i="14"/>
  <c r="R82" i="14"/>
  <c r="AG82" i="14"/>
  <c r="AJ82" i="14"/>
  <c r="Q82" i="14"/>
  <c r="Y82" i="14"/>
  <c r="AF82" i="14"/>
  <c r="AE82" i="14"/>
  <c r="J82" i="14"/>
  <c r="AA82" i="14"/>
  <c r="AC82" i="14"/>
  <c r="H82" i="14"/>
  <c r="C82" i="14"/>
  <c r="L82" i="14"/>
  <c r="AB82" i="14"/>
  <c r="N82" i="14"/>
  <c r="B75" i="41" l="1"/>
  <c r="F76" i="6"/>
  <c r="H76" i="6"/>
  <c r="G76" i="6"/>
  <c r="B76" i="6"/>
  <c r="D76" i="6"/>
  <c r="E76" i="6" s="1"/>
  <c r="H75" i="41"/>
  <c r="C77" i="6"/>
  <c r="C74" i="41"/>
  <c r="I74" i="41"/>
  <c r="AV74" i="6"/>
  <c r="N74" i="6"/>
  <c r="AU75" i="6"/>
  <c r="I75" i="6"/>
  <c r="J75" i="6"/>
  <c r="A83" i="41"/>
  <c r="A84" i="14"/>
  <c r="G83" i="41"/>
  <c r="A85" i="6"/>
  <c r="AC83" i="14"/>
  <c r="V83" i="14"/>
  <c r="N83" i="14"/>
  <c r="I83" i="14"/>
  <c r="X83" i="14"/>
  <c r="F83" i="14"/>
  <c r="T83" i="14"/>
  <c r="C83" i="14"/>
  <c r="AH83" i="14"/>
  <c r="O83" i="14"/>
  <c r="S83" i="14"/>
  <c r="AD83" i="14"/>
  <c r="Z83" i="14"/>
  <c r="D83" i="14"/>
  <c r="M83" i="14"/>
  <c r="R83" i="14"/>
  <c r="AI83" i="14"/>
  <c r="H83" i="14"/>
  <c r="L83" i="14"/>
  <c r="AG83" i="14"/>
  <c r="J83" i="14"/>
  <c r="P83" i="14"/>
  <c r="E83" i="14"/>
  <c r="AE83" i="14"/>
  <c r="W83" i="14"/>
  <c r="U83" i="14"/>
  <c r="AF83" i="14"/>
  <c r="K83" i="14"/>
  <c r="Y83" i="14"/>
  <c r="AJ83" i="14"/>
  <c r="AA83" i="14"/>
  <c r="AB83" i="14"/>
  <c r="G83" i="14"/>
  <c r="Q83" i="14"/>
  <c r="B76" i="41" l="1"/>
  <c r="D77" i="6"/>
  <c r="E77" i="6" s="1"/>
  <c r="B77" i="6"/>
  <c r="G77" i="6"/>
  <c r="H77" i="6"/>
  <c r="F77" i="6"/>
  <c r="H76" i="41"/>
  <c r="C78" i="6"/>
  <c r="AV75" i="6"/>
  <c r="N75" i="6"/>
  <c r="C75" i="41"/>
  <c r="I75" i="41"/>
  <c r="AU76" i="6"/>
  <c r="J76" i="6"/>
  <c r="I76" i="6"/>
  <c r="G84" i="41"/>
  <c r="A84" i="41"/>
  <c r="A85" i="14"/>
  <c r="A86" i="6"/>
  <c r="J84" i="14"/>
  <c r="AJ84" i="14"/>
  <c r="AG84" i="14"/>
  <c r="N84" i="14"/>
  <c r="I84" i="14"/>
  <c r="AC84" i="14"/>
  <c r="AI84" i="14"/>
  <c r="Q84" i="14"/>
  <c r="C84" i="14"/>
  <c r="R84" i="14"/>
  <c r="F84" i="14"/>
  <c r="V84" i="14"/>
  <c r="E84" i="14"/>
  <c r="AD84" i="14"/>
  <c r="G84" i="14"/>
  <c r="T84" i="14"/>
  <c r="X84" i="14"/>
  <c r="M84" i="14"/>
  <c r="Z84" i="14"/>
  <c r="D84" i="14"/>
  <c r="L84" i="14"/>
  <c r="AA84" i="14"/>
  <c r="W84" i="14"/>
  <c r="AF84" i="14"/>
  <c r="U84" i="14"/>
  <c r="S84" i="14"/>
  <c r="AB84" i="14"/>
  <c r="Y84" i="14"/>
  <c r="K84" i="14"/>
  <c r="H84" i="14"/>
  <c r="P84" i="14"/>
  <c r="O84" i="14"/>
  <c r="AE84" i="14"/>
  <c r="AH84" i="14"/>
  <c r="B77" i="41" l="1"/>
  <c r="B78" i="6"/>
  <c r="F78" i="6"/>
  <c r="G78" i="6"/>
  <c r="H78" i="6"/>
  <c r="D78" i="6"/>
  <c r="E78" i="6" s="1"/>
  <c r="C79" i="6"/>
  <c r="H77" i="41"/>
  <c r="AV76" i="6"/>
  <c r="N76" i="6"/>
  <c r="AU77" i="6"/>
  <c r="J77" i="6"/>
  <c r="I77" i="6"/>
  <c r="C76" i="41"/>
  <c r="I76" i="41"/>
  <c r="A86" i="14"/>
  <c r="A85" i="41"/>
  <c r="G85" i="41"/>
  <c r="A87" i="6"/>
  <c r="AI85" i="14"/>
  <c r="H85" i="14"/>
  <c r="E85" i="14"/>
  <c r="AD85" i="14"/>
  <c r="Y85" i="14"/>
  <c r="AF85" i="14"/>
  <c r="I85" i="14"/>
  <c r="X85" i="14"/>
  <c r="M85" i="14"/>
  <c r="J85" i="14"/>
  <c r="AC85" i="14"/>
  <c r="V85" i="14"/>
  <c r="Z85" i="14"/>
  <c r="D85" i="14"/>
  <c r="L85" i="14"/>
  <c r="S85" i="14"/>
  <c r="G85" i="14"/>
  <c r="W85" i="14"/>
  <c r="K85" i="14"/>
  <c r="P85" i="14"/>
  <c r="C85" i="14"/>
  <c r="AH85" i="14"/>
  <c r="U85" i="14"/>
  <c r="R85" i="14"/>
  <c r="AB85" i="14"/>
  <c r="AG85" i="14"/>
  <c r="AA85" i="14"/>
  <c r="O85" i="14"/>
  <c r="F85" i="14"/>
  <c r="AJ85" i="14"/>
  <c r="T85" i="14"/>
  <c r="Q85" i="14"/>
  <c r="AE85" i="14"/>
  <c r="N85" i="14"/>
  <c r="B78" i="41" l="1"/>
  <c r="F79" i="6"/>
  <c r="B79" i="6"/>
  <c r="H79" i="6"/>
  <c r="D79" i="6"/>
  <c r="E79" i="6" s="1"/>
  <c r="G79" i="6"/>
  <c r="C80" i="6"/>
  <c r="H78" i="41"/>
  <c r="C77" i="41"/>
  <c r="I77" i="41"/>
  <c r="AU78" i="6"/>
  <c r="J78" i="6"/>
  <c r="I78" i="6"/>
  <c r="AV77" i="6"/>
  <c r="N77" i="6"/>
  <c r="G86" i="41"/>
  <c r="A86" i="41"/>
  <c r="A87" i="14"/>
  <c r="A88" i="6"/>
  <c r="T86" i="14"/>
  <c r="K86" i="14"/>
  <c r="E86" i="14"/>
  <c r="AD86" i="14"/>
  <c r="S86" i="14"/>
  <c r="I86" i="14"/>
  <c r="X86" i="14"/>
  <c r="M86" i="14"/>
  <c r="P86" i="14"/>
  <c r="Z86" i="14"/>
  <c r="D86" i="14"/>
  <c r="AC86" i="14"/>
  <c r="AI86" i="14"/>
  <c r="U86" i="14"/>
  <c r="G86" i="14"/>
  <c r="W86" i="14"/>
  <c r="AF86" i="14"/>
  <c r="Q86" i="14"/>
  <c r="V86" i="14"/>
  <c r="O86" i="14"/>
  <c r="H86" i="14"/>
  <c r="AE86" i="14"/>
  <c r="L86" i="14"/>
  <c r="N86" i="14"/>
  <c r="Y86" i="14"/>
  <c r="AH86" i="14"/>
  <c r="R86" i="14"/>
  <c r="J86" i="14"/>
  <c r="AG86" i="14"/>
  <c r="F86" i="14"/>
  <c r="C86" i="14"/>
  <c r="AJ86" i="14"/>
  <c r="AA86" i="14"/>
  <c r="AB86" i="14"/>
  <c r="B79" i="41" l="1"/>
  <c r="G80" i="6"/>
  <c r="D80" i="6"/>
  <c r="E80" i="6" s="1"/>
  <c r="H80" i="6"/>
  <c r="B80" i="6"/>
  <c r="F80" i="6"/>
  <c r="H79" i="41"/>
  <c r="C81" i="6"/>
  <c r="C78" i="41"/>
  <c r="I78" i="41"/>
  <c r="AV78" i="6"/>
  <c r="N78" i="6"/>
  <c r="AU79" i="6"/>
  <c r="I79" i="6"/>
  <c r="J79" i="6"/>
  <c r="G87" i="41"/>
  <c r="A87" i="41"/>
  <c r="A88" i="14"/>
  <c r="A89" i="6"/>
  <c r="Y87" i="14"/>
  <c r="AF87" i="14"/>
  <c r="J87" i="14"/>
  <c r="AA87" i="14"/>
  <c r="F87" i="14"/>
  <c r="V87" i="14"/>
  <c r="AI87" i="14"/>
  <c r="N87" i="14"/>
  <c r="I87" i="14"/>
  <c r="X87" i="14"/>
  <c r="AC87" i="14"/>
  <c r="T87" i="14"/>
  <c r="C87" i="14"/>
  <c r="AH87" i="14"/>
  <c r="O87" i="14"/>
  <c r="S87" i="14"/>
  <c r="AD87" i="14"/>
  <c r="Z87" i="14"/>
  <c r="D87" i="14"/>
  <c r="M87" i="14"/>
  <c r="R87" i="14"/>
  <c r="H87" i="14"/>
  <c r="L87" i="14"/>
  <c r="AG87" i="14"/>
  <c r="Q87" i="14"/>
  <c r="P87" i="14"/>
  <c r="E87" i="14"/>
  <c r="AE87" i="14"/>
  <c r="W87" i="14"/>
  <c r="U87" i="14"/>
  <c r="AB87" i="14"/>
  <c r="K87" i="14"/>
  <c r="AJ87" i="14"/>
  <c r="G87" i="14"/>
  <c r="B80" i="41" l="1"/>
  <c r="D81" i="6"/>
  <c r="E81" i="6" s="1"/>
  <c r="F81" i="6"/>
  <c r="G81" i="6"/>
  <c r="H81" i="6"/>
  <c r="B81" i="6"/>
  <c r="C82" i="6"/>
  <c r="H80" i="41"/>
  <c r="AV79" i="6"/>
  <c r="N79" i="6"/>
  <c r="AU80" i="6"/>
  <c r="I80" i="6"/>
  <c r="J80" i="6"/>
  <c r="C79" i="41"/>
  <c r="I79" i="41"/>
  <c r="G88" i="41"/>
  <c r="A88" i="41"/>
  <c r="A89" i="14"/>
  <c r="A90" i="6"/>
  <c r="J88" i="14"/>
  <c r="AA88" i="14"/>
  <c r="Q88" i="14"/>
  <c r="C88" i="14"/>
  <c r="Z88" i="14"/>
  <c r="AC88" i="14"/>
  <c r="S88" i="14"/>
  <c r="E88" i="14"/>
  <c r="AD88" i="14"/>
  <c r="R88" i="14"/>
  <c r="F88" i="14"/>
  <c r="V88" i="14"/>
  <c r="X88" i="14"/>
  <c r="M88" i="14"/>
  <c r="G88" i="14"/>
  <c r="T88" i="14"/>
  <c r="O88" i="14"/>
  <c r="U88" i="14"/>
  <c r="AH88" i="14"/>
  <c r="AJ88" i="14"/>
  <c r="P88" i="14"/>
  <c r="AE88" i="14"/>
  <c r="AB88" i="14"/>
  <c r="N88" i="14"/>
  <c r="AI88" i="14"/>
  <c r="L88" i="14"/>
  <c r="AF88" i="14"/>
  <c r="K88" i="14"/>
  <c r="I88" i="14"/>
  <c r="Y88" i="14"/>
  <c r="H88" i="14"/>
  <c r="AG88" i="14"/>
  <c r="D88" i="14"/>
  <c r="W88" i="14"/>
  <c r="B81" i="41" l="1"/>
  <c r="B82" i="6"/>
  <c r="D82" i="6"/>
  <c r="E82" i="6" s="1"/>
  <c r="H82" i="6"/>
  <c r="F82" i="6"/>
  <c r="G82" i="6"/>
  <c r="C83" i="6"/>
  <c r="H81" i="41"/>
  <c r="AV80" i="6"/>
  <c r="N80" i="6"/>
  <c r="AU81" i="6"/>
  <c r="I81" i="6"/>
  <c r="J81" i="6"/>
  <c r="C80" i="41"/>
  <c r="I80" i="41"/>
  <c r="A90" i="14"/>
  <c r="G89" i="41"/>
  <c r="A89" i="41"/>
  <c r="A91" i="6"/>
  <c r="Y89" i="14"/>
  <c r="AI89" i="14"/>
  <c r="P89" i="14"/>
  <c r="Q89" i="14"/>
  <c r="C89" i="14"/>
  <c r="J89" i="14"/>
  <c r="AF89" i="14"/>
  <c r="H89" i="14"/>
  <c r="E89" i="14"/>
  <c r="AD89" i="14"/>
  <c r="AC89" i="14"/>
  <c r="AA89" i="14"/>
  <c r="I89" i="14"/>
  <c r="X89" i="14"/>
  <c r="M89" i="14"/>
  <c r="F89" i="14"/>
  <c r="V89" i="14"/>
  <c r="AH89" i="14"/>
  <c r="O89" i="14"/>
  <c r="U89" i="14"/>
  <c r="S89" i="14"/>
  <c r="R89" i="14"/>
  <c r="AE89" i="14"/>
  <c r="AB89" i="14"/>
  <c r="Z89" i="14"/>
  <c r="G89" i="14"/>
  <c r="AG89" i="14"/>
  <c r="D89" i="14"/>
  <c r="AJ89" i="14"/>
  <c r="W89" i="14"/>
  <c r="T89" i="14"/>
  <c r="N89" i="14"/>
  <c r="L89" i="14"/>
  <c r="K89" i="14"/>
  <c r="B82" i="41" l="1"/>
  <c r="H83" i="6"/>
  <c r="G83" i="6"/>
  <c r="D83" i="6"/>
  <c r="E83" i="6" s="1"/>
  <c r="F83" i="6"/>
  <c r="B83" i="6"/>
  <c r="C84" i="6"/>
  <c r="H82" i="41"/>
  <c r="AV81" i="6"/>
  <c r="N81" i="6"/>
  <c r="AU82" i="6"/>
  <c r="I82" i="6"/>
  <c r="J82" i="6"/>
  <c r="C81" i="41"/>
  <c r="I81" i="41"/>
  <c r="G90" i="41"/>
  <c r="A91" i="14"/>
  <c r="A90" i="41"/>
  <c r="A92" i="6"/>
  <c r="S90" i="14"/>
  <c r="K90" i="14"/>
  <c r="E90" i="14"/>
  <c r="AD90" i="14"/>
  <c r="I90" i="14"/>
  <c r="X90" i="14"/>
  <c r="M90" i="14"/>
  <c r="AJ90" i="14"/>
  <c r="AH90" i="14"/>
  <c r="O90" i="14"/>
  <c r="Y90" i="14"/>
  <c r="AF90" i="14"/>
  <c r="P90" i="14"/>
  <c r="Z90" i="14"/>
  <c r="D90" i="14"/>
  <c r="AC90" i="14"/>
  <c r="AA90" i="14"/>
  <c r="U90" i="14"/>
  <c r="G90" i="14"/>
  <c r="W90" i="14"/>
  <c r="V90" i="14"/>
  <c r="Q90" i="14"/>
  <c r="J90" i="14"/>
  <c r="T90" i="14"/>
  <c r="AE90" i="14"/>
  <c r="F90" i="14"/>
  <c r="N90" i="14"/>
  <c r="H90" i="14"/>
  <c r="C90" i="14"/>
  <c r="L90" i="14"/>
  <c r="AB90" i="14"/>
  <c r="R90" i="14"/>
  <c r="AI90" i="14"/>
  <c r="AG90" i="14"/>
  <c r="B83" i="41" l="1"/>
  <c r="B84" i="6"/>
  <c r="H84" i="6"/>
  <c r="G84" i="6"/>
  <c r="F84" i="6"/>
  <c r="D84" i="6"/>
  <c r="E84" i="6" s="1"/>
  <c r="H83" i="41"/>
  <c r="C85" i="6"/>
  <c r="AV82" i="6"/>
  <c r="N82" i="6"/>
  <c r="C82" i="41"/>
  <c r="I82" i="41"/>
  <c r="AU83" i="6"/>
  <c r="J83" i="6"/>
  <c r="I83" i="6"/>
  <c r="J91" i="14"/>
  <c r="AA91" i="14"/>
  <c r="W91" i="14"/>
  <c r="K91" i="14"/>
  <c r="E91" i="14"/>
  <c r="AC91" i="14"/>
  <c r="V91" i="14"/>
  <c r="N91" i="14"/>
  <c r="I91" i="14"/>
  <c r="X91" i="14"/>
  <c r="F91" i="14"/>
  <c r="T91" i="14"/>
  <c r="C91" i="14"/>
  <c r="AH91" i="14"/>
  <c r="O91" i="14"/>
  <c r="S91" i="14"/>
  <c r="AD91" i="14"/>
  <c r="Z91" i="14"/>
  <c r="D91" i="14"/>
  <c r="Y91" i="14"/>
  <c r="AJ91" i="14"/>
  <c r="P91" i="14"/>
  <c r="U91" i="14"/>
  <c r="G91" i="14"/>
  <c r="M91" i="14"/>
  <c r="L91" i="14"/>
  <c r="AB91" i="14"/>
  <c r="AI91" i="14"/>
  <c r="R91" i="14"/>
  <c r="AF91" i="14"/>
  <c r="AG91" i="14"/>
  <c r="Q91" i="14"/>
  <c r="H91" i="14"/>
  <c r="AE91" i="14"/>
  <c r="G91" i="41"/>
  <c r="A92" i="14"/>
  <c r="A91" i="41"/>
  <c r="A93" i="6"/>
  <c r="C83" i="41" l="1"/>
  <c r="I83" i="41"/>
  <c r="B84" i="41"/>
  <c r="F85" i="6"/>
  <c r="B85" i="6"/>
  <c r="D85" i="6"/>
  <c r="E85" i="6" s="1"/>
  <c r="G85" i="6"/>
  <c r="H85" i="6"/>
  <c r="H84" i="41"/>
  <c r="C86" i="6"/>
  <c r="AU84" i="6"/>
  <c r="I84" i="6"/>
  <c r="J84" i="6"/>
  <c r="AV83" i="6"/>
  <c r="N83" i="6"/>
  <c r="A93" i="14"/>
  <c r="G92" i="41"/>
  <c r="A92" i="41"/>
  <c r="A94" i="6"/>
  <c r="AJ92" i="14"/>
  <c r="P92" i="14"/>
  <c r="AE92" i="14"/>
  <c r="AB92" i="14"/>
  <c r="AI92" i="14"/>
  <c r="H92" i="14"/>
  <c r="W92" i="14"/>
  <c r="K92" i="14"/>
  <c r="Y92" i="14"/>
  <c r="AA92" i="14"/>
  <c r="AG92" i="14"/>
  <c r="N92" i="14"/>
  <c r="I92" i="14"/>
  <c r="J92" i="14"/>
  <c r="AF92" i="14"/>
  <c r="Q92" i="14"/>
  <c r="C92" i="14"/>
  <c r="AH92" i="14"/>
  <c r="F92" i="14"/>
  <c r="T92" i="14"/>
  <c r="X92" i="14"/>
  <c r="M92" i="14"/>
  <c r="R92" i="14"/>
  <c r="S92" i="14"/>
  <c r="Z92" i="14"/>
  <c r="AC92" i="14"/>
  <c r="G92" i="14"/>
  <c r="E92" i="14"/>
  <c r="O92" i="14"/>
  <c r="D92" i="14"/>
  <c r="AD92" i="14"/>
  <c r="U92" i="14"/>
  <c r="V92" i="14"/>
  <c r="L92" i="14"/>
  <c r="C84" i="41" l="1"/>
  <c r="I84" i="41"/>
  <c r="AV84" i="6"/>
  <c r="N84" i="6"/>
  <c r="J85" i="6"/>
  <c r="I85" i="6"/>
  <c r="AU85" i="6"/>
  <c r="B85" i="41"/>
  <c r="D86" i="6"/>
  <c r="E86" i="6" s="1"/>
  <c r="B86" i="6"/>
  <c r="H86" i="6"/>
  <c r="F86" i="6"/>
  <c r="G86" i="6"/>
  <c r="H85" i="41"/>
  <c r="C87" i="6"/>
  <c r="AG93" i="14"/>
  <c r="N93" i="14"/>
  <c r="AJ93" i="14"/>
  <c r="P93" i="14"/>
  <c r="Q93" i="14"/>
  <c r="C93" i="14"/>
  <c r="AI93" i="14"/>
  <c r="H93" i="14"/>
  <c r="E93" i="14"/>
  <c r="AD93" i="14"/>
  <c r="Y93" i="14"/>
  <c r="AF93" i="14"/>
  <c r="I93" i="14"/>
  <c r="X93" i="14"/>
  <c r="M93" i="14"/>
  <c r="AC93" i="14"/>
  <c r="V93" i="14"/>
  <c r="Z93" i="14"/>
  <c r="D93" i="14"/>
  <c r="L93" i="14"/>
  <c r="O93" i="14"/>
  <c r="AA93" i="14"/>
  <c r="AE93" i="14"/>
  <c r="T93" i="14"/>
  <c r="W93" i="14"/>
  <c r="J93" i="14"/>
  <c r="S93" i="14"/>
  <c r="U93" i="14"/>
  <c r="F93" i="14"/>
  <c r="K93" i="14"/>
  <c r="AH93" i="14"/>
  <c r="AB93" i="14"/>
  <c r="R93" i="14"/>
  <c r="G93" i="14"/>
  <c r="A94" i="14"/>
  <c r="A93" i="41"/>
  <c r="G93" i="41"/>
  <c r="A95" i="6"/>
  <c r="B86" i="41" l="1"/>
  <c r="G87" i="6"/>
  <c r="F87" i="6"/>
  <c r="H87" i="6"/>
  <c r="B87" i="6"/>
  <c r="D87" i="6"/>
  <c r="E87" i="6" s="1"/>
  <c r="C88" i="6"/>
  <c r="H86" i="41"/>
  <c r="AV85" i="6"/>
  <c r="N85" i="6"/>
  <c r="AU86" i="6"/>
  <c r="I86" i="6"/>
  <c r="J86" i="6"/>
  <c r="C85" i="41"/>
  <c r="I85" i="41"/>
  <c r="T94" i="14"/>
  <c r="K94" i="14"/>
  <c r="E94" i="14"/>
  <c r="AD94" i="14"/>
  <c r="S94" i="14"/>
  <c r="I94" i="14"/>
  <c r="X94" i="14"/>
  <c r="M94" i="14"/>
  <c r="V94" i="14"/>
  <c r="AH94" i="14"/>
  <c r="O94" i="14"/>
  <c r="P94" i="14"/>
  <c r="Z94" i="14"/>
  <c r="D94" i="14"/>
  <c r="J94" i="14"/>
  <c r="AJ94" i="14"/>
  <c r="U94" i="14"/>
  <c r="G94" i="14"/>
  <c r="W94" i="14"/>
  <c r="F94" i="14"/>
  <c r="H94" i="14"/>
  <c r="C94" i="14"/>
  <c r="L94" i="14"/>
  <c r="AB94" i="14"/>
  <c r="R94" i="14"/>
  <c r="AG94" i="14"/>
  <c r="AI94" i="14"/>
  <c r="Q94" i="14"/>
  <c r="Y94" i="14"/>
  <c r="AA94" i="14"/>
  <c r="AE94" i="14"/>
  <c r="AC94" i="14"/>
  <c r="AF94" i="14"/>
  <c r="N94" i="14"/>
  <c r="A95" i="14"/>
  <c r="G94" i="41"/>
  <c r="A94" i="41"/>
  <c r="A96" i="6"/>
  <c r="B87" i="41" l="1"/>
  <c r="F88" i="6"/>
  <c r="B88" i="6"/>
  <c r="H88" i="6"/>
  <c r="G88" i="6"/>
  <c r="D88" i="6"/>
  <c r="E88" i="6" s="1"/>
  <c r="H87" i="41"/>
  <c r="C89" i="6"/>
  <c r="C86" i="41"/>
  <c r="I86" i="41"/>
  <c r="AV86" i="6"/>
  <c r="N86" i="6"/>
  <c r="AU87" i="6"/>
  <c r="I87" i="6"/>
  <c r="J87" i="6"/>
  <c r="AC95" i="14"/>
  <c r="T95" i="14"/>
  <c r="W95" i="14"/>
  <c r="K95" i="14"/>
  <c r="E95" i="14"/>
  <c r="F95" i="14"/>
  <c r="V95" i="14"/>
  <c r="N95" i="14"/>
  <c r="I95" i="14"/>
  <c r="D95" i="14"/>
  <c r="S95" i="14"/>
  <c r="C95" i="14"/>
  <c r="AH95" i="14"/>
  <c r="O95" i="14"/>
  <c r="AD95" i="14"/>
  <c r="Z95" i="14"/>
  <c r="X95" i="14"/>
  <c r="Y95" i="14"/>
  <c r="AI95" i="14"/>
  <c r="P95" i="14"/>
  <c r="U95" i="14"/>
  <c r="G95" i="14"/>
  <c r="AF95" i="14"/>
  <c r="AB95" i="14"/>
  <c r="AA95" i="14"/>
  <c r="R95" i="14"/>
  <c r="AG95" i="14"/>
  <c r="J95" i="14"/>
  <c r="Q95" i="14"/>
  <c r="H95" i="14"/>
  <c r="AE95" i="14"/>
  <c r="M95" i="14"/>
  <c r="AJ95" i="14"/>
  <c r="L95" i="14"/>
  <c r="G95" i="41"/>
  <c r="A95" i="41"/>
  <c r="A96" i="14"/>
  <c r="A97" i="6"/>
  <c r="AV87" i="6" l="1"/>
  <c r="N87" i="6"/>
  <c r="C87" i="41"/>
  <c r="I87" i="41"/>
  <c r="AU88" i="6"/>
  <c r="I88" i="6"/>
  <c r="J88" i="6"/>
  <c r="B88" i="41"/>
  <c r="F89" i="6"/>
  <c r="H89" i="6"/>
  <c r="G89" i="6"/>
  <c r="D89" i="6"/>
  <c r="E89" i="6" s="1"/>
  <c r="B89" i="6"/>
  <c r="H88" i="41"/>
  <c r="C90" i="6"/>
  <c r="G96" i="41"/>
  <c r="A97" i="14"/>
  <c r="A96" i="41"/>
  <c r="A98" i="6"/>
  <c r="AJ96" i="14"/>
  <c r="P96" i="14"/>
  <c r="AE96" i="14"/>
  <c r="AB96" i="14"/>
  <c r="Y96" i="14"/>
  <c r="AA96" i="14"/>
  <c r="H96" i="14"/>
  <c r="W96" i="14"/>
  <c r="K96" i="14"/>
  <c r="AI96" i="14"/>
  <c r="AG96" i="14"/>
  <c r="N96" i="14"/>
  <c r="I96" i="14"/>
  <c r="J96" i="14"/>
  <c r="AF96" i="14"/>
  <c r="Q96" i="14"/>
  <c r="C96" i="14"/>
  <c r="AH96" i="14"/>
  <c r="F96" i="14"/>
  <c r="V96" i="14"/>
  <c r="X96" i="14"/>
  <c r="M96" i="14"/>
  <c r="R96" i="14"/>
  <c r="E96" i="14"/>
  <c r="O96" i="14"/>
  <c r="D96" i="14"/>
  <c r="AD96" i="14"/>
  <c r="U96" i="14"/>
  <c r="S96" i="14"/>
  <c r="L96" i="14"/>
  <c r="T96" i="14"/>
  <c r="Z96" i="14"/>
  <c r="AC96" i="14"/>
  <c r="G96" i="14"/>
  <c r="B89" i="41" l="1"/>
  <c r="F90" i="6"/>
  <c r="B90" i="6"/>
  <c r="D90" i="6"/>
  <c r="E90" i="6" s="1"/>
  <c r="H90" i="6"/>
  <c r="G90" i="6"/>
  <c r="C91" i="6"/>
  <c r="H89" i="41"/>
  <c r="AV88" i="6"/>
  <c r="N88" i="6"/>
  <c r="C88" i="41"/>
  <c r="I88" i="41"/>
  <c r="AU89" i="6"/>
  <c r="J89" i="6"/>
  <c r="I89" i="6"/>
  <c r="F97" i="14"/>
  <c r="V97" i="14"/>
  <c r="R97" i="14"/>
  <c r="AE97" i="14"/>
  <c r="K97" i="14"/>
  <c r="T97" i="14"/>
  <c r="G97" i="14"/>
  <c r="W97" i="14"/>
  <c r="AB97" i="14"/>
  <c r="S97" i="14"/>
  <c r="AG97" i="14"/>
  <c r="N97" i="14"/>
  <c r="P97" i="14"/>
  <c r="Q97" i="14"/>
  <c r="C97" i="14"/>
  <c r="AI97" i="14"/>
  <c r="I97" i="14"/>
  <c r="X97" i="14"/>
  <c r="M97" i="14"/>
  <c r="AJ97" i="14"/>
  <c r="D97" i="14"/>
  <c r="Y97" i="14"/>
  <c r="AF97" i="14"/>
  <c r="AD97" i="14"/>
  <c r="J97" i="14"/>
  <c r="AA97" i="14"/>
  <c r="U97" i="14"/>
  <c r="AC97" i="14"/>
  <c r="H97" i="14"/>
  <c r="L97" i="14"/>
  <c r="AH97" i="14"/>
  <c r="Z97" i="14"/>
  <c r="E97" i="14"/>
  <c r="O97" i="14"/>
  <c r="G97" i="41"/>
  <c r="A98" i="14"/>
  <c r="A97" i="41"/>
  <c r="A99" i="6"/>
  <c r="B90" i="41" l="1"/>
  <c r="B91" i="6"/>
  <c r="G91" i="6"/>
  <c r="D91" i="6"/>
  <c r="E91" i="6" s="1"/>
  <c r="H91" i="6"/>
  <c r="F91" i="6"/>
  <c r="H90" i="41"/>
  <c r="C92" i="6"/>
  <c r="N89" i="6"/>
  <c r="AV89" i="6"/>
  <c r="AU90" i="6"/>
  <c r="J90" i="6"/>
  <c r="I90" i="6"/>
  <c r="C89" i="41"/>
  <c r="I89" i="41"/>
  <c r="A98" i="41"/>
  <c r="A99" i="14"/>
  <c r="G98" i="41"/>
  <c r="A100" i="6"/>
  <c r="AC98" i="14"/>
  <c r="AA98" i="14"/>
  <c r="AB98" i="14"/>
  <c r="Q98" i="14"/>
  <c r="C98" i="14"/>
  <c r="F98" i="14"/>
  <c r="V98" i="14"/>
  <c r="K98" i="14"/>
  <c r="E98" i="14"/>
  <c r="AD98" i="14"/>
  <c r="T98" i="14"/>
  <c r="I98" i="14"/>
  <c r="X98" i="14"/>
  <c r="M98" i="14"/>
  <c r="S98" i="14"/>
  <c r="AH98" i="14"/>
  <c r="O98" i="14"/>
  <c r="AJ98" i="14"/>
  <c r="H98" i="14"/>
  <c r="R98" i="14"/>
  <c r="AE98" i="14"/>
  <c r="Z98" i="14"/>
  <c r="G98" i="14"/>
  <c r="AG98" i="14"/>
  <c r="AF98" i="14"/>
  <c r="D98" i="14"/>
  <c r="AI98" i="14"/>
  <c r="W98" i="14"/>
  <c r="Y98" i="14"/>
  <c r="P98" i="14"/>
  <c r="N98" i="14"/>
  <c r="J98" i="14"/>
  <c r="U98" i="14"/>
  <c r="L98" i="14"/>
  <c r="B91" i="41" l="1"/>
  <c r="B92" i="6"/>
  <c r="F92" i="6"/>
  <c r="D92" i="6"/>
  <c r="E92" i="6" s="1"/>
  <c r="G92" i="6"/>
  <c r="H92" i="6"/>
  <c r="H91" i="41"/>
  <c r="C93" i="6"/>
  <c r="AU91" i="6"/>
  <c r="I91" i="6"/>
  <c r="J91" i="6"/>
  <c r="C90" i="41"/>
  <c r="I90" i="41"/>
  <c r="AV90" i="6"/>
  <c r="N90" i="6"/>
  <c r="J99" i="14"/>
  <c r="AA99" i="14"/>
  <c r="W99" i="14"/>
  <c r="K99" i="14"/>
  <c r="E99" i="14"/>
  <c r="AC99" i="14"/>
  <c r="V99" i="14"/>
  <c r="N99" i="14"/>
  <c r="I99" i="14"/>
  <c r="O99" i="14"/>
  <c r="F99" i="14"/>
  <c r="T99" i="14"/>
  <c r="C99" i="14"/>
  <c r="AH99" i="14"/>
  <c r="D99" i="14"/>
  <c r="S99" i="14"/>
  <c r="AD99" i="14"/>
  <c r="Z99" i="14"/>
  <c r="X99" i="14"/>
  <c r="AJ99" i="14"/>
  <c r="P99" i="14"/>
  <c r="U99" i="14"/>
  <c r="G99" i="14"/>
  <c r="H99" i="14"/>
  <c r="AE99" i="14"/>
  <c r="M99" i="14"/>
  <c r="L99" i="14"/>
  <c r="AB99" i="14"/>
  <c r="AI99" i="14"/>
  <c r="R99" i="14"/>
  <c r="AF99" i="14"/>
  <c r="AG99" i="14"/>
  <c r="Y99" i="14"/>
  <c r="Q99" i="14"/>
  <c r="G99" i="41"/>
  <c r="A99" i="41"/>
  <c r="A100" i="14"/>
  <c r="A101" i="6"/>
  <c r="B92" i="41" l="1"/>
  <c r="G93" i="6"/>
  <c r="H93" i="6"/>
  <c r="D93" i="6"/>
  <c r="E93" i="6" s="1"/>
  <c r="B93" i="6"/>
  <c r="F93" i="6"/>
  <c r="C94" i="6"/>
  <c r="H92" i="41"/>
  <c r="AU92" i="6"/>
  <c r="I92" i="6"/>
  <c r="J92" i="6"/>
  <c r="C91" i="41"/>
  <c r="I91" i="41"/>
  <c r="AV91" i="6"/>
  <c r="N91" i="6"/>
  <c r="A101" i="14"/>
  <c r="G100" i="41"/>
  <c r="A100" i="41"/>
  <c r="A102" i="6"/>
  <c r="AJ100" i="14"/>
  <c r="D100" i="14"/>
  <c r="L100" i="14"/>
  <c r="Y100" i="14"/>
  <c r="AI100" i="14"/>
  <c r="P100" i="14"/>
  <c r="AE100" i="14"/>
  <c r="AB100" i="14"/>
  <c r="J100" i="14"/>
  <c r="AF100" i="14"/>
  <c r="H100" i="14"/>
  <c r="W100" i="14"/>
  <c r="K100" i="14"/>
  <c r="AC100" i="14"/>
  <c r="AA100" i="14"/>
  <c r="AG100" i="14"/>
  <c r="N100" i="14"/>
  <c r="I100" i="14"/>
  <c r="T100" i="14"/>
  <c r="E100" i="14"/>
  <c r="AD100" i="14"/>
  <c r="Z100" i="14"/>
  <c r="M100" i="14"/>
  <c r="V100" i="14"/>
  <c r="U100" i="14"/>
  <c r="S100" i="14"/>
  <c r="AH100" i="14"/>
  <c r="F100" i="14"/>
  <c r="R100" i="14"/>
  <c r="Q100" i="14"/>
  <c r="G100" i="14"/>
  <c r="X100" i="14"/>
  <c r="O100" i="14"/>
  <c r="C100" i="14"/>
  <c r="B93" i="41" l="1"/>
  <c r="F94" i="6"/>
  <c r="H94" i="6"/>
  <c r="D94" i="6"/>
  <c r="E94" i="6" s="1"/>
  <c r="B94" i="6"/>
  <c r="G94" i="6"/>
  <c r="H93" i="41"/>
  <c r="C95" i="6"/>
  <c r="C92" i="41"/>
  <c r="I92" i="41"/>
  <c r="AV92" i="6"/>
  <c r="N92" i="6"/>
  <c r="AU93" i="6"/>
  <c r="I93" i="6"/>
  <c r="J93" i="6"/>
  <c r="G101" i="41"/>
  <c r="A101" i="41"/>
  <c r="A102" i="14"/>
  <c r="A103" i="6"/>
  <c r="F101" i="14"/>
  <c r="V101" i="14"/>
  <c r="R101" i="14"/>
  <c r="AE101" i="14"/>
  <c r="K101" i="14"/>
  <c r="T101" i="14"/>
  <c r="G101" i="14"/>
  <c r="W101" i="14"/>
  <c r="AB101" i="14"/>
  <c r="S101" i="14"/>
  <c r="AG101" i="14"/>
  <c r="N101" i="14"/>
  <c r="AI101" i="14"/>
  <c r="I101" i="14"/>
  <c r="X101" i="14"/>
  <c r="M101" i="14"/>
  <c r="H101" i="14"/>
  <c r="AD101" i="14"/>
  <c r="AH101" i="14"/>
  <c r="U101" i="14"/>
  <c r="Z101" i="14"/>
  <c r="L101" i="14"/>
  <c r="Q101" i="14"/>
  <c r="AJ101" i="14"/>
  <c r="E101" i="14"/>
  <c r="Y101" i="14"/>
  <c r="AF101" i="14"/>
  <c r="O101" i="14"/>
  <c r="J101" i="14"/>
  <c r="AA101" i="14"/>
  <c r="D101" i="14"/>
  <c r="P101" i="14"/>
  <c r="C101" i="14"/>
  <c r="AC101" i="14"/>
  <c r="AV93" i="6" l="1"/>
  <c r="N93" i="6"/>
  <c r="B94" i="41"/>
  <c r="F95" i="6"/>
  <c r="D95" i="6"/>
  <c r="E95" i="6" s="1"/>
  <c r="H95" i="6"/>
  <c r="G95" i="6"/>
  <c r="B95" i="6"/>
  <c r="H94" i="41"/>
  <c r="C96" i="6"/>
  <c r="C93" i="41"/>
  <c r="I93" i="41"/>
  <c r="J94" i="6"/>
  <c r="AU94" i="6"/>
  <c r="I94" i="6"/>
  <c r="Y102" i="14"/>
  <c r="AA102" i="14"/>
  <c r="U102" i="14"/>
  <c r="G102" i="14"/>
  <c r="W102" i="14"/>
  <c r="J102" i="14"/>
  <c r="AF102" i="14"/>
  <c r="L102" i="14"/>
  <c r="AG102" i="14"/>
  <c r="N102" i="14"/>
  <c r="AC102" i="14"/>
  <c r="T102" i="14"/>
  <c r="AB102" i="14"/>
  <c r="Q102" i="14"/>
  <c r="C102" i="14"/>
  <c r="AH102" i="14"/>
  <c r="O102" i="14"/>
  <c r="V102" i="14"/>
  <c r="E102" i="14"/>
  <c r="X102" i="14"/>
  <c r="P102" i="14"/>
  <c r="D102" i="14"/>
  <c r="H102" i="14"/>
  <c r="AE102" i="14"/>
  <c r="K102" i="14"/>
  <c r="AD102" i="14"/>
  <c r="AJ102" i="14"/>
  <c r="I102" i="14"/>
  <c r="M102" i="14"/>
  <c r="AI102" i="14"/>
  <c r="Z102" i="14"/>
  <c r="F102" i="14"/>
  <c r="S102" i="14"/>
  <c r="R102" i="14"/>
  <c r="G102" i="41"/>
  <c r="A102" i="41"/>
  <c r="A103" i="14"/>
  <c r="A104" i="6"/>
  <c r="AU95" i="6" l="1"/>
  <c r="I95" i="6"/>
  <c r="J95" i="6"/>
  <c r="C94" i="41"/>
  <c r="I94" i="41"/>
  <c r="AV94" i="6"/>
  <c r="N94" i="6"/>
  <c r="B95" i="41"/>
  <c r="G96" i="6"/>
  <c r="D96" i="6"/>
  <c r="E96" i="6" s="1"/>
  <c r="F96" i="6"/>
  <c r="H96" i="6"/>
  <c r="B96" i="6"/>
  <c r="H95" i="41"/>
  <c r="C97" i="6"/>
  <c r="AI103" i="14"/>
  <c r="H103" i="14"/>
  <c r="L103" i="14"/>
  <c r="AG103" i="14"/>
  <c r="Y103" i="14"/>
  <c r="AF103" i="14"/>
  <c r="AE103" i="14"/>
  <c r="AB103" i="14"/>
  <c r="Q103" i="14"/>
  <c r="J103" i="14"/>
  <c r="AA103" i="14"/>
  <c r="W103" i="14"/>
  <c r="K103" i="14"/>
  <c r="E103" i="14"/>
  <c r="S103" i="14"/>
  <c r="AD103" i="14"/>
  <c r="Z103" i="14"/>
  <c r="D103" i="14"/>
  <c r="AC103" i="14"/>
  <c r="T103" i="14"/>
  <c r="I103" i="14"/>
  <c r="F103" i="14"/>
  <c r="V103" i="14"/>
  <c r="AH103" i="14"/>
  <c r="R103" i="14"/>
  <c r="P103" i="14"/>
  <c r="G103" i="14"/>
  <c r="N103" i="14"/>
  <c r="X103" i="14"/>
  <c r="C103" i="14"/>
  <c r="O103" i="14"/>
  <c r="M103" i="14"/>
  <c r="U103" i="14"/>
  <c r="AJ103" i="14"/>
  <c r="A104" i="14"/>
  <c r="G103" i="41"/>
  <c r="A103" i="41"/>
  <c r="A105" i="6"/>
  <c r="B96" i="41" l="1"/>
  <c r="B97" i="6"/>
  <c r="H97" i="6"/>
  <c r="G97" i="6"/>
  <c r="F97" i="6"/>
  <c r="D97" i="6"/>
  <c r="E97" i="6" s="1"/>
  <c r="H96" i="41"/>
  <c r="C98" i="6"/>
  <c r="AU96" i="6"/>
  <c r="I96" i="6"/>
  <c r="J96" i="6"/>
  <c r="AV95" i="6"/>
  <c r="N95" i="6"/>
  <c r="C95" i="41"/>
  <c r="I95" i="41"/>
  <c r="D104" i="14"/>
  <c r="L104" i="14"/>
  <c r="AJ104" i="14"/>
  <c r="P104" i="14"/>
  <c r="AE104" i="14"/>
  <c r="AB104" i="14"/>
  <c r="Y104" i="14"/>
  <c r="AI104" i="14"/>
  <c r="H104" i="14"/>
  <c r="W104" i="14"/>
  <c r="K104" i="14"/>
  <c r="AC104" i="14"/>
  <c r="S104" i="14"/>
  <c r="E104" i="14"/>
  <c r="AD104" i="14"/>
  <c r="Z104" i="14"/>
  <c r="AF104" i="14"/>
  <c r="O104" i="14"/>
  <c r="G104" i="14"/>
  <c r="J104" i="14"/>
  <c r="AA104" i="14"/>
  <c r="N104" i="14"/>
  <c r="F104" i="14"/>
  <c r="V104" i="14"/>
  <c r="C104" i="14"/>
  <c r="T104" i="14"/>
  <c r="M104" i="14"/>
  <c r="U104" i="14"/>
  <c r="AG104" i="14"/>
  <c r="I104" i="14"/>
  <c r="Q104" i="14"/>
  <c r="AH104" i="14"/>
  <c r="X104" i="14"/>
  <c r="R104" i="14"/>
  <c r="A105" i="14"/>
  <c r="A104" i="41"/>
  <c r="G104" i="41"/>
  <c r="A106" i="6"/>
  <c r="B97" i="41" l="1"/>
  <c r="F98" i="6"/>
  <c r="B98" i="6"/>
  <c r="H98" i="6"/>
  <c r="G98" i="6"/>
  <c r="D98" i="6"/>
  <c r="E98" i="6" s="1"/>
  <c r="H97" i="41"/>
  <c r="C99" i="6"/>
  <c r="C96" i="41"/>
  <c r="I96" i="41"/>
  <c r="AV96" i="6"/>
  <c r="N96" i="6"/>
  <c r="AU97" i="6"/>
  <c r="I97" i="6"/>
  <c r="J97" i="6"/>
  <c r="AA105" i="14"/>
  <c r="Z105" i="14"/>
  <c r="D105" i="14"/>
  <c r="L105" i="14"/>
  <c r="V105" i="14"/>
  <c r="R105" i="14"/>
  <c r="AE105" i="14"/>
  <c r="AB105" i="14"/>
  <c r="T105" i="14"/>
  <c r="G105" i="14"/>
  <c r="W105" i="14"/>
  <c r="K105" i="14"/>
  <c r="J105" i="14"/>
  <c r="AJ105" i="14"/>
  <c r="H105" i="14"/>
  <c r="E105" i="14"/>
  <c r="AD105" i="14"/>
  <c r="AH105" i="14"/>
  <c r="U105" i="14"/>
  <c r="AG105" i="14"/>
  <c r="Y105" i="14"/>
  <c r="Q105" i="14"/>
  <c r="AC105" i="14"/>
  <c r="AI105" i="14"/>
  <c r="X105" i="14"/>
  <c r="F105" i="14"/>
  <c r="AF105" i="14"/>
  <c r="O105" i="14"/>
  <c r="S105" i="14"/>
  <c r="N105" i="14"/>
  <c r="P105" i="14"/>
  <c r="C105" i="14"/>
  <c r="I105" i="14"/>
  <c r="M105" i="14"/>
  <c r="A106" i="14"/>
  <c r="A105" i="41"/>
  <c r="G105" i="41"/>
  <c r="A107" i="6"/>
  <c r="B98" i="41" l="1"/>
  <c r="G99" i="6"/>
  <c r="F99" i="6"/>
  <c r="H99" i="6"/>
  <c r="B99" i="6"/>
  <c r="D99" i="6"/>
  <c r="E99" i="6" s="1"/>
  <c r="C100" i="6"/>
  <c r="H98" i="41"/>
  <c r="N97" i="6"/>
  <c r="AV97" i="6"/>
  <c r="C97" i="41"/>
  <c r="I97" i="41"/>
  <c r="AU98" i="6"/>
  <c r="I98" i="6"/>
  <c r="J98" i="6"/>
  <c r="V106" i="14"/>
  <c r="K106" i="14"/>
  <c r="E106" i="14"/>
  <c r="AD106" i="14"/>
  <c r="T106" i="14"/>
  <c r="I106" i="14"/>
  <c r="X106" i="14"/>
  <c r="M106" i="14"/>
  <c r="S106" i="14"/>
  <c r="AH106" i="14"/>
  <c r="O106" i="14"/>
  <c r="Y106" i="14"/>
  <c r="AF106" i="14"/>
  <c r="H106" i="14"/>
  <c r="R106" i="14"/>
  <c r="AE106" i="14"/>
  <c r="J106" i="14"/>
  <c r="AJ106" i="14"/>
  <c r="U106" i="14"/>
  <c r="G106" i="14"/>
  <c r="W106" i="14"/>
  <c r="AC106" i="14"/>
  <c r="AA106" i="14"/>
  <c r="L106" i="14"/>
  <c r="AG106" i="14"/>
  <c r="N106" i="14"/>
  <c r="P106" i="14"/>
  <c r="AB106" i="14"/>
  <c r="Z106" i="14"/>
  <c r="Q106" i="14"/>
  <c r="F106" i="14"/>
  <c r="D106" i="14"/>
  <c r="C106" i="14"/>
  <c r="AI106" i="14"/>
  <c r="A107" i="14"/>
  <c r="G106" i="41"/>
  <c r="A106" i="41"/>
  <c r="A108" i="6"/>
  <c r="AV98" i="6" l="1"/>
  <c r="N98" i="6"/>
  <c r="B99" i="41"/>
  <c r="G100" i="6"/>
  <c r="F100" i="6"/>
  <c r="D100" i="6"/>
  <c r="E100" i="6" s="1"/>
  <c r="B100" i="6"/>
  <c r="H100" i="6"/>
  <c r="H99" i="41"/>
  <c r="C101" i="6"/>
  <c r="C98" i="41"/>
  <c r="I98" i="41"/>
  <c r="AU99" i="6"/>
  <c r="I99" i="6"/>
  <c r="J99" i="6"/>
  <c r="AC107" i="14"/>
  <c r="AA107" i="14"/>
  <c r="W107" i="14"/>
  <c r="K107" i="14"/>
  <c r="E107" i="14"/>
  <c r="F107" i="14"/>
  <c r="V107" i="14"/>
  <c r="N107" i="14"/>
  <c r="I107" i="14"/>
  <c r="X107" i="14"/>
  <c r="T107" i="14"/>
  <c r="C107" i="14"/>
  <c r="AH107" i="14"/>
  <c r="O107" i="14"/>
  <c r="M107" i="14"/>
  <c r="R107" i="14"/>
  <c r="Y107" i="14"/>
  <c r="AJ107" i="14"/>
  <c r="P107" i="14"/>
  <c r="U107" i="14"/>
  <c r="G107" i="14"/>
  <c r="AI107" i="14"/>
  <c r="H107" i="14"/>
  <c r="L107" i="14"/>
  <c r="AG107" i="14"/>
  <c r="AB107" i="14"/>
  <c r="Z107" i="14"/>
  <c r="Q107" i="14"/>
  <c r="AF107" i="14"/>
  <c r="D107" i="14"/>
  <c r="S107" i="14"/>
  <c r="AE107" i="14"/>
  <c r="AD107" i="14"/>
  <c r="J107" i="14"/>
  <c r="G107" i="41"/>
  <c r="A107" i="41"/>
  <c r="A108" i="14"/>
  <c r="A109" i="6"/>
  <c r="AU100" i="6" l="1"/>
  <c r="I100" i="6"/>
  <c r="J100" i="6"/>
  <c r="AV99" i="6"/>
  <c r="N99" i="6"/>
  <c r="C99" i="41"/>
  <c r="I99" i="41"/>
  <c r="B100" i="41"/>
  <c r="B101" i="6"/>
  <c r="G101" i="6"/>
  <c r="D101" i="6"/>
  <c r="E101" i="6" s="1"/>
  <c r="F101" i="6"/>
  <c r="H101" i="6"/>
  <c r="H100" i="41"/>
  <c r="C102" i="6"/>
  <c r="AI108" i="14"/>
  <c r="P108" i="14"/>
  <c r="AE108" i="14"/>
  <c r="AB108" i="14"/>
  <c r="J108" i="14"/>
  <c r="AA108" i="14"/>
  <c r="H108" i="14"/>
  <c r="W108" i="14"/>
  <c r="K108" i="14"/>
  <c r="AC108" i="14"/>
  <c r="AF108" i="14"/>
  <c r="AG108" i="14"/>
  <c r="N108" i="14"/>
  <c r="I108" i="14"/>
  <c r="T108" i="14"/>
  <c r="E108" i="14"/>
  <c r="AD108" i="14"/>
  <c r="AH108" i="14"/>
  <c r="S108" i="14"/>
  <c r="X108" i="14"/>
  <c r="M108" i="14"/>
  <c r="Z108" i="14"/>
  <c r="O108" i="14"/>
  <c r="U108" i="14"/>
  <c r="R108" i="14"/>
  <c r="AJ108" i="14"/>
  <c r="G108" i="14"/>
  <c r="V108" i="14"/>
  <c r="Y108" i="14"/>
  <c r="Q108" i="14"/>
  <c r="F108" i="14"/>
  <c r="D108" i="14"/>
  <c r="C108" i="14"/>
  <c r="L108" i="14"/>
  <c r="A109" i="14"/>
  <c r="G108" i="41"/>
  <c r="A108" i="41"/>
  <c r="A110" i="6"/>
  <c r="B101" i="41" l="1"/>
  <c r="D102" i="6"/>
  <c r="E102" i="6" s="1"/>
  <c r="G102" i="6"/>
  <c r="B102" i="6"/>
  <c r="H102" i="6"/>
  <c r="F102" i="6"/>
  <c r="C103" i="6"/>
  <c r="H101" i="41"/>
  <c r="AU101" i="6"/>
  <c r="I101" i="6"/>
  <c r="J101" i="6"/>
  <c r="C100" i="41"/>
  <c r="I100" i="41"/>
  <c r="AV100" i="6"/>
  <c r="N100" i="6"/>
  <c r="S109" i="14"/>
  <c r="R109" i="14"/>
  <c r="AE109" i="14"/>
  <c r="AB109" i="14"/>
  <c r="G109" i="14"/>
  <c r="W109" i="14"/>
  <c r="K109" i="14"/>
  <c r="Y109" i="14"/>
  <c r="AJ109" i="14"/>
  <c r="AG109" i="14"/>
  <c r="J109" i="14"/>
  <c r="AF109" i="14"/>
  <c r="H109" i="14"/>
  <c r="E109" i="14"/>
  <c r="AD109" i="14"/>
  <c r="AC109" i="14"/>
  <c r="AA109" i="14"/>
  <c r="I109" i="14"/>
  <c r="X109" i="14"/>
  <c r="M109" i="14"/>
  <c r="F109" i="14"/>
  <c r="V109" i="14"/>
  <c r="AH109" i="14"/>
  <c r="O109" i="14"/>
  <c r="U109" i="14"/>
  <c r="L109" i="14"/>
  <c r="P109" i="14"/>
  <c r="Z109" i="14"/>
  <c r="Q109" i="14"/>
  <c r="D109" i="14"/>
  <c r="AI109" i="14"/>
  <c r="N109" i="14"/>
  <c r="C109" i="14"/>
  <c r="T109" i="14"/>
  <c r="A110" i="14"/>
  <c r="G109" i="41"/>
  <c r="A109" i="41"/>
  <c r="A111" i="6"/>
  <c r="B102" i="41" l="1"/>
  <c r="D103" i="6"/>
  <c r="E103" i="6" s="1"/>
  <c r="B103" i="6"/>
  <c r="G103" i="6"/>
  <c r="F103" i="6"/>
  <c r="H103" i="6"/>
  <c r="H102" i="41"/>
  <c r="C104" i="6"/>
  <c r="AU102" i="6"/>
  <c r="I102" i="6"/>
  <c r="J102" i="6"/>
  <c r="AV101" i="6"/>
  <c r="N101" i="6"/>
  <c r="C101" i="41"/>
  <c r="I101" i="41"/>
  <c r="A110" i="41"/>
  <c r="A111" i="14"/>
  <c r="G110" i="41"/>
  <c r="A112" i="6"/>
  <c r="F110" i="14"/>
  <c r="Y110" i="14"/>
  <c r="AJ110" i="14"/>
  <c r="H110" i="14"/>
  <c r="R110" i="14"/>
  <c r="AE110" i="14"/>
  <c r="AI110" i="14"/>
  <c r="U110" i="14"/>
  <c r="G110" i="14"/>
  <c r="W110" i="14"/>
  <c r="AA110" i="14"/>
  <c r="L110" i="14"/>
  <c r="AG110" i="14"/>
  <c r="N110" i="14"/>
  <c r="AF110" i="14"/>
  <c r="AB110" i="14"/>
  <c r="Q110" i="14"/>
  <c r="C110" i="14"/>
  <c r="J110" i="14"/>
  <c r="T110" i="14"/>
  <c r="K110" i="14"/>
  <c r="E110" i="14"/>
  <c r="AD110" i="14"/>
  <c r="AC110" i="14"/>
  <c r="S110" i="14"/>
  <c r="I110" i="14"/>
  <c r="X110" i="14"/>
  <c r="M110" i="14"/>
  <c r="V110" i="14"/>
  <c r="AH110" i="14"/>
  <c r="O110" i="14"/>
  <c r="P110" i="14"/>
  <c r="Z110" i="14"/>
  <c r="D110" i="14"/>
  <c r="B103" i="41" l="1"/>
  <c r="B104" i="6"/>
  <c r="G104" i="6"/>
  <c r="H104" i="6"/>
  <c r="F104" i="6"/>
  <c r="D104" i="6"/>
  <c r="E104" i="6" s="1"/>
  <c r="C105" i="6"/>
  <c r="H103" i="41"/>
  <c r="AU103" i="6"/>
  <c r="I103" i="6"/>
  <c r="J103" i="6"/>
  <c r="AV102" i="6"/>
  <c r="N102" i="6"/>
  <c r="C102" i="41"/>
  <c r="I102" i="41"/>
  <c r="M111" i="14"/>
  <c r="R111" i="14"/>
  <c r="Y111" i="14"/>
  <c r="AJ111" i="14"/>
  <c r="P111" i="14"/>
  <c r="U111" i="14"/>
  <c r="G111" i="14"/>
  <c r="AI111" i="14"/>
  <c r="H111" i="14"/>
  <c r="L111" i="14"/>
  <c r="AG111" i="14"/>
  <c r="J111" i="14"/>
  <c r="AF111" i="14"/>
  <c r="AE111" i="14"/>
  <c r="AB111" i="14"/>
  <c r="Q111" i="14"/>
  <c r="AC111" i="14"/>
  <c r="AA111" i="14"/>
  <c r="W111" i="14"/>
  <c r="K111" i="14"/>
  <c r="E111" i="14"/>
  <c r="F111" i="14"/>
  <c r="T111" i="14"/>
  <c r="N111" i="14"/>
  <c r="I111" i="14"/>
  <c r="X111" i="14"/>
  <c r="V111" i="14"/>
  <c r="C111" i="14"/>
  <c r="AH111" i="14"/>
  <c r="O111" i="14"/>
  <c r="S111" i="14"/>
  <c r="AD111" i="14"/>
  <c r="Z111" i="14"/>
  <c r="D111" i="14"/>
  <c r="G111" i="41"/>
  <c r="A112" i="14"/>
  <c r="A111" i="41"/>
  <c r="A113" i="6"/>
  <c r="B104" i="41" l="1"/>
  <c r="D105" i="6"/>
  <c r="E105" i="6" s="1"/>
  <c r="H105" i="6"/>
  <c r="B105" i="6"/>
  <c r="G105" i="6"/>
  <c r="F105" i="6"/>
  <c r="H104" i="41"/>
  <c r="C106" i="6"/>
  <c r="C103" i="41"/>
  <c r="I103" i="41"/>
  <c r="AU104" i="6"/>
  <c r="J104" i="6"/>
  <c r="I104" i="6"/>
  <c r="AV103" i="6"/>
  <c r="N103" i="6"/>
  <c r="J112" i="14"/>
  <c r="S112" i="14"/>
  <c r="E112" i="14"/>
  <c r="AD112" i="14"/>
  <c r="R112" i="14"/>
  <c r="AC112" i="14"/>
  <c r="V112" i="14"/>
  <c r="X112" i="14"/>
  <c r="M112" i="14"/>
  <c r="AH112" i="14"/>
  <c r="F112" i="14"/>
  <c r="T112" i="14"/>
  <c r="O112" i="14"/>
  <c r="U112" i="14"/>
  <c r="Z112" i="14"/>
  <c r="D112" i="14"/>
  <c r="L112" i="14"/>
  <c r="AJ112" i="14"/>
  <c r="P112" i="14"/>
  <c r="AE112" i="14"/>
  <c r="AB112" i="14"/>
  <c r="Y112" i="14"/>
  <c r="AI112" i="14"/>
  <c r="H112" i="14"/>
  <c r="W112" i="14"/>
  <c r="K112" i="14"/>
  <c r="AA112" i="14"/>
  <c r="AG112" i="14"/>
  <c r="N112" i="14"/>
  <c r="I112" i="14"/>
  <c r="AF112" i="14"/>
  <c r="Q112" i="14"/>
  <c r="C112" i="14"/>
  <c r="G112" i="14"/>
  <c r="A113" i="14"/>
  <c r="G112" i="41"/>
  <c r="A112" i="41"/>
  <c r="A114" i="6"/>
  <c r="B105" i="41" l="1"/>
  <c r="D106" i="6"/>
  <c r="E106" i="6" s="1"/>
  <c r="G106" i="6"/>
  <c r="H106" i="6"/>
  <c r="F106" i="6"/>
  <c r="B106" i="6"/>
  <c r="H105" i="41"/>
  <c r="C107" i="6"/>
  <c r="AV104" i="6"/>
  <c r="N104" i="6"/>
  <c r="AU105" i="6"/>
  <c r="I105" i="6"/>
  <c r="J105" i="6"/>
  <c r="C104" i="41"/>
  <c r="I104" i="41"/>
  <c r="J113" i="14"/>
  <c r="AF113" i="14"/>
  <c r="AH113" i="14"/>
  <c r="O113" i="14"/>
  <c r="U113" i="14"/>
  <c r="AC113" i="14"/>
  <c r="AA113" i="14"/>
  <c r="Z113" i="14"/>
  <c r="D113" i="14"/>
  <c r="L113" i="14"/>
  <c r="F113" i="14"/>
  <c r="V113" i="14"/>
  <c r="R113" i="14"/>
  <c r="AE113" i="14"/>
  <c r="AB113" i="14"/>
  <c r="T113" i="14"/>
  <c r="G113" i="14"/>
  <c r="W113" i="14"/>
  <c r="K113" i="14"/>
  <c r="S113" i="14"/>
  <c r="AG113" i="14"/>
  <c r="N113" i="14"/>
  <c r="P113" i="14"/>
  <c r="Q113" i="14"/>
  <c r="C113" i="14"/>
  <c r="AJ113" i="14"/>
  <c r="H113" i="14"/>
  <c r="E113" i="14"/>
  <c r="AD113" i="14"/>
  <c r="AI113" i="14"/>
  <c r="I113" i="14"/>
  <c r="X113" i="14"/>
  <c r="M113" i="14"/>
  <c r="Y113" i="14"/>
  <c r="A113" i="41"/>
  <c r="G113" i="41"/>
  <c r="A114" i="14"/>
  <c r="A115" i="6"/>
  <c r="B106" i="41" l="1"/>
  <c r="G107" i="6"/>
  <c r="H107" i="6"/>
  <c r="F107" i="6"/>
  <c r="B107" i="6"/>
  <c r="D107" i="6"/>
  <c r="E107" i="6" s="1"/>
  <c r="H106" i="41"/>
  <c r="C108" i="6"/>
  <c r="AV105" i="6"/>
  <c r="N105" i="6"/>
  <c r="AU106" i="6"/>
  <c r="J106" i="6"/>
  <c r="I106" i="6"/>
  <c r="C105" i="41"/>
  <c r="I105" i="41"/>
  <c r="A115" i="14"/>
  <c r="G114" i="41"/>
  <c r="A114" i="41"/>
  <c r="A116" i="6"/>
  <c r="P114" i="14"/>
  <c r="Z114" i="14"/>
  <c r="D114" i="14"/>
  <c r="J114" i="14"/>
  <c r="AJ114" i="14"/>
  <c r="H114" i="14"/>
  <c r="R114" i="14"/>
  <c r="AE114" i="14"/>
  <c r="AC114" i="14"/>
  <c r="AI114" i="14"/>
  <c r="U114" i="14"/>
  <c r="G114" i="14"/>
  <c r="W114" i="14"/>
  <c r="F114" i="14"/>
  <c r="AF114" i="14"/>
  <c r="L114" i="14"/>
  <c r="AG114" i="14"/>
  <c r="N114" i="14"/>
  <c r="AA114" i="14"/>
  <c r="AB114" i="14"/>
  <c r="Q114" i="14"/>
  <c r="C114" i="14"/>
  <c r="V114" i="14"/>
  <c r="K114" i="14"/>
  <c r="E114" i="14"/>
  <c r="M114" i="14"/>
  <c r="T114" i="14"/>
  <c r="I114" i="14"/>
  <c r="X114" i="14"/>
  <c r="AD114" i="14"/>
  <c r="AH114" i="14"/>
  <c r="O114" i="14"/>
  <c r="Y114" i="14"/>
  <c r="S114" i="14"/>
  <c r="B107" i="41" l="1"/>
  <c r="B108" i="6"/>
  <c r="G108" i="6"/>
  <c r="F108" i="6"/>
  <c r="D108" i="6"/>
  <c r="E108" i="6" s="1"/>
  <c r="H108" i="6"/>
  <c r="H107" i="41"/>
  <c r="C109" i="6"/>
  <c r="C106" i="41"/>
  <c r="I106" i="41"/>
  <c r="AV106" i="6"/>
  <c r="N106" i="6"/>
  <c r="AU107" i="6"/>
  <c r="I107" i="6"/>
  <c r="J107" i="6"/>
  <c r="A116" i="14"/>
  <c r="G115" i="41"/>
  <c r="A115" i="41"/>
  <c r="A117" i="6"/>
  <c r="T115" i="14"/>
  <c r="AD115" i="14"/>
  <c r="Z115" i="14"/>
  <c r="D115" i="14"/>
  <c r="S115" i="14"/>
  <c r="M115" i="14"/>
  <c r="R115" i="14"/>
  <c r="P115" i="14"/>
  <c r="U115" i="14"/>
  <c r="G115" i="14"/>
  <c r="Y115" i="14"/>
  <c r="AJ115" i="14"/>
  <c r="H115" i="14"/>
  <c r="L115" i="14"/>
  <c r="AG115" i="14"/>
  <c r="J115" i="14"/>
  <c r="AI115" i="14"/>
  <c r="AE115" i="14"/>
  <c r="AB115" i="14"/>
  <c r="Q115" i="14"/>
  <c r="AC115" i="14"/>
  <c r="AF115" i="14"/>
  <c r="W115" i="14"/>
  <c r="K115" i="14"/>
  <c r="E115" i="14"/>
  <c r="F115" i="14"/>
  <c r="AA115" i="14"/>
  <c r="N115" i="14"/>
  <c r="I115" i="14"/>
  <c r="X115" i="14"/>
  <c r="AH115" i="14"/>
  <c r="O115" i="14"/>
  <c r="V115" i="14"/>
  <c r="C115" i="14"/>
  <c r="B108" i="41" l="1"/>
  <c r="H109" i="6"/>
  <c r="F109" i="6"/>
  <c r="G109" i="6"/>
  <c r="D109" i="6"/>
  <c r="E109" i="6" s="1"/>
  <c r="B109" i="6"/>
  <c r="H108" i="41"/>
  <c r="C110" i="6"/>
  <c r="AV107" i="6"/>
  <c r="N107" i="6"/>
  <c r="AU108" i="6"/>
  <c r="J108" i="6"/>
  <c r="I108" i="6"/>
  <c r="C107" i="41"/>
  <c r="I107" i="41"/>
  <c r="G116" i="41"/>
  <c r="A116" i="41"/>
  <c r="A117" i="14"/>
  <c r="A118" i="6"/>
  <c r="AC116" i="14"/>
  <c r="V116" i="14"/>
  <c r="E116" i="14"/>
  <c r="AD116" i="14"/>
  <c r="G116" i="14"/>
  <c r="F116" i="14"/>
  <c r="T116" i="14"/>
  <c r="X116" i="14"/>
  <c r="M116" i="14"/>
  <c r="AH116" i="14"/>
  <c r="S116" i="14"/>
  <c r="O116" i="14"/>
  <c r="U116" i="14"/>
  <c r="Z116" i="14"/>
  <c r="D116" i="14"/>
  <c r="L116" i="14"/>
  <c r="Y116" i="14"/>
  <c r="AJ116" i="14"/>
  <c r="P116" i="14"/>
  <c r="AE116" i="14"/>
  <c r="AB116" i="14"/>
  <c r="AF116" i="14"/>
  <c r="H116" i="14"/>
  <c r="W116" i="14"/>
  <c r="K116" i="14"/>
  <c r="AA116" i="14"/>
  <c r="AG116" i="14"/>
  <c r="N116" i="14"/>
  <c r="I116" i="14"/>
  <c r="R116" i="14"/>
  <c r="J116" i="14"/>
  <c r="AI116" i="14"/>
  <c r="Q116" i="14"/>
  <c r="C116" i="14"/>
  <c r="B109" i="41" l="1"/>
  <c r="B110" i="6"/>
  <c r="H110" i="6"/>
  <c r="G110" i="6"/>
  <c r="F110" i="6"/>
  <c r="D110" i="6"/>
  <c r="E110" i="6" s="1"/>
  <c r="H109" i="41"/>
  <c r="C111" i="6"/>
  <c r="C108" i="41"/>
  <c r="I108" i="41"/>
  <c r="AV108" i="6"/>
  <c r="N108" i="6"/>
  <c r="AU109" i="6"/>
  <c r="I109" i="6"/>
  <c r="J109" i="6"/>
  <c r="G117" i="41"/>
  <c r="A118" i="14"/>
  <c r="A117" i="41"/>
  <c r="A119" i="6"/>
  <c r="P117" i="14"/>
  <c r="Q117" i="14"/>
  <c r="C117" i="14"/>
  <c r="Y117" i="14"/>
  <c r="AJ117" i="14"/>
  <c r="H117" i="14"/>
  <c r="E117" i="14"/>
  <c r="AD117" i="14"/>
  <c r="J117" i="14"/>
  <c r="AI117" i="14"/>
  <c r="I117" i="14"/>
  <c r="X117" i="14"/>
  <c r="M117" i="14"/>
  <c r="AC117" i="14"/>
  <c r="AF117" i="14"/>
  <c r="AH117" i="14"/>
  <c r="O117" i="14"/>
  <c r="U117" i="14"/>
  <c r="F117" i="14"/>
  <c r="AA117" i="14"/>
  <c r="Z117" i="14"/>
  <c r="D117" i="14"/>
  <c r="L117" i="14"/>
  <c r="V117" i="14"/>
  <c r="R117" i="14"/>
  <c r="AE117" i="14"/>
  <c r="AB117" i="14"/>
  <c r="T117" i="14"/>
  <c r="G117" i="14"/>
  <c r="W117" i="14"/>
  <c r="K117" i="14"/>
  <c r="S117" i="14"/>
  <c r="AG117" i="14"/>
  <c r="N117" i="14"/>
  <c r="B110" i="41" l="1"/>
  <c r="B111" i="6"/>
  <c r="D111" i="6"/>
  <c r="E111" i="6" s="1"/>
  <c r="G111" i="6"/>
  <c r="F111" i="6"/>
  <c r="H111" i="6"/>
  <c r="C112" i="6"/>
  <c r="H110" i="41"/>
  <c r="AV109" i="6"/>
  <c r="N109" i="6"/>
  <c r="C109" i="41"/>
  <c r="I109" i="41"/>
  <c r="AU110" i="6"/>
  <c r="I110" i="6"/>
  <c r="J110" i="6"/>
  <c r="A119" i="14"/>
  <c r="G118" i="41"/>
  <c r="A118" i="41"/>
  <c r="A120" i="6"/>
  <c r="V118" i="14"/>
  <c r="AH118" i="14"/>
  <c r="O118" i="14"/>
  <c r="P118" i="14"/>
  <c r="Z118" i="14"/>
  <c r="D118" i="14"/>
  <c r="AJ118" i="14"/>
  <c r="H118" i="14"/>
  <c r="R118" i="14"/>
  <c r="AE118" i="14"/>
  <c r="Y118" i="14"/>
  <c r="AI118" i="14"/>
  <c r="U118" i="14"/>
  <c r="G118" i="14"/>
  <c r="W118" i="14"/>
  <c r="J118" i="14"/>
  <c r="AA118" i="14"/>
  <c r="L118" i="14"/>
  <c r="AG118" i="14"/>
  <c r="N118" i="14"/>
  <c r="AC118" i="14"/>
  <c r="AF118" i="14"/>
  <c r="AB118" i="14"/>
  <c r="Q118" i="14"/>
  <c r="C118" i="14"/>
  <c r="F118" i="14"/>
  <c r="T118" i="14"/>
  <c r="K118" i="14"/>
  <c r="E118" i="14"/>
  <c r="M118" i="14"/>
  <c r="S118" i="14"/>
  <c r="I118" i="14"/>
  <c r="X118" i="14"/>
  <c r="AD118" i="14"/>
  <c r="AV110" i="6" l="1"/>
  <c r="N110" i="6"/>
  <c r="B111" i="41"/>
  <c r="H112" i="6"/>
  <c r="F112" i="6"/>
  <c r="D112" i="6"/>
  <c r="E112" i="6" s="1"/>
  <c r="B112" i="6"/>
  <c r="G112" i="6"/>
  <c r="C113" i="6"/>
  <c r="H111" i="41"/>
  <c r="AU111" i="6"/>
  <c r="I111" i="6"/>
  <c r="J111" i="6"/>
  <c r="C110" i="41"/>
  <c r="I110" i="41"/>
  <c r="A120" i="14"/>
  <c r="G119" i="41"/>
  <c r="A119" i="41"/>
  <c r="A121" i="6"/>
  <c r="V119" i="14"/>
  <c r="C119" i="14"/>
  <c r="AH119" i="14"/>
  <c r="O119" i="14"/>
  <c r="S119" i="14"/>
  <c r="AD119" i="14"/>
  <c r="Z119" i="14"/>
  <c r="D119" i="14"/>
  <c r="M119" i="14"/>
  <c r="R119" i="14"/>
  <c r="Y119" i="14"/>
  <c r="AJ119" i="14"/>
  <c r="P119" i="14"/>
  <c r="U119" i="14"/>
  <c r="G119" i="14"/>
  <c r="AI119" i="14"/>
  <c r="H119" i="14"/>
  <c r="L119" i="14"/>
  <c r="AG119" i="14"/>
  <c r="J119" i="14"/>
  <c r="AF119" i="14"/>
  <c r="AE119" i="14"/>
  <c r="AB119" i="14"/>
  <c r="Q119" i="14"/>
  <c r="AC119" i="14"/>
  <c r="AA119" i="14"/>
  <c r="W119" i="14"/>
  <c r="K119" i="14"/>
  <c r="E119" i="14"/>
  <c r="T119" i="14"/>
  <c r="N119" i="14"/>
  <c r="I119" i="14"/>
  <c r="X119" i="14"/>
  <c r="F119" i="14"/>
  <c r="C111" i="41" l="1"/>
  <c r="I111" i="41"/>
  <c r="AU112" i="6"/>
  <c r="J112" i="6"/>
  <c r="I112" i="6"/>
  <c r="AV111" i="6"/>
  <c r="N111" i="6"/>
  <c r="B112" i="41"/>
  <c r="B113" i="6"/>
  <c r="F113" i="6"/>
  <c r="H113" i="6"/>
  <c r="D113" i="6"/>
  <c r="E113" i="6" s="1"/>
  <c r="G113" i="6"/>
  <c r="H112" i="41"/>
  <c r="C114" i="6"/>
  <c r="G120" i="41"/>
  <c r="A120" i="41"/>
  <c r="A121" i="14"/>
  <c r="A122" i="6"/>
  <c r="J120" i="14"/>
  <c r="AA120" i="14"/>
  <c r="Q120" i="14"/>
  <c r="C120" i="14"/>
  <c r="Z120" i="14"/>
  <c r="AC120" i="14"/>
  <c r="S120" i="14"/>
  <c r="E120" i="14"/>
  <c r="AD120" i="14"/>
  <c r="R120" i="14"/>
  <c r="F120" i="14"/>
  <c r="T120" i="14"/>
  <c r="X120" i="14"/>
  <c r="M120" i="14"/>
  <c r="G120" i="14"/>
  <c r="V120" i="14"/>
  <c r="O120" i="14"/>
  <c r="U120" i="14"/>
  <c r="AH120" i="14"/>
  <c r="D120" i="14"/>
  <c r="L120" i="14"/>
  <c r="Y120" i="14"/>
  <c r="AJ120" i="14"/>
  <c r="P120" i="14"/>
  <c r="AE120" i="14"/>
  <c r="AB120" i="14"/>
  <c r="AF120" i="14"/>
  <c r="H120" i="14"/>
  <c r="W120" i="14"/>
  <c r="K120" i="14"/>
  <c r="AI120" i="14"/>
  <c r="AG120" i="14"/>
  <c r="N120" i="14"/>
  <c r="I120" i="14"/>
  <c r="B113" i="41" l="1"/>
  <c r="H114" i="6"/>
  <c r="F114" i="6"/>
  <c r="G114" i="6"/>
  <c r="B114" i="6"/>
  <c r="D114" i="6"/>
  <c r="E114" i="6" s="1"/>
  <c r="C115" i="6"/>
  <c r="H113" i="41"/>
  <c r="C112" i="41"/>
  <c r="I112" i="41"/>
  <c r="AV112" i="6"/>
  <c r="N112" i="6"/>
  <c r="AU113" i="6"/>
  <c r="I113" i="6"/>
  <c r="J113" i="6"/>
  <c r="A122" i="14"/>
  <c r="G121" i="41"/>
  <c r="A121" i="41"/>
  <c r="A123" i="6"/>
  <c r="AI121" i="14"/>
  <c r="P121" i="14"/>
  <c r="Q121" i="14"/>
  <c r="C121" i="14"/>
  <c r="J121" i="14"/>
  <c r="AF121" i="14"/>
  <c r="H121" i="14"/>
  <c r="E121" i="14"/>
  <c r="AD121" i="14"/>
  <c r="AC121" i="14"/>
  <c r="AA121" i="14"/>
  <c r="I121" i="14"/>
  <c r="X121" i="14"/>
  <c r="M121" i="14"/>
  <c r="F121" i="14"/>
  <c r="V121" i="14"/>
  <c r="AH121" i="14"/>
  <c r="O121" i="14"/>
  <c r="U121" i="14"/>
  <c r="T121" i="14"/>
  <c r="Z121" i="14"/>
  <c r="D121" i="14"/>
  <c r="L121" i="14"/>
  <c r="S121" i="14"/>
  <c r="R121" i="14"/>
  <c r="AE121" i="14"/>
  <c r="AB121" i="14"/>
  <c r="G121" i="14"/>
  <c r="W121" i="14"/>
  <c r="K121" i="14"/>
  <c r="AG121" i="14"/>
  <c r="N121" i="14"/>
  <c r="Y121" i="14"/>
  <c r="AJ121" i="14"/>
  <c r="N113" i="6" l="1"/>
  <c r="AV113" i="6"/>
  <c r="B114" i="41"/>
  <c r="D115" i="6"/>
  <c r="E115" i="6" s="1"/>
  <c r="B115" i="6"/>
  <c r="F115" i="6"/>
  <c r="G115" i="6"/>
  <c r="H115" i="6"/>
  <c r="H114" i="41"/>
  <c r="C116" i="6"/>
  <c r="C113" i="41"/>
  <c r="I113" i="41"/>
  <c r="AU114" i="6"/>
  <c r="J114" i="6"/>
  <c r="I114" i="6"/>
  <c r="A123" i="14"/>
  <c r="G122" i="41"/>
  <c r="A122" i="41"/>
  <c r="A124" i="6"/>
  <c r="T122" i="14"/>
  <c r="I122" i="14"/>
  <c r="X122" i="14"/>
  <c r="M122" i="14"/>
  <c r="S122" i="14"/>
  <c r="AH122" i="14"/>
  <c r="O122" i="14"/>
  <c r="Y122" i="14"/>
  <c r="P122" i="14"/>
  <c r="Z122" i="14"/>
  <c r="D122" i="14"/>
  <c r="AJ122" i="14"/>
  <c r="H122" i="14"/>
  <c r="R122" i="14"/>
  <c r="AE122" i="14"/>
  <c r="AI122" i="14"/>
  <c r="U122" i="14"/>
  <c r="G122" i="14"/>
  <c r="W122" i="14"/>
  <c r="J122" i="14"/>
  <c r="AF122" i="14"/>
  <c r="L122" i="14"/>
  <c r="AG122" i="14"/>
  <c r="N122" i="14"/>
  <c r="AC122" i="14"/>
  <c r="AA122" i="14"/>
  <c r="AB122" i="14"/>
  <c r="Q122" i="14"/>
  <c r="C122" i="14"/>
  <c r="V122" i="14"/>
  <c r="K122" i="14"/>
  <c r="E122" i="14"/>
  <c r="AD122" i="14"/>
  <c r="F122" i="14"/>
  <c r="AU115" i="6" l="1"/>
  <c r="I115" i="6"/>
  <c r="J115" i="6"/>
  <c r="AV114" i="6"/>
  <c r="N114" i="6"/>
  <c r="C114" i="41"/>
  <c r="I114" i="41"/>
  <c r="B115" i="41"/>
  <c r="G116" i="6"/>
  <c r="F116" i="6"/>
  <c r="B116" i="6"/>
  <c r="D116" i="6"/>
  <c r="E116" i="6" s="1"/>
  <c r="H116" i="6"/>
  <c r="H115" i="41"/>
  <c r="C117" i="6"/>
  <c r="A123" i="41"/>
  <c r="A124" i="14"/>
  <c r="G123" i="41"/>
  <c r="A125" i="6"/>
  <c r="F123" i="14"/>
  <c r="V123" i="14"/>
  <c r="N123" i="14"/>
  <c r="I123" i="14"/>
  <c r="X123" i="14"/>
  <c r="T123" i="14"/>
  <c r="C123" i="14"/>
  <c r="AH123" i="14"/>
  <c r="O123" i="14"/>
  <c r="S123" i="14"/>
  <c r="AD123" i="14"/>
  <c r="Z123" i="14"/>
  <c r="D123" i="14"/>
  <c r="M123" i="14"/>
  <c r="R123" i="14"/>
  <c r="Y123" i="14"/>
  <c r="AJ123" i="14"/>
  <c r="P123" i="14"/>
  <c r="U123" i="14"/>
  <c r="G123" i="14"/>
  <c r="AI123" i="14"/>
  <c r="H123" i="14"/>
  <c r="L123" i="14"/>
  <c r="AG123" i="14"/>
  <c r="J123" i="14"/>
  <c r="AF123" i="14"/>
  <c r="AE123" i="14"/>
  <c r="AB123" i="14"/>
  <c r="Q123" i="14"/>
  <c r="W123" i="14"/>
  <c r="K123" i="14"/>
  <c r="E123" i="14"/>
  <c r="AC123" i="14"/>
  <c r="AA123" i="14"/>
  <c r="B116" i="41" l="1"/>
  <c r="G117" i="6"/>
  <c r="F117" i="6"/>
  <c r="H117" i="6"/>
  <c r="B117" i="6"/>
  <c r="D117" i="6"/>
  <c r="E117" i="6" s="1"/>
  <c r="C118" i="6"/>
  <c r="H116" i="41"/>
  <c r="AU116" i="6"/>
  <c r="J116" i="6"/>
  <c r="I116" i="6"/>
  <c r="C115" i="41"/>
  <c r="I115" i="41"/>
  <c r="AV115" i="6"/>
  <c r="N115" i="6"/>
  <c r="J124" i="14"/>
  <c r="AI124" i="14"/>
  <c r="H124" i="14"/>
  <c r="W124" i="14"/>
  <c r="K124" i="14"/>
  <c r="AC124" i="14"/>
  <c r="AA124" i="14"/>
  <c r="AG124" i="14"/>
  <c r="N124" i="14"/>
  <c r="I124" i="14"/>
  <c r="F124" i="14"/>
  <c r="V124" i="14"/>
  <c r="Q124" i="14"/>
  <c r="C124" i="14"/>
  <c r="AH124" i="14"/>
  <c r="T124" i="14"/>
  <c r="E124" i="14"/>
  <c r="AD124" i="14"/>
  <c r="Z124" i="14"/>
  <c r="S124" i="14"/>
  <c r="X124" i="14"/>
  <c r="M124" i="14"/>
  <c r="R124" i="14"/>
  <c r="O124" i="14"/>
  <c r="U124" i="14"/>
  <c r="G124" i="14"/>
  <c r="AJ124" i="14"/>
  <c r="D124" i="14"/>
  <c r="L124" i="14"/>
  <c r="P124" i="14"/>
  <c r="AE124" i="14"/>
  <c r="AB124" i="14"/>
  <c r="Y124" i="14"/>
  <c r="AF124" i="14"/>
  <c r="A125" i="14"/>
  <c r="G124" i="41"/>
  <c r="A124" i="41"/>
  <c r="A126" i="6"/>
  <c r="B117" i="41" l="1"/>
  <c r="D118" i="6"/>
  <c r="E118" i="6" s="1"/>
  <c r="F118" i="6"/>
  <c r="B118" i="6"/>
  <c r="G118" i="6"/>
  <c r="H118" i="6"/>
  <c r="C119" i="6"/>
  <c r="H117" i="41"/>
  <c r="C116" i="41"/>
  <c r="I116" i="41"/>
  <c r="AU117" i="6"/>
  <c r="J117" i="6"/>
  <c r="I117" i="6"/>
  <c r="AV116" i="6"/>
  <c r="N116" i="6"/>
  <c r="A126" i="14"/>
  <c r="G125" i="41"/>
  <c r="A125" i="41"/>
  <c r="A127" i="6"/>
  <c r="G125" i="14"/>
  <c r="W125" i="14"/>
  <c r="K125" i="14"/>
  <c r="Y125" i="14"/>
  <c r="AJ125" i="14"/>
  <c r="AG125" i="14"/>
  <c r="N125" i="14"/>
  <c r="AI125" i="14"/>
  <c r="P125" i="14"/>
  <c r="Q125" i="14"/>
  <c r="C125" i="14"/>
  <c r="J125" i="14"/>
  <c r="AF125" i="14"/>
  <c r="H125" i="14"/>
  <c r="E125" i="14"/>
  <c r="AD125" i="14"/>
  <c r="AC125" i="14"/>
  <c r="AA125" i="14"/>
  <c r="I125" i="14"/>
  <c r="X125" i="14"/>
  <c r="M125" i="14"/>
  <c r="F125" i="14"/>
  <c r="V125" i="14"/>
  <c r="AH125" i="14"/>
  <c r="O125" i="14"/>
  <c r="U125" i="14"/>
  <c r="T125" i="14"/>
  <c r="Z125" i="14"/>
  <c r="D125" i="14"/>
  <c r="L125" i="14"/>
  <c r="R125" i="14"/>
  <c r="AE125" i="14"/>
  <c r="AB125" i="14"/>
  <c r="S125" i="14"/>
  <c r="B118" i="41" l="1"/>
  <c r="H119" i="6"/>
  <c r="B119" i="6"/>
  <c r="D119" i="6"/>
  <c r="E119" i="6" s="1"/>
  <c r="F119" i="6"/>
  <c r="G119" i="6"/>
  <c r="C120" i="6"/>
  <c r="H118" i="41"/>
  <c r="AU118" i="6"/>
  <c r="I118" i="6"/>
  <c r="J118" i="6"/>
  <c r="AV117" i="6"/>
  <c r="N117" i="6"/>
  <c r="C117" i="41"/>
  <c r="I117" i="41"/>
  <c r="F126" i="14"/>
  <c r="AF126" i="14"/>
  <c r="AB126" i="14"/>
  <c r="Q126" i="14"/>
  <c r="C126" i="14"/>
  <c r="T126" i="14"/>
  <c r="K126" i="14"/>
  <c r="E126" i="14"/>
  <c r="AD126" i="14"/>
  <c r="S126" i="14"/>
  <c r="I126" i="14"/>
  <c r="X126" i="14"/>
  <c r="M126" i="14"/>
  <c r="V126" i="14"/>
  <c r="AH126" i="14"/>
  <c r="O126" i="14"/>
  <c r="P126" i="14"/>
  <c r="Z126" i="14"/>
  <c r="D126" i="14"/>
  <c r="Y126" i="14"/>
  <c r="AI126" i="14"/>
  <c r="H126" i="14"/>
  <c r="R126" i="14"/>
  <c r="AE126" i="14"/>
  <c r="J126" i="14"/>
  <c r="AA126" i="14"/>
  <c r="U126" i="14"/>
  <c r="G126" i="14"/>
  <c r="W126" i="14"/>
  <c r="L126" i="14"/>
  <c r="AG126" i="14"/>
  <c r="N126" i="14"/>
  <c r="AC126" i="14"/>
  <c r="AJ126" i="14"/>
  <c r="A126" i="41"/>
  <c r="A127" i="14"/>
  <c r="G126" i="41"/>
  <c r="A128" i="6"/>
  <c r="B119" i="41" l="1"/>
  <c r="B120" i="6"/>
  <c r="H120" i="6"/>
  <c r="G120" i="6"/>
  <c r="F120" i="6"/>
  <c r="D120" i="6"/>
  <c r="E120" i="6" s="1"/>
  <c r="C121" i="6"/>
  <c r="H119" i="41"/>
  <c r="C118" i="41"/>
  <c r="I118" i="41"/>
  <c r="AV118" i="6"/>
  <c r="N118" i="6"/>
  <c r="AU119" i="6"/>
  <c r="I119" i="6"/>
  <c r="J119" i="6"/>
  <c r="J127" i="14"/>
  <c r="AI127" i="14"/>
  <c r="AE127" i="14"/>
  <c r="AB127" i="14"/>
  <c r="Q127" i="14"/>
  <c r="AC127" i="14"/>
  <c r="AF127" i="14"/>
  <c r="W127" i="14"/>
  <c r="K127" i="14"/>
  <c r="E127" i="14"/>
  <c r="F127" i="14"/>
  <c r="AA127" i="14"/>
  <c r="N127" i="14"/>
  <c r="I127" i="14"/>
  <c r="D127" i="14"/>
  <c r="T127" i="14"/>
  <c r="C127" i="14"/>
  <c r="AH127" i="14"/>
  <c r="O127" i="14"/>
  <c r="V127" i="14"/>
  <c r="AD127" i="14"/>
  <c r="Z127" i="14"/>
  <c r="X127" i="14"/>
  <c r="S127" i="14"/>
  <c r="M127" i="14"/>
  <c r="R127" i="14"/>
  <c r="Y127" i="14"/>
  <c r="P127" i="14"/>
  <c r="U127" i="14"/>
  <c r="G127" i="14"/>
  <c r="L127" i="14"/>
  <c r="AG127" i="14"/>
  <c r="AJ127" i="14"/>
  <c r="H127" i="14"/>
  <c r="G127" i="41"/>
  <c r="A127" i="41"/>
  <c r="A128" i="14"/>
  <c r="A129" i="6"/>
  <c r="AV119" i="6" l="1"/>
  <c r="N119" i="6"/>
  <c r="B120" i="41"/>
  <c r="F121" i="6"/>
  <c r="H121" i="6"/>
  <c r="B121" i="6"/>
  <c r="G121" i="6"/>
  <c r="D121" i="6"/>
  <c r="E121" i="6" s="1"/>
  <c r="C122" i="6"/>
  <c r="H120" i="41"/>
  <c r="C119" i="41"/>
  <c r="I119" i="41"/>
  <c r="AU120" i="6"/>
  <c r="J120" i="6"/>
  <c r="I120" i="6"/>
  <c r="P128" i="14"/>
  <c r="AE128" i="14"/>
  <c r="AB128" i="14"/>
  <c r="Y128" i="14"/>
  <c r="AJ128" i="14"/>
  <c r="H128" i="14"/>
  <c r="W128" i="14"/>
  <c r="K128" i="14"/>
  <c r="J128" i="14"/>
  <c r="AF128" i="14"/>
  <c r="AG128" i="14"/>
  <c r="N128" i="14"/>
  <c r="I128" i="14"/>
  <c r="AC128" i="14"/>
  <c r="AA128" i="14"/>
  <c r="Q128" i="14"/>
  <c r="C128" i="14"/>
  <c r="AH128" i="14"/>
  <c r="F128" i="14"/>
  <c r="AI128" i="14"/>
  <c r="E128" i="14"/>
  <c r="AD128" i="14"/>
  <c r="Z128" i="14"/>
  <c r="S128" i="14"/>
  <c r="X128" i="14"/>
  <c r="M128" i="14"/>
  <c r="R128" i="14"/>
  <c r="V128" i="14"/>
  <c r="O128" i="14"/>
  <c r="U128" i="14"/>
  <c r="G128" i="14"/>
  <c r="L128" i="14"/>
  <c r="T128" i="14"/>
  <c r="D128" i="14"/>
  <c r="A129" i="14"/>
  <c r="G128" i="41"/>
  <c r="A128" i="41"/>
  <c r="A130" i="6"/>
  <c r="C120" i="41" l="1"/>
  <c r="I120" i="41"/>
  <c r="AV120" i="6"/>
  <c r="N120" i="6"/>
  <c r="AU121" i="6"/>
  <c r="I121" i="6"/>
  <c r="J121" i="6"/>
  <c r="B121" i="41"/>
  <c r="B122" i="6"/>
  <c r="D122" i="6"/>
  <c r="E122" i="6" s="1"/>
  <c r="G122" i="6"/>
  <c r="F122" i="6"/>
  <c r="H122" i="6"/>
  <c r="H121" i="41"/>
  <c r="C123" i="6"/>
  <c r="S129" i="14"/>
  <c r="R129" i="14"/>
  <c r="AE129" i="14"/>
  <c r="K129" i="14"/>
  <c r="G129" i="14"/>
  <c r="W129" i="14"/>
  <c r="AB129" i="14"/>
  <c r="AJ129" i="14"/>
  <c r="AG129" i="14"/>
  <c r="N129" i="14"/>
  <c r="Y129" i="14"/>
  <c r="AI129" i="14"/>
  <c r="P129" i="14"/>
  <c r="Q129" i="14"/>
  <c r="C129" i="14"/>
  <c r="J129" i="14"/>
  <c r="AA129" i="14"/>
  <c r="H129" i="14"/>
  <c r="E129" i="14"/>
  <c r="AD129" i="14"/>
  <c r="AC129" i="14"/>
  <c r="AF129" i="14"/>
  <c r="I129" i="14"/>
  <c r="X129" i="14"/>
  <c r="M129" i="14"/>
  <c r="F129" i="14"/>
  <c r="V129" i="14"/>
  <c r="AH129" i="14"/>
  <c r="O129" i="14"/>
  <c r="U129" i="14"/>
  <c r="D129" i="14"/>
  <c r="L129" i="14"/>
  <c r="T129" i="14"/>
  <c r="Z129" i="14"/>
  <c r="A130" i="14"/>
  <c r="G129" i="41"/>
  <c r="A129" i="41"/>
  <c r="A131" i="6"/>
  <c r="B122" i="41" l="1"/>
  <c r="H123" i="6"/>
  <c r="B123" i="6"/>
  <c r="G123" i="6"/>
  <c r="D123" i="6"/>
  <c r="E123" i="6" s="1"/>
  <c r="F123" i="6"/>
  <c r="C124" i="6"/>
  <c r="H122" i="41"/>
  <c r="AV121" i="6"/>
  <c r="N121" i="6"/>
  <c r="AU122" i="6"/>
  <c r="J122" i="6"/>
  <c r="I122" i="6"/>
  <c r="C121" i="41"/>
  <c r="I121" i="41"/>
  <c r="G130" i="41"/>
  <c r="A130" i="41"/>
  <c r="A131" i="14"/>
  <c r="A132" i="6"/>
  <c r="AC130" i="14"/>
  <c r="AI130" i="14"/>
  <c r="L130" i="14"/>
  <c r="AG130" i="14"/>
  <c r="N130" i="14"/>
  <c r="F130" i="14"/>
  <c r="AA130" i="14"/>
  <c r="AB130" i="14"/>
  <c r="Q130" i="14"/>
  <c r="C130" i="14"/>
  <c r="V130" i="14"/>
  <c r="K130" i="14"/>
  <c r="E130" i="14"/>
  <c r="AD130" i="14"/>
  <c r="T130" i="14"/>
  <c r="I130" i="14"/>
  <c r="X130" i="14"/>
  <c r="M130" i="14"/>
  <c r="S130" i="14"/>
  <c r="AH130" i="14"/>
  <c r="O130" i="14"/>
  <c r="Y130" i="14"/>
  <c r="P130" i="14"/>
  <c r="Z130" i="14"/>
  <c r="D130" i="14"/>
  <c r="AJ130" i="14"/>
  <c r="H130" i="14"/>
  <c r="R130" i="14"/>
  <c r="AE130" i="14"/>
  <c r="W130" i="14"/>
  <c r="J130" i="14"/>
  <c r="AF130" i="14"/>
  <c r="U130" i="14"/>
  <c r="G130" i="14"/>
  <c r="B123" i="41" l="1"/>
  <c r="H124" i="6"/>
  <c r="B124" i="6"/>
  <c r="G124" i="6"/>
  <c r="D124" i="6"/>
  <c r="E124" i="6" s="1"/>
  <c r="F124" i="6"/>
  <c r="H123" i="41"/>
  <c r="C125" i="6"/>
  <c r="C122" i="41"/>
  <c r="I122" i="41"/>
  <c r="AV122" i="6"/>
  <c r="N122" i="6"/>
  <c r="AU123" i="6"/>
  <c r="J123" i="6"/>
  <c r="I123" i="6"/>
  <c r="G131" i="41"/>
  <c r="A132" i="14"/>
  <c r="A131" i="41"/>
  <c r="AD132" i="6"/>
  <c r="AH132" i="6"/>
  <c r="AF132" i="6"/>
  <c r="AE132" i="6"/>
  <c r="AG132" i="6"/>
  <c r="A133" i="6"/>
  <c r="AI131" i="14"/>
  <c r="H131" i="14"/>
  <c r="L131" i="14"/>
  <c r="AG131" i="14"/>
  <c r="J131" i="14"/>
  <c r="AF131" i="14"/>
  <c r="AE131" i="14"/>
  <c r="AB131" i="14"/>
  <c r="Q131" i="14"/>
  <c r="AC131" i="14"/>
  <c r="AA131" i="14"/>
  <c r="W131" i="14"/>
  <c r="K131" i="14"/>
  <c r="E131" i="14"/>
  <c r="F131" i="14"/>
  <c r="V131" i="14"/>
  <c r="N131" i="14"/>
  <c r="I131" i="14"/>
  <c r="O131" i="14"/>
  <c r="T131" i="14"/>
  <c r="C131" i="14"/>
  <c r="AH131" i="14"/>
  <c r="D131" i="14"/>
  <c r="S131" i="14"/>
  <c r="AD131" i="14"/>
  <c r="Z131" i="14"/>
  <c r="X131" i="14"/>
  <c r="M131" i="14"/>
  <c r="R131" i="14"/>
  <c r="Y131" i="14"/>
  <c r="AJ131" i="14"/>
  <c r="P131" i="14"/>
  <c r="U131" i="14"/>
  <c r="G131" i="14"/>
  <c r="AY132" i="6" l="1"/>
  <c r="BB132" i="6" s="1"/>
  <c r="B124" i="41"/>
  <c r="B125" i="6"/>
  <c r="H125" i="6"/>
  <c r="G125" i="6"/>
  <c r="D125" i="6"/>
  <c r="E125" i="6" s="1"/>
  <c r="F125" i="6"/>
  <c r="H124" i="41"/>
  <c r="C126" i="6"/>
  <c r="AV123" i="6"/>
  <c r="N123" i="6"/>
  <c r="C123" i="41"/>
  <c r="I123" i="41"/>
  <c r="AU124" i="6"/>
  <c r="I124" i="6"/>
  <c r="J124" i="6"/>
  <c r="V132" i="14"/>
  <c r="X132" i="14"/>
  <c r="M132" i="14"/>
  <c r="R132" i="14"/>
  <c r="T132" i="14"/>
  <c r="O132" i="14"/>
  <c r="U132" i="14"/>
  <c r="G132" i="14"/>
  <c r="S132" i="14"/>
  <c r="D132" i="14"/>
  <c r="L132" i="14"/>
  <c r="Y132" i="14"/>
  <c r="P132" i="14"/>
  <c r="AE132" i="14"/>
  <c r="AB132" i="14"/>
  <c r="AF132" i="14"/>
  <c r="H132" i="14"/>
  <c r="W132" i="14"/>
  <c r="K132" i="14"/>
  <c r="J132" i="14"/>
  <c r="AJ132" i="14"/>
  <c r="AG132" i="14"/>
  <c r="N132" i="14"/>
  <c r="I132" i="14"/>
  <c r="AC132" i="14"/>
  <c r="AI132" i="14"/>
  <c r="Q132" i="14"/>
  <c r="C132" i="14"/>
  <c r="AH132" i="14"/>
  <c r="F132" i="14"/>
  <c r="AA132" i="14"/>
  <c r="E132" i="14"/>
  <c r="AD132" i="14"/>
  <c r="Z132" i="14"/>
  <c r="G132" i="41"/>
  <c r="A133" i="14"/>
  <c r="A132" i="41"/>
  <c r="AD133" i="6"/>
  <c r="AH133" i="6"/>
  <c r="AF133" i="6"/>
  <c r="AE133" i="6"/>
  <c r="AG133" i="6"/>
  <c r="A134" i="6"/>
  <c r="Q134" i="6" s="1"/>
  <c r="AY133" i="6" l="1"/>
  <c r="BB133" i="6" s="1"/>
  <c r="B125" i="41"/>
  <c r="H126" i="6"/>
  <c r="F126" i="6"/>
  <c r="G126" i="6"/>
  <c r="D126" i="6"/>
  <c r="E126" i="6" s="1"/>
  <c r="B126" i="6"/>
  <c r="H125" i="41"/>
  <c r="C127" i="6"/>
  <c r="AV124" i="6"/>
  <c r="N124" i="6"/>
  <c r="C124" i="41"/>
  <c r="I124" i="41"/>
  <c r="AU125" i="6"/>
  <c r="J125" i="6"/>
  <c r="I125" i="6"/>
  <c r="AC133" i="14"/>
  <c r="AA133" i="14"/>
  <c r="Z133" i="14"/>
  <c r="D133" i="14"/>
  <c r="L133" i="14"/>
  <c r="F133" i="14"/>
  <c r="V133" i="14"/>
  <c r="R133" i="14"/>
  <c r="AE133" i="14"/>
  <c r="AB133" i="14"/>
  <c r="T133" i="14"/>
  <c r="G133" i="14"/>
  <c r="W133" i="14"/>
  <c r="K133" i="14"/>
  <c r="S133" i="14"/>
  <c r="AG133" i="14"/>
  <c r="N133" i="14"/>
  <c r="Y133" i="14"/>
  <c r="AJ133" i="14"/>
  <c r="H133" i="14"/>
  <c r="E133" i="14"/>
  <c r="AD133" i="14"/>
  <c r="AI133" i="14"/>
  <c r="I133" i="14"/>
  <c r="X133" i="14"/>
  <c r="M133" i="14"/>
  <c r="J133" i="14"/>
  <c r="C133" i="14"/>
  <c r="U133" i="14"/>
  <c r="AF133" i="14"/>
  <c r="P133" i="14"/>
  <c r="AH133" i="14"/>
  <c r="Q133" i="14"/>
  <c r="O133" i="14"/>
  <c r="A133" i="41"/>
  <c r="A134" i="14"/>
  <c r="G133" i="41"/>
  <c r="AD134" i="6"/>
  <c r="AH134" i="6"/>
  <c r="AG134" i="6"/>
  <c r="AF134" i="6"/>
  <c r="AE134" i="6"/>
  <c r="A135" i="6"/>
  <c r="AY134" i="6" l="1"/>
  <c r="BB134" i="6" s="1"/>
  <c r="B126" i="41"/>
  <c r="D127" i="6"/>
  <c r="E127" i="6" s="1"/>
  <c r="H127" i="6"/>
  <c r="G127" i="6"/>
  <c r="B127" i="6"/>
  <c r="F127" i="6"/>
  <c r="H126" i="41"/>
  <c r="C128" i="6"/>
  <c r="AV125" i="6"/>
  <c r="N125" i="6"/>
  <c r="C125" i="41"/>
  <c r="I125" i="41"/>
  <c r="AU126" i="6"/>
  <c r="J126" i="6"/>
  <c r="I126" i="6"/>
  <c r="J134" i="14"/>
  <c r="AJ134" i="14"/>
  <c r="U134" i="14"/>
  <c r="G134" i="14"/>
  <c r="W134" i="14"/>
  <c r="AC134" i="14"/>
  <c r="AF134" i="14"/>
  <c r="L134" i="14"/>
  <c r="AG134" i="14"/>
  <c r="N134" i="14"/>
  <c r="F134" i="14"/>
  <c r="AA134" i="14"/>
  <c r="AB134" i="14"/>
  <c r="Q134" i="14"/>
  <c r="C134" i="14"/>
  <c r="T134" i="14"/>
  <c r="K134" i="14"/>
  <c r="E134" i="14"/>
  <c r="AD134" i="14"/>
  <c r="V134" i="14"/>
  <c r="AH134" i="14"/>
  <c r="O134" i="14"/>
  <c r="Y134" i="14"/>
  <c r="P134" i="14"/>
  <c r="AI134" i="14"/>
  <c r="AE134" i="14"/>
  <c r="S134" i="14"/>
  <c r="M134" i="14"/>
  <c r="H134" i="14"/>
  <c r="I134" i="14"/>
  <c r="Z134" i="14"/>
  <c r="R134" i="14"/>
  <c r="X134" i="14"/>
  <c r="D134" i="14"/>
  <c r="G134" i="41"/>
  <c r="A134" i="41"/>
  <c r="A135" i="14"/>
  <c r="AD135" i="6"/>
  <c r="AH135" i="6"/>
  <c r="AG135" i="6"/>
  <c r="AF135" i="6"/>
  <c r="AE135" i="6"/>
  <c r="A136" i="6"/>
  <c r="AY135" i="6" l="1"/>
  <c r="BB135" i="6" s="1"/>
  <c r="B127" i="41"/>
  <c r="B128" i="6"/>
  <c r="G128" i="6"/>
  <c r="D128" i="6"/>
  <c r="E128" i="6" s="1"/>
  <c r="F128" i="6"/>
  <c r="H128" i="6"/>
  <c r="H127" i="41"/>
  <c r="C129" i="6"/>
  <c r="N126" i="6"/>
  <c r="AV126" i="6"/>
  <c r="AU127" i="6"/>
  <c r="J127" i="6"/>
  <c r="I127" i="6"/>
  <c r="C126" i="41"/>
  <c r="I126" i="41"/>
  <c r="Y135" i="14"/>
  <c r="AJ135" i="14"/>
  <c r="P135" i="14"/>
  <c r="J135" i="14"/>
  <c r="AF135" i="14"/>
  <c r="AC135" i="14"/>
  <c r="V135" i="14"/>
  <c r="H135" i="14"/>
  <c r="L135" i="14"/>
  <c r="AG135" i="14"/>
  <c r="AE135" i="14"/>
  <c r="AB135" i="14"/>
  <c r="Q135" i="14"/>
  <c r="W135" i="14"/>
  <c r="K135" i="14"/>
  <c r="E135" i="14"/>
  <c r="AI135" i="14"/>
  <c r="N135" i="14"/>
  <c r="I135" i="14"/>
  <c r="X135" i="14"/>
  <c r="F135" i="14"/>
  <c r="AA135" i="14"/>
  <c r="C135" i="14"/>
  <c r="AH135" i="14"/>
  <c r="O135" i="14"/>
  <c r="T135" i="14"/>
  <c r="AD135" i="14"/>
  <c r="Z135" i="14"/>
  <c r="D135" i="14"/>
  <c r="S135" i="14"/>
  <c r="M135" i="14"/>
  <c r="R135" i="14"/>
  <c r="U135" i="14"/>
  <c r="G135" i="14"/>
  <c r="G135" i="41"/>
  <c r="A135" i="41"/>
  <c r="A136" i="14"/>
  <c r="AD136" i="6"/>
  <c r="AH136" i="6"/>
  <c r="AG136" i="6"/>
  <c r="AF136" i="6"/>
  <c r="AE136" i="6"/>
  <c r="A137" i="6"/>
  <c r="AY136" i="6" l="1"/>
  <c r="BB136" i="6" s="1"/>
  <c r="B128" i="41"/>
  <c r="G129" i="6"/>
  <c r="F129" i="6"/>
  <c r="B129" i="6"/>
  <c r="H129" i="6"/>
  <c r="D129" i="6"/>
  <c r="E129" i="6" s="1"/>
  <c r="C130" i="6"/>
  <c r="H128" i="41"/>
  <c r="AU128" i="6"/>
  <c r="I128" i="6"/>
  <c r="J128" i="6"/>
  <c r="AV127" i="6"/>
  <c r="N127" i="6"/>
  <c r="C127" i="41"/>
  <c r="I127" i="41"/>
  <c r="T136" i="14"/>
  <c r="AE136" i="14"/>
  <c r="C136" i="14"/>
  <c r="Y136" i="14"/>
  <c r="P136" i="14"/>
  <c r="Q136" i="14"/>
  <c r="M136" i="14"/>
  <c r="AJ136" i="14"/>
  <c r="H136" i="14"/>
  <c r="E136" i="14"/>
  <c r="U136" i="14"/>
  <c r="J136" i="14"/>
  <c r="AF136" i="14"/>
  <c r="AB136" i="14"/>
  <c r="AD136" i="14"/>
  <c r="L136" i="14"/>
  <c r="AC136" i="14"/>
  <c r="AI136" i="14"/>
  <c r="AH136" i="14"/>
  <c r="O136" i="14"/>
  <c r="K136" i="14"/>
  <c r="F136" i="14"/>
  <c r="AA136" i="14"/>
  <c r="Z136" i="14"/>
  <c r="D136" i="14"/>
  <c r="I136" i="14"/>
  <c r="S136" i="14"/>
  <c r="AG136" i="14"/>
  <c r="W136" i="14"/>
  <c r="R136" i="14"/>
  <c r="V136" i="14"/>
  <c r="X136" i="14"/>
  <c r="N136" i="14"/>
  <c r="G136" i="14"/>
  <c r="A137" i="14"/>
  <c r="G136" i="41"/>
  <c r="A136" i="41"/>
  <c r="AD137" i="6"/>
  <c r="AH137" i="6"/>
  <c r="AE137" i="6"/>
  <c r="AG137" i="6"/>
  <c r="AF137" i="6"/>
  <c r="A138" i="6"/>
  <c r="AY137" i="6" l="1"/>
  <c r="BB137" i="6" s="1"/>
  <c r="B129" i="41"/>
  <c r="H130" i="6"/>
  <c r="F130" i="6"/>
  <c r="B130" i="6"/>
  <c r="G130" i="6"/>
  <c r="D130" i="6"/>
  <c r="E130" i="6" s="1"/>
  <c r="C131" i="6"/>
  <c r="H129" i="41"/>
  <c r="C128" i="41"/>
  <c r="I128" i="41"/>
  <c r="AU129" i="6"/>
  <c r="I129" i="6"/>
  <c r="J129" i="6"/>
  <c r="AV128" i="6"/>
  <c r="N128" i="6"/>
  <c r="A138" i="14"/>
  <c r="G137" i="41"/>
  <c r="A137" i="41"/>
  <c r="AD138" i="6"/>
  <c r="AH138" i="6"/>
  <c r="AF138" i="6"/>
  <c r="AE138" i="6"/>
  <c r="AG138" i="6"/>
  <c r="A139" i="6"/>
  <c r="F137" i="14"/>
  <c r="T137" i="14"/>
  <c r="C137" i="14"/>
  <c r="AH137" i="14"/>
  <c r="X137" i="14"/>
  <c r="S137" i="14"/>
  <c r="AD137" i="14"/>
  <c r="Z137" i="14"/>
  <c r="O137" i="14"/>
  <c r="M137" i="14"/>
  <c r="R137" i="14"/>
  <c r="Y137" i="14"/>
  <c r="AJ137" i="14"/>
  <c r="P137" i="14"/>
  <c r="U137" i="14"/>
  <c r="G137" i="14"/>
  <c r="AI137" i="14"/>
  <c r="H137" i="14"/>
  <c r="L137" i="14"/>
  <c r="AG137" i="14"/>
  <c r="AF137" i="14"/>
  <c r="AE137" i="14"/>
  <c r="AB137" i="14"/>
  <c r="Q137" i="14"/>
  <c r="J137" i="14"/>
  <c r="AA137" i="14"/>
  <c r="W137" i="14"/>
  <c r="K137" i="14"/>
  <c r="E137" i="14"/>
  <c r="V137" i="14"/>
  <c r="N137" i="14"/>
  <c r="I137" i="14"/>
  <c r="D137" i="14"/>
  <c r="AC137" i="14"/>
  <c r="AY138" i="6" l="1"/>
  <c r="BB138" i="6" s="1"/>
  <c r="B130" i="41"/>
  <c r="F131" i="6"/>
  <c r="B131" i="6"/>
  <c r="H131" i="6"/>
  <c r="G131" i="6"/>
  <c r="D131" i="6"/>
  <c r="E131" i="6" s="1"/>
  <c r="H130" i="41"/>
  <c r="C132" i="6"/>
  <c r="C129" i="41"/>
  <c r="I129" i="41"/>
  <c r="AV129" i="6"/>
  <c r="N129" i="6"/>
  <c r="AU130" i="6"/>
  <c r="J130" i="6"/>
  <c r="I130" i="6"/>
  <c r="AC138" i="14"/>
  <c r="AI138" i="14"/>
  <c r="AG138" i="14"/>
  <c r="N138" i="14"/>
  <c r="I138" i="14"/>
  <c r="F138" i="14"/>
  <c r="V138" i="14"/>
  <c r="Q138" i="14"/>
  <c r="C138" i="14"/>
  <c r="AH138" i="14"/>
  <c r="T138" i="14"/>
  <c r="E138" i="14"/>
  <c r="AD138" i="14"/>
  <c r="Z138" i="14"/>
  <c r="S138" i="14"/>
  <c r="X138" i="14"/>
  <c r="M138" i="14"/>
  <c r="R138" i="14"/>
  <c r="O138" i="14"/>
  <c r="U138" i="14"/>
  <c r="G138" i="14"/>
  <c r="Y138" i="14"/>
  <c r="AJ138" i="14"/>
  <c r="D138" i="14"/>
  <c r="L138" i="14"/>
  <c r="AF138" i="14"/>
  <c r="P138" i="14"/>
  <c r="AE138" i="14"/>
  <c r="AB138" i="14"/>
  <c r="H138" i="14"/>
  <c r="W138" i="14"/>
  <c r="K138" i="14"/>
  <c r="J138" i="14"/>
  <c r="AA138" i="14"/>
  <c r="G138" i="41"/>
  <c r="A138" i="41"/>
  <c r="A139" i="14"/>
  <c r="AD139" i="6"/>
  <c r="AH139" i="6"/>
  <c r="AG139" i="6"/>
  <c r="AF139" i="6"/>
  <c r="AE139" i="6"/>
  <c r="A140" i="6"/>
  <c r="AY139" i="6" l="1"/>
  <c r="BB139" i="6" s="1"/>
  <c r="AV130" i="6"/>
  <c r="N130" i="6"/>
  <c r="C130" i="41"/>
  <c r="I130" i="41"/>
  <c r="AU131" i="6"/>
  <c r="I131" i="6"/>
  <c r="J131" i="6"/>
  <c r="B131" i="41"/>
  <c r="H132" i="6"/>
  <c r="D132" i="6"/>
  <c r="E132" i="6" s="1"/>
  <c r="G132" i="6"/>
  <c r="F132" i="6"/>
  <c r="B132" i="6"/>
  <c r="C133" i="6"/>
  <c r="H131" i="41"/>
  <c r="G139" i="41"/>
  <c r="A140" i="14"/>
  <c r="A139" i="41"/>
  <c r="AD140" i="6"/>
  <c r="AH140" i="6"/>
  <c r="AG140" i="6"/>
  <c r="AF140" i="6"/>
  <c r="AE140" i="6"/>
  <c r="A141" i="6"/>
  <c r="Y139" i="14"/>
  <c r="P139" i="14"/>
  <c r="Q139" i="14"/>
  <c r="C139" i="14"/>
  <c r="AJ139" i="14"/>
  <c r="H139" i="14"/>
  <c r="E139" i="14"/>
  <c r="AD139" i="14"/>
  <c r="J139" i="14"/>
  <c r="AI139" i="14"/>
  <c r="I139" i="14"/>
  <c r="X139" i="14"/>
  <c r="M139" i="14"/>
  <c r="AC139" i="14"/>
  <c r="AA139" i="14"/>
  <c r="AH139" i="14"/>
  <c r="O139" i="14"/>
  <c r="U139" i="14"/>
  <c r="F139" i="14"/>
  <c r="AF139" i="14"/>
  <c r="Z139" i="14"/>
  <c r="D139" i="14"/>
  <c r="L139" i="14"/>
  <c r="V139" i="14"/>
  <c r="R139" i="14"/>
  <c r="AE139" i="14"/>
  <c r="K139" i="14"/>
  <c r="T139" i="14"/>
  <c r="G139" i="14"/>
  <c r="W139" i="14"/>
  <c r="AB139" i="14"/>
  <c r="S139" i="14"/>
  <c r="AG139" i="14"/>
  <c r="N139" i="14"/>
  <c r="AY140" i="6" l="1"/>
  <c r="BB140" i="6" s="1"/>
  <c r="AV131" i="6"/>
  <c r="N131" i="6"/>
  <c r="B132" i="41"/>
  <c r="F133" i="6"/>
  <c r="H133" i="6"/>
  <c r="G133" i="6"/>
  <c r="D133" i="6"/>
  <c r="E133" i="6" s="1"/>
  <c r="B133" i="6"/>
  <c r="C134" i="6"/>
  <c r="H132" i="41"/>
  <c r="C131" i="41"/>
  <c r="I131" i="41"/>
  <c r="AU132" i="6"/>
  <c r="I132" i="6"/>
  <c r="J132" i="6"/>
  <c r="F140" i="14"/>
  <c r="V140" i="14"/>
  <c r="K140" i="14"/>
  <c r="E140" i="14"/>
  <c r="AD140" i="14"/>
  <c r="T140" i="14"/>
  <c r="I140" i="14"/>
  <c r="X140" i="14"/>
  <c r="M140" i="14"/>
  <c r="S140" i="14"/>
  <c r="AH140" i="14"/>
  <c r="O140" i="14"/>
  <c r="P140" i="14"/>
  <c r="Z140" i="14"/>
  <c r="D140" i="14"/>
  <c r="Y140" i="14"/>
  <c r="AJ140" i="14"/>
  <c r="H140" i="14"/>
  <c r="R140" i="14"/>
  <c r="AE140" i="14"/>
  <c r="AF140" i="14"/>
  <c r="U140" i="14"/>
  <c r="G140" i="14"/>
  <c r="W140" i="14"/>
  <c r="J140" i="14"/>
  <c r="AI140" i="14"/>
  <c r="L140" i="14"/>
  <c r="AG140" i="14"/>
  <c r="N140" i="14"/>
  <c r="AB140" i="14"/>
  <c r="Q140" i="14"/>
  <c r="C140" i="14"/>
  <c r="AC140" i="14"/>
  <c r="AA140" i="14"/>
  <c r="A141" i="14"/>
  <c r="G140" i="41"/>
  <c r="A140" i="41"/>
  <c r="AD141" i="6"/>
  <c r="AH141" i="6"/>
  <c r="AE141" i="6"/>
  <c r="AG141" i="6"/>
  <c r="AF141" i="6"/>
  <c r="A142" i="6"/>
  <c r="AY141" i="6" l="1"/>
  <c r="BB141" i="6" s="1"/>
  <c r="C132" i="41"/>
  <c r="I132" i="41"/>
  <c r="AV132" i="6"/>
  <c r="N132" i="6"/>
  <c r="AU133" i="6"/>
  <c r="J133" i="6"/>
  <c r="I133" i="6"/>
  <c r="B133" i="41"/>
  <c r="F134" i="6"/>
  <c r="H134" i="6"/>
  <c r="B134" i="6"/>
  <c r="G134" i="6"/>
  <c r="D134" i="6"/>
  <c r="E134" i="6" s="1"/>
  <c r="H133" i="41"/>
  <c r="C135" i="6"/>
  <c r="AC141" i="14"/>
  <c r="V141" i="14"/>
  <c r="W141" i="14"/>
  <c r="K141" i="14"/>
  <c r="E141" i="14"/>
  <c r="F141" i="14"/>
  <c r="T141" i="14"/>
  <c r="N141" i="14"/>
  <c r="I141" i="14"/>
  <c r="O141" i="14"/>
  <c r="S141" i="14"/>
  <c r="C141" i="14"/>
  <c r="AH141" i="14"/>
  <c r="D141" i="14"/>
  <c r="AD141" i="14"/>
  <c r="Z141" i="14"/>
  <c r="X141" i="14"/>
  <c r="AJ141" i="14"/>
  <c r="M141" i="14"/>
  <c r="R141" i="14"/>
  <c r="Y141" i="14"/>
  <c r="AI141" i="14"/>
  <c r="P141" i="14"/>
  <c r="U141" i="14"/>
  <c r="G141" i="14"/>
  <c r="AF141" i="14"/>
  <c r="H141" i="14"/>
  <c r="L141" i="14"/>
  <c r="AG141" i="14"/>
  <c r="AB141" i="14"/>
  <c r="Q141" i="14"/>
  <c r="J141" i="14"/>
  <c r="AA141" i="14"/>
  <c r="AE141" i="14"/>
  <c r="A141" i="41"/>
  <c r="A142" i="14"/>
  <c r="G141" i="41"/>
  <c r="AD142" i="6"/>
  <c r="AF142" i="6"/>
  <c r="AE142" i="6"/>
  <c r="AH142" i="6"/>
  <c r="AG142" i="6"/>
  <c r="A143" i="6"/>
  <c r="AY142" i="6" l="1"/>
  <c r="BB142" i="6" s="1"/>
  <c r="C133" i="41"/>
  <c r="I133" i="41"/>
  <c r="AV133" i="6"/>
  <c r="N133" i="6"/>
  <c r="AU134" i="6"/>
  <c r="J134" i="6"/>
  <c r="I134" i="6"/>
  <c r="B134" i="41"/>
  <c r="D135" i="6"/>
  <c r="E135" i="6" s="1"/>
  <c r="H135" i="6"/>
  <c r="B135" i="6"/>
  <c r="F135" i="6"/>
  <c r="G135" i="6"/>
  <c r="C136" i="6"/>
  <c r="H134" i="41"/>
  <c r="AA142" i="14"/>
  <c r="P142" i="14"/>
  <c r="AE142" i="14"/>
  <c r="AB142" i="14"/>
  <c r="J142" i="14"/>
  <c r="AJ142" i="14"/>
  <c r="H142" i="14"/>
  <c r="W142" i="14"/>
  <c r="K142" i="14"/>
  <c r="AC142" i="14"/>
  <c r="AF142" i="14"/>
  <c r="AG142" i="14"/>
  <c r="N142" i="14"/>
  <c r="I142" i="14"/>
  <c r="F142" i="14"/>
  <c r="T142" i="14"/>
  <c r="Q142" i="14"/>
  <c r="C142" i="14"/>
  <c r="AH142" i="14"/>
  <c r="S142" i="14"/>
  <c r="E142" i="14"/>
  <c r="AD142" i="14"/>
  <c r="Z142" i="14"/>
  <c r="V142" i="14"/>
  <c r="X142" i="14"/>
  <c r="M142" i="14"/>
  <c r="R142" i="14"/>
  <c r="O142" i="14"/>
  <c r="U142" i="14"/>
  <c r="G142" i="14"/>
  <c r="L142" i="14"/>
  <c r="Y142" i="14"/>
  <c r="AI142" i="14"/>
  <c r="D142" i="14"/>
  <c r="A143" i="14"/>
  <c r="G142" i="41"/>
  <c r="A142" i="41"/>
  <c r="AD143" i="6"/>
  <c r="AH143" i="6"/>
  <c r="AG143" i="6"/>
  <c r="AF143" i="6"/>
  <c r="AE143" i="6"/>
  <c r="A144" i="6"/>
  <c r="AY143" i="6" l="1"/>
  <c r="BB143" i="6" s="1"/>
  <c r="B135" i="41"/>
  <c r="F136" i="6"/>
  <c r="H136" i="6"/>
  <c r="B136" i="6"/>
  <c r="G136" i="6"/>
  <c r="D136" i="6"/>
  <c r="E136" i="6" s="1"/>
  <c r="C137" i="6"/>
  <c r="H135" i="41"/>
  <c r="AV134" i="6"/>
  <c r="N134" i="6"/>
  <c r="AU135" i="6"/>
  <c r="I135" i="6"/>
  <c r="J135" i="6"/>
  <c r="C134" i="41"/>
  <c r="I134" i="41"/>
  <c r="V143" i="14"/>
  <c r="G143" i="14"/>
  <c r="W143" i="14"/>
  <c r="AB143" i="14"/>
  <c r="S143" i="14"/>
  <c r="AG143" i="14"/>
  <c r="N143" i="14"/>
  <c r="Y143" i="14"/>
  <c r="P143" i="14"/>
  <c r="Q143" i="14"/>
  <c r="C143" i="14"/>
  <c r="AJ143" i="14"/>
  <c r="H143" i="14"/>
  <c r="E143" i="14"/>
  <c r="AD143" i="14"/>
  <c r="J143" i="14"/>
  <c r="AI143" i="14"/>
  <c r="I143" i="14"/>
  <c r="X143" i="14"/>
  <c r="M143" i="14"/>
  <c r="AC143" i="14"/>
  <c r="AF143" i="14"/>
  <c r="AH143" i="14"/>
  <c r="O143" i="14"/>
  <c r="U143" i="14"/>
  <c r="F143" i="14"/>
  <c r="AA143" i="14"/>
  <c r="Z143" i="14"/>
  <c r="D143" i="14"/>
  <c r="L143" i="14"/>
  <c r="K143" i="14"/>
  <c r="T143" i="14"/>
  <c r="R143" i="14"/>
  <c r="AE143" i="14"/>
  <c r="A144" i="14"/>
  <c r="G143" i="41"/>
  <c r="A143" i="41"/>
  <c r="AD144" i="6"/>
  <c r="AH144" i="6"/>
  <c r="AG144" i="6"/>
  <c r="AF144" i="6"/>
  <c r="AE144" i="6"/>
  <c r="A145" i="6"/>
  <c r="AY144" i="6" l="1"/>
  <c r="BB144" i="6" s="1"/>
  <c r="AV135" i="6"/>
  <c r="N135" i="6"/>
  <c r="B136" i="41"/>
  <c r="G137" i="6"/>
  <c r="F137" i="6"/>
  <c r="D137" i="6"/>
  <c r="E137" i="6" s="1"/>
  <c r="B137" i="6"/>
  <c r="H137" i="6"/>
  <c r="C138" i="6"/>
  <c r="H136" i="41"/>
  <c r="C135" i="41"/>
  <c r="I135" i="41"/>
  <c r="AU136" i="6"/>
  <c r="I136" i="6"/>
  <c r="J136" i="6"/>
  <c r="AC144" i="14"/>
  <c r="S144" i="14"/>
  <c r="AB144" i="14"/>
  <c r="Q144" i="14"/>
  <c r="C144" i="14"/>
  <c r="F144" i="14"/>
  <c r="T144" i="14"/>
  <c r="K144" i="14"/>
  <c r="E144" i="14"/>
  <c r="AD144" i="14"/>
  <c r="V144" i="14"/>
  <c r="I144" i="14"/>
  <c r="X144" i="14"/>
  <c r="M144" i="14"/>
  <c r="AH144" i="14"/>
  <c r="O144" i="14"/>
  <c r="Y144" i="14"/>
  <c r="AJ144" i="14"/>
  <c r="P144" i="14"/>
  <c r="Z144" i="14"/>
  <c r="D144" i="14"/>
  <c r="AF144" i="14"/>
  <c r="H144" i="14"/>
  <c r="R144" i="14"/>
  <c r="AE144" i="14"/>
  <c r="AI144" i="14"/>
  <c r="U144" i="14"/>
  <c r="G144" i="14"/>
  <c r="W144" i="14"/>
  <c r="J144" i="14"/>
  <c r="AA144" i="14"/>
  <c r="L144" i="14"/>
  <c r="AG144" i="14"/>
  <c r="N144" i="14"/>
  <c r="A144" i="41"/>
  <c r="A145" i="14"/>
  <c r="G144" i="41"/>
  <c r="AD145" i="6"/>
  <c r="AH145" i="6"/>
  <c r="AG145" i="6"/>
  <c r="AF145" i="6"/>
  <c r="AE145" i="6"/>
  <c r="A146" i="6"/>
  <c r="AY145" i="6" l="1"/>
  <c r="BB145" i="6" s="1"/>
  <c r="B137" i="41"/>
  <c r="F138" i="6"/>
  <c r="H138" i="6"/>
  <c r="B138" i="6"/>
  <c r="G138" i="6"/>
  <c r="D138" i="6"/>
  <c r="E138" i="6" s="1"/>
  <c r="C139" i="6"/>
  <c r="H137" i="41"/>
  <c r="AU137" i="6"/>
  <c r="I137" i="6"/>
  <c r="J137" i="6"/>
  <c r="AV136" i="6"/>
  <c r="N136" i="6"/>
  <c r="C136" i="41"/>
  <c r="I136" i="41"/>
  <c r="G145" i="41"/>
  <c r="A145" i="41"/>
  <c r="A146" i="14"/>
  <c r="AD146" i="6"/>
  <c r="AH146" i="6"/>
  <c r="AE146" i="6"/>
  <c r="AG146" i="6"/>
  <c r="AF146" i="6"/>
  <c r="A147" i="6"/>
  <c r="J145" i="14"/>
  <c r="AF145" i="14"/>
  <c r="W145" i="14"/>
  <c r="K145" i="14"/>
  <c r="E145" i="14"/>
  <c r="AC145" i="14"/>
  <c r="AA145" i="14"/>
  <c r="N145" i="14"/>
  <c r="I145" i="14"/>
  <c r="X145" i="14"/>
  <c r="F145" i="14"/>
  <c r="V145" i="14"/>
  <c r="C145" i="14"/>
  <c r="AH145" i="14"/>
  <c r="O145" i="14"/>
  <c r="T145" i="14"/>
  <c r="AD145" i="14"/>
  <c r="Z145" i="14"/>
  <c r="D145" i="14"/>
  <c r="S145" i="14"/>
  <c r="M145" i="14"/>
  <c r="R145" i="14"/>
  <c r="P145" i="14"/>
  <c r="U145" i="14"/>
  <c r="G145" i="14"/>
  <c r="Y145" i="14"/>
  <c r="AJ145" i="14"/>
  <c r="H145" i="14"/>
  <c r="L145" i="14"/>
  <c r="AG145" i="14"/>
  <c r="AI145" i="14"/>
  <c r="AE145" i="14"/>
  <c r="AB145" i="14"/>
  <c r="Q145" i="14"/>
  <c r="AY146" i="6" l="1"/>
  <c r="BB146" i="6" s="1"/>
  <c r="C137" i="41"/>
  <c r="I137" i="41"/>
  <c r="AV137" i="6"/>
  <c r="N137" i="6"/>
  <c r="AU138" i="6"/>
  <c r="J138" i="6"/>
  <c r="I138" i="6"/>
  <c r="B138" i="41"/>
  <c r="F139" i="6"/>
  <c r="H139" i="6"/>
  <c r="B139" i="6"/>
  <c r="G139" i="6"/>
  <c r="D139" i="6"/>
  <c r="E139" i="6" s="1"/>
  <c r="C140" i="6"/>
  <c r="H138" i="41"/>
  <c r="G146" i="41"/>
  <c r="A147" i="14"/>
  <c r="A146" i="41"/>
  <c r="AD147" i="6"/>
  <c r="AH147" i="6"/>
  <c r="AF147" i="6"/>
  <c r="AE147" i="6"/>
  <c r="AG147" i="6"/>
  <c r="A148" i="6"/>
  <c r="Y146" i="14"/>
  <c r="AJ146" i="14"/>
  <c r="P146" i="14"/>
  <c r="AE146" i="14"/>
  <c r="AB146" i="14"/>
  <c r="AI146" i="14"/>
  <c r="H146" i="14"/>
  <c r="W146" i="14"/>
  <c r="K146" i="14"/>
  <c r="J146" i="14"/>
  <c r="AF146" i="14"/>
  <c r="AG146" i="14"/>
  <c r="N146" i="14"/>
  <c r="I146" i="14"/>
  <c r="AC146" i="14"/>
  <c r="AA146" i="14"/>
  <c r="Q146" i="14"/>
  <c r="C146" i="14"/>
  <c r="AH146" i="14"/>
  <c r="F146" i="14"/>
  <c r="V146" i="14"/>
  <c r="E146" i="14"/>
  <c r="AD146" i="14"/>
  <c r="Z146" i="14"/>
  <c r="T146" i="14"/>
  <c r="X146" i="14"/>
  <c r="M146" i="14"/>
  <c r="R146" i="14"/>
  <c r="S146" i="14"/>
  <c r="O146" i="14"/>
  <c r="U146" i="14"/>
  <c r="G146" i="14"/>
  <c r="D146" i="14"/>
  <c r="L146" i="14"/>
  <c r="AY147" i="6" l="1"/>
  <c r="BB147" i="6" s="1"/>
  <c r="C138" i="41"/>
  <c r="I138" i="41"/>
  <c r="AV138" i="6"/>
  <c r="N138" i="6"/>
  <c r="AU139" i="6"/>
  <c r="J139" i="6"/>
  <c r="I139" i="6"/>
  <c r="B139" i="41"/>
  <c r="D140" i="6"/>
  <c r="E140" i="6" s="1"/>
  <c r="B140" i="6"/>
  <c r="H140" i="6"/>
  <c r="F140" i="6"/>
  <c r="G140" i="6"/>
  <c r="C141" i="6"/>
  <c r="H139" i="41"/>
  <c r="A148" i="14"/>
  <c r="G147" i="41"/>
  <c r="A147" i="41"/>
  <c r="AD148" i="6"/>
  <c r="AH148" i="6"/>
  <c r="AF148" i="6"/>
  <c r="AE148" i="6"/>
  <c r="AG148" i="6"/>
  <c r="A149" i="6"/>
  <c r="F147" i="14"/>
  <c r="T147" i="14"/>
  <c r="R147" i="14"/>
  <c r="AE147" i="14"/>
  <c r="AB147" i="14"/>
  <c r="S147" i="14"/>
  <c r="G147" i="14"/>
  <c r="W147" i="14"/>
  <c r="K147" i="14"/>
  <c r="AG147" i="14"/>
  <c r="N147" i="14"/>
  <c r="AJ147" i="14"/>
  <c r="P147" i="14"/>
  <c r="Q147" i="14"/>
  <c r="C147" i="14"/>
  <c r="Y147" i="14"/>
  <c r="AI147" i="14"/>
  <c r="H147" i="14"/>
  <c r="E147" i="14"/>
  <c r="AD147" i="14"/>
  <c r="AA147" i="14"/>
  <c r="I147" i="14"/>
  <c r="X147" i="14"/>
  <c r="M147" i="14"/>
  <c r="J147" i="14"/>
  <c r="AF147" i="14"/>
  <c r="AH147" i="14"/>
  <c r="O147" i="14"/>
  <c r="U147" i="14"/>
  <c r="V147" i="14"/>
  <c r="Z147" i="14"/>
  <c r="D147" i="14"/>
  <c r="L147" i="14"/>
  <c r="AC147" i="14"/>
  <c r="AY148" i="6" l="1"/>
  <c r="BB148" i="6" s="1"/>
  <c r="AU140" i="6"/>
  <c r="I140" i="6"/>
  <c r="J140" i="6"/>
  <c r="C139" i="41"/>
  <c r="I139" i="41"/>
  <c r="AV139" i="6"/>
  <c r="N139" i="6"/>
  <c r="B140" i="41"/>
  <c r="F141" i="6"/>
  <c r="H141" i="6"/>
  <c r="B141" i="6"/>
  <c r="G141" i="6"/>
  <c r="D141" i="6"/>
  <c r="E141" i="6" s="1"/>
  <c r="C142" i="6"/>
  <c r="H140" i="41"/>
  <c r="G148" i="41"/>
  <c r="A148" i="41"/>
  <c r="A149" i="14"/>
  <c r="AD149" i="6"/>
  <c r="AH149" i="6"/>
  <c r="AG149" i="6"/>
  <c r="AF149" i="6"/>
  <c r="AE149" i="6"/>
  <c r="A150" i="6"/>
  <c r="AC148" i="14"/>
  <c r="T148" i="14"/>
  <c r="K148" i="14"/>
  <c r="E148" i="14"/>
  <c r="AD148" i="14"/>
  <c r="F148" i="14"/>
  <c r="S148" i="14"/>
  <c r="I148" i="14"/>
  <c r="X148" i="14"/>
  <c r="M148" i="14"/>
  <c r="AH148" i="14"/>
  <c r="O148" i="14"/>
  <c r="AF148" i="14"/>
  <c r="P148" i="14"/>
  <c r="Z148" i="14"/>
  <c r="D148" i="14"/>
  <c r="AJ148" i="14"/>
  <c r="H148" i="14"/>
  <c r="R148" i="14"/>
  <c r="AE148" i="14"/>
  <c r="Y148" i="14"/>
  <c r="AI148" i="14"/>
  <c r="U148" i="14"/>
  <c r="G148" i="14"/>
  <c r="W148" i="14"/>
  <c r="AA148" i="14"/>
  <c r="L148" i="14"/>
  <c r="AG148" i="14"/>
  <c r="N148" i="14"/>
  <c r="AB148" i="14"/>
  <c r="Q148" i="14"/>
  <c r="C148" i="14"/>
  <c r="J148" i="14"/>
  <c r="V148" i="14"/>
  <c r="AY149" i="6" l="1"/>
  <c r="BB149" i="6" s="1"/>
  <c r="C140" i="41"/>
  <c r="I140" i="41"/>
  <c r="AU141" i="6"/>
  <c r="I141" i="6"/>
  <c r="J141" i="6"/>
  <c r="AV140" i="6"/>
  <c r="N140" i="6"/>
  <c r="B141" i="41"/>
  <c r="D142" i="6"/>
  <c r="E142" i="6" s="1"/>
  <c r="F142" i="6"/>
  <c r="H142" i="6"/>
  <c r="B142" i="6"/>
  <c r="G142" i="6"/>
  <c r="H141" i="41"/>
  <c r="C143" i="6"/>
  <c r="J149" i="14"/>
  <c r="AF149" i="14"/>
  <c r="H149" i="14"/>
  <c r="L149" i="14"/>
  <c r="AG149" i="14"/>
  <c r="AC149" i="14"/>
  <c r="AA149" i="14"/>
  <c r="AE149" i="14"/>
  <c r="AB149" i="14"/>
  <c r="Q149" i="14"/>
  <c r="F149" i="14"/>
  <c r="V149" i="14"/>
  <c r="W149" i="14"/>
  <c r="K149" i="14"/>
  <c r="E149" i="14"/>
  <c r="T149" i="14"/>
  <c r="N149" i="14"/>
  <c r="I149" i="14"/>
  <c r="X149" i="14"/>
  <c r="S149" i="14"/>
  <c r="C149" i="14"/>
  <c r="AH149" i="14"/>
  <c r="O149" i="14"/>
  <c r="AD149" i="14"/>
  <c r="Z149" i="14"/>
  <c r="D149" i="14"/>
  <c r="Y149" i="14"/>
  <c r="AJ149" i="14"/>
  <c r="M149" i="14"/>
  <c r="R149" i="14"/>
  <c r="P149" i="14"/>
  <c r="U149" i="14"/>
  <c r="G149" i="14"/>
  <c r="AI149" i="14"/>
  <c r="A150" i="14"/>
  <c r="G149" i="41"/>
  <c r="A149" i="41"/>
  <c r="AD150" i="6"/>
  <c r="AH150" i="6"/>
  <c r="AG150" i="6"/>
  <c r="AF150" i="6"/>
  <c r="AE150" i="6"/>
  <c r="A151" i="6"/>
  <c r="AY150" i="6" l="1"/>
  <c r="BB150" i="6" s="1"/>
  <c r="AU142" i="6"/>
  <c r="J142" i="6"/>
  <c r="I142" i="6"/>
  <c r="AV141" i="6"/>
  <c r="N141" i="6"/>
  <c r="C141" i="41"/>
  <c r="I141" i="41"/>
  <c r="B142" i="41"/>
  <c r="D143" i="6"/>
  <c r="E143" i="6" s="1"/>
  <c r="B143" i="6"/>
  <c r="F143" i="6"/>
  <c r="G143" i="6"/>
  <c r="H143" i="6"/>
  <c r="H142" i="41"/>
  <c r="C144" i="6"/>
  <c r="O150" i="14"/>
  <c r="U150" i="14"/>
  <c r="G150" i="14"/>
  <c r="Y150" i="14"/>
  <c r="AJ150" i="14"/>
  <c r="D150" i="14"/>
  <c r="L150" i="14"/>
  <c r="AI150" i="14"/>
  <c r="P150" i="14"/>
  <c r="AE150" i="14"/>
  <c r="AB150" i="14"/>
  <c r="J150" i="14"/>
  <c r="AF150" i="14"/>
  <c r="H150" i="14"/>
  <c r="W150" i="14"/>
  <c r="K150" i="14"/>
  <c r="AC150" i="14"/>
  <c r="AA150" i="14"/>
  <c r="AG150" i="14"/>
  <c r="N150" i="14"/>
  <c r="I150" i="14"/>
  <c r="F150" i="14"/>
  <c r="T150" i="14"/>
  <c r="Q150" i="14"/>
  <c r="C150" i="14"/>
  <c r="AH150" i="14"/>
  <c r="S150" i="14"/>
  <c r="E150" i="14"/>
  <c r="AD150" i="14"/>
  <c r="Z150" i="14"/>
  <c r="X150" i="14"/>
  <c r="M150" i="14"/>
  <c r="R150" i="14"/>
  <c r="V150" i="14"/>
  <c r="A151" i="14"/>
  <c r="G150" i="41"/>
  <c r="A150" i="41"/>
  <c r="AD151" i="6"/>
  <c r="AH151" i="6"/>
  <c r="AG151" i="6"/>
  <c r="AF151" i="6"/>
  <c r="AE151" i="6"/>
  <c r="A152" i="6"/>
  <c r="AY151" i="6" l="1"/>
  <c r="BB151" i="6" s="1"/>
  <c r="AU143" i="6"/>
  <c r="J143" i="6"/>
  <c r="I143" i="6"/>
  <c r="C142" i="41"/>
  <c r="I142" i="41"/>
  <c r="AV142" i="6"/>
  <c r="N142" i="6"/>
  <c r="B143" i="41"/>
  <c r="D144" i="6"/>
  <c r="E144" i="6" s="1"/>
  <c r="B144" i="6"/>
  <c r="H144" i="6"/>
  <c r="F144" i="6"/>
  <c r="G144" i="6"/>
  <c r="H143" i="41"/>
  <c r="C145" i="6"/>
  <c r="F151" i="14"/>
  <c r="T151" i="14"/>
  <c r="R151" i="14"/>
  <c r="AE151" i="14"/>
  <c r="AB151" i="14"/>
  <c r="V151" i="14"/>
  <c r="G151" i="14"/>
  <c r="W151" i="14"/>
  <c r="K151" i="14"/>
  <c r="S151" i="14"/>
  <c r="AG151" i="14"/>
  <c r="N151" i="14"/>
  <c r="P151" i="14"/>
  <c r="Q151" i="14"/>
  <c r="C151" i="14"/>
  <c r="Y151" i="14"/>
  <c r="AJ151" i="14"/>
  <c r="H151" i="14"/>
  <c r="E151" i="14"/>
  <c r="AD151" i="14"/>
  <c r="AI151" i="14"/>
  <c r="I151" i="14"/>
  <c r="X151" i="14"/>
  <c r="M151" i="14"/>
  <c r="J151" i="14"/>
  <c r="AF151" i="14"/>
  <c r="AH151" i="14"/>
  <c r="O151" i="14"/>
  <c r="U151" i="14"/>
  <c r="AA151" i="14"/>
  <c r="Z151" i="14"/>
  <c r="D151" i="14"/>
  <c r="L151" i="14"/>
  <c r="AC151" i="14"/>
  <c r="G151" i="41"/>
  <c r="A151" i="41"/>
  <c r="A152" i="14"/>
  <c r="AD152" i="6"/>
  <c r="AH152" i="6"/>
  <c r="AG152" i="6"/>
  <c r="AE152" i="6"/>
  <c r="AF152" i="6"/>
  <c r="A153" i="6"/>
  <c r="AY152" i="6" l="1"/>
  <c r="BB152" i="6" s="1"/>
  <c r="AU144" i="6"/>
  <c r="J144" i="6"/>
  <c r="I144" i="6"/>
  <c r="C143" i="41"/>
  <c r="I143" i="41"/>
  <c r="B144" i="41"/>
  <c r="H145" i="6"/>
  <c r="F145" i="6"/>
  <c r="B145" i="6"/>
  <c r="D145" i="6"/>
  <c r="E145" i="6" s="1"/>
  <c r="G145" i="6"/>
  <c r="C146" i="6"/>
  <c r="H144" i="41"/>
  <c r="AV143" i="6"/>
  <c r="N143" i="6"/>
  <c r="J152" i="14"/>
  <c r="AF152" i="14"/>
  <c r="U152" i="14"/>
  <c r="G152" i="14"/>
  <c r="W152" i="14"/>
  <c r="AC152" i="14"/>
  <c r="AI152" i="14"/>
  <c r="L152" i="14"/>
  <c r="AG152" i="14"/>
  <c r="N152" i="14"/>
  <c r="F152" i="14"/>
  <c r="AA152" i="14"/>
  <c r="AB152" i="14"/>
  <c r="Q152" i="14"/>
  <c r="C152" i="14"/>
  <c r="S152" i="14"/>
  <c r="K152" i="14"/>
  <c r="E152" i="14"/>
  <c r="AD152" i="14"/>
  <c r="V152" i="14"/>
  <c r="I152" i="14"/>
  <c r="X152" i="14"/>
  <c r="M152" i="14"/>
  <c r="T152" i="14"/>
  <c r="AH152" i="14"/>
  <c r="O152" i="14"/>
  <c r="Y152" i="14"/>
  <c r="P152" i="14"/>
  <c r="Z152" i="14"/>
  <c r="D152" i="14"/>
  <c r="H152" i="14"/>
  <c r="R152" i="14"/>
  <c r="AE152" i="14"/>
  <c r="AJ152" i="14"/>
  <c r="G152" i="41"/>
  <c r="A152" i="41"/>
  <c r="A153" i="14"/>
  <c r="AD153" i="6"/>
  <c r="AF153" i="6"/>
  <c r="AE153" i="6"/>
  <c r="AH153" i="6"/>
  <c r="AG153" i="6"/>
  <c r="A154" i="6"/>
  <c r="AY153" i="6" l="1"/>
  <c r="BB153" i="6" s="1"/>
  <c r="AU145" i="6"/>
  <c r="J145" i="6"/>
  <c r="I145" i="6"/>
  <c r="B145" i="41"/>
  <c r="G146" i="6"/>
  <c r="H146" i="6"/>
  <c r="D146" i="6"/>
  <c r="E146" i="6" s="1"/>
  <c r="F146" i="6"/>
  <c r="B146" i="6"/>
  <c r="H145" i="41"/>
  <c r="C147" i="6"/>
  <c r="C144" i="41"/>
  <c r="I144" i="41"/>
  <c r="AV144" i="6"/>
  <c r="N144" i="6"/>
  <c r="Y153" i="14"/>
  <c r="P153" i="14"/>
  <c r="U153" i="14"/>
  <c r="G153" i="14"/>
  <c r="AJ153" i="14"/>
  <c r="H153" i="14"/>
  <c r="L153" i="14"/>
  <c r="AG153" i="14"/>
  <c r="J153" i="14"/>
  <c r="AI153" i="14"/>
  <c r="AE153" i="14"/>
  <c r="AB153" i="14"/>
  <c r="Q153" i="14"/>
  <c r="AC153" i="14"/>
  <c r="AA153" i="14"/>
  <c r="W153" i="14"/>
  <c r="K153" i="14"/>
  <c r="E153" i="14"/>
  <c r="F153" i="14"/>
  <c r="AF153" i="14"/>
  <c r="N153" i="14"/>
  <c r="I153" i="14"/>
  <c r="X153" i="14"/>
  <c r="V153" i="14"/>
  <c r="C153" i="14"/>
  <c r="AH153" i="14"/>
  <c r="O153" i="14"/>
  <c r="T153" i="14"/>
  <c r="AD153" i="14"/>
  <c r="Z153" i="14"/>
  <c r="D153" i="14"/>
  <c r="M153" i="14"/>
  <c r="R153" i="14"/>
  <c r="S153" i="14"/>
  <c r="A154" i="14"/>
  <c r="G153" i="41"/>
  <c r="A153" i="41"/>
  <c r="AD154" i="6"/>
  <c r="AH154" i="6"/>
  <c r="AF154" i="6"/>
  <c r="AE154" i="6"/>
  <c r="AG154" i="6"/>
  <c r="A155" i="6"/>
  <c r="AY154" i="6" l="1"/>
  <c r="BB154" i="6" s="1"/>
  <c r="AU146" i="6"/>
  <c r="J146" i="6"/>
  <c r="I146" i="6"/>
  <c r="C145" i="41"/>
  <c r="I145" i="41"/>
  <c r="B146" i="41"/>
  <c r="G147" i="6"/>
  <c r="F147" i="6"/>
  <c r="D147" i="6"/>
  <c r="E147" i="6" s="1"/>
  <c r="B147" i="6"/>
  <c r="H147" i="6"/>
  <c r="H146" i="41"/>
  <c r="C148" i="6"/>
  <c r="AV145" i="6"/>
  <c r="N145" i="6"/>
  <c r="T154" i="14"/>
  <c r="O154" i="14"/>
  <c r="U154" i="14"/>
  <c r="R154" i="14"/>
  <c r="S154" i="14"/>
  <c r="D154" i="14"/>
  <c r="L154" i="14"/>
  <c r="Y154" i="14"/>
  <c r="P154" i="14"/>
  <c r="AE154" i="14"/>
  <c r="AB154" i="14"/>
  <c r="AJ154" i="14"/>
  <c r="H154" i="14"/>
  <c r="W154" i="14"/>
  <c r="K154" i="14"/>
  <c r="J154" i="14"/>
  <c r="AF154" i="14"/>
  <c r="AG154" i="14"/>
  <c r="N154" i="14"/>
  <c r="I154" i="14"/>
  <c r="AC154" i="14"/>
  <c r="AA154" i="14"/>
  <c r="Q154" i="14"/>
  <c r="C154" i="14"/>
  <c r="G154" i="14"/>
  <c r="F154" i="14"/>
  <c r="AI154" i="14"/>
  <c r="E154" i="14"/>
  <c r="AD154" i="14"/>
  <c r="AH154" i="14"/>
  <c r="M154" i="14"/>
  <c r="Z154" i="14"/>
  <c r="V154" i="14"/>
  <c r="X154" i="14"/>
  <c r="A155" i="14"/>
  <c r="G154" i="41"/>
  <c r="A154" i="41"/>
  <c r="AH155" i="6"/>
  <c r="AD155" i="6"/>
  <c r="AG155" i="6"/>
  <c r="AF155" i="6"/>
  <c r="AE155" i="6"/>
  <c r="A156" i="6"/>
  <c r="AY155" i="6" l="1"/>
  <c r="BB155" i="6" s="1"/>
  <c r="B147" i="41"/>
  <c r="H148" i="6"/>
  <c r="G148" i="6"/>
  <c r="B148" i="6"/>
  <c r="D148" i="6"/>
  <c r="E148" i="6" s="1"/>
  <c r="F148" i="6"/>
  <c r="C149" i="6"/>
  <c r="H147" i="41"/>
  <c r="AU147" i="6"/>
  <c r="I147" i="6"/>
  <c r="J147" i="6"/>
  <c r="AV146" i="6"/>
  <c r="N146" i="6"/>
  <c r="C146" i="41"/>
  <c r="I146" i="41"/>
  <c r="AC155" i="14"/>
  <c r="AF155" i="14"/>
  <c r="AH155" i="14"/>
  <c r="O155" i="14"/>
  <c r="U155" i="14"/>
  <c r="F155" i="14"/>
  <c r="AA155" i="14"/>
  <c r="Z155" i="14"/>
  <c r="D155" i="14"/>
  <c r="L155" i="14"/>
  <c r="V155" i="14"/>
  <c r="R155" i="14"/>
  <c r="AE155" i="14"/>
  <c r="AB155" i="14"/>
  <c r="T155" i="14"/>
  <c r="G155" i="14"/>
  <c r="W155" i="14"/>
  <c r="K155" i="14"/>
  <c r="Y155" i="14"/>
  <c r="S155" i="14"/>
  <c r="AG155" i="14"/>
  <c r="N155" i="14"/>
  <c r="P155" i="14"/>
  <c r="Q155" i="14"/>
  <c r="C155" i="14"/>
  <c r="AJ155" i="14"/>
  <c r="H155" i="14"/>
  <c r="E155" i="14"/>
  <c r="AD155" i="14"/>
  <c r="X155" i="14"/>
  <c r="M155" i="14"/>
  <c r="J155" i="14"/>
  <c r="AI155" i="14"/>
  <c r="I155" i="14"/>
  <c r="A155" i="41"/>
  <c r="A156" i="14"/>
  <c r="G155" i="41"/>
  <c r="AD156" i="6"/>
  <c r="AH156" i="6"/>
  <c r="AG156" i="6"/>
  <c r="AF156" i="6"/>
  <c r="AE156" i="6"/>
  <c r="A157" i="6"/>
  <c r="AY156" i="6" l="1"/>
  <c r="BB156" i="6" s="1"/>
  <c r="B148" i="41"/>
  <c r="D149" i="6"/>
  <c r="E149" i="6" s="1"/>
  <c r="F149" i="6"/>
  <c r="G149" i="6"/>
  <c r="H149" i="6"/>
  <c r="B149" i="6"/>
  <c r="C150" i="6"/>
  <c r="H148" i="41"/>
  <c r="C147" i="41"/>
  <c r="I147" i="41"/>
  <c r="AV147" i="6"/>
  <c r="N147" i="6"/>
  <c r="AU148" i="6"/>
  <c r="I148" i="6"/>
  <c r="J148" i="6"/>
  <c r="S156" i="14"/>
  <c r="AH156" i="14"/>
  <c r="O156" i="14"/>
  <c r="Y156" i="14"/>
  <c r="P156" i="14"/>
  <c r="Z156" i="14"/>
  <c r="D156" i="14"/>
  <c r="AF156" i="14"/>
  <c r="H156" i="14"/>
  <c r="R156" i="14"/>
  <c r="AE156" i="14"/>
  <c r="AC156" i="14"/>
  <c r="AI156" i="14"/>
  <c r="L156" i="14"/>
  <c r="AG156" i="14"/>
  <c r="N156" i="14"/>
  <c r="F156" i="14"/>
  <c r="AA156" i="14"/>
  <c r="AB156" i="14"/>
  <c r="Q156" i="14"/>
  <c r="C156" i="14"/>
  <c r="V156" i="14"/>
  <c r="K156" i="14"/>
  <c r="E156" i="14"/>
  <c r="M156" i="14"/>
  <c r="AJ156" i="14"/>
  <c r="T156" i="14"/>
  <c r="U156" i="14"/>
  <c r="J156" i="14"/>
  <c r="I156" i="14"/>
  <c r="G156" i="14"/>
  <c r="X156" i="14"/>
  <c r="W156" i="14"/>
  <c r="AD156" i="14"/>
  <c r="G156" i="41"/>
  <c r="A157" i="14"/>
  <c r="A156" i="41"/>
  <c r="AD157" i="6"/>
  <c r="AH157" i="6"/>
  <c r="AG157" i="6"/>
  <c r="AF157" i="6"/>
  <c r="AE157" i="6"/>
  <c r="A158" i="6"/>
  <c r="AY157" i="6" l="1"/>
  <c r="BB157" i="6" s="1"/>
  <c r="B149" i="41"/>
  <c r="F150" i="6"/>
  <c r="B150" i="6"/>
  <c r="H150" i="6"/>
  <c r="G150" i="6"/>
  <c r="D150" i="6"/>
  <c r="E150" i="6" s="1"/>
  <c r="C151" i="6"/>
  <c r="H149" i="41"/>
  <c r="AU149" i="6"/>
  <c r="J149" i="6"/>
  <c r="I149" i="6"/>
  <c r="C148" i="41"/>
  <c r="I148" i="41"/>
  <c r="AV148" i="6"/>
  <c r="N148" i="6"/>
  <c r="S157" i="14"/>
  <c r="AD157" i="14"/>
  <c r="Z157" i="14"/>
  <c r="D157" i="14"/>
  <c r="M157" i="14"/>
  <c r="R157" i="14"/>
  <c r="AJ157" i="14"/>
  <c r="P157" i="14"/>
  <c r="U157" i="14"/>
  <c r="G157" i="14"/>
  <c r="AF157" i="14"/>
  <c r="AE157" i="14"/>
  <c r="AB157" i="14"/>
  <c r="Q157" i="14"/>
  <c r="J157" i="14"/>
  <c r="AA157" i="14"/>
  <c r="W157" i="14"/>
  <c r="K157" i="14"/>
  <c r="E157" i="14"/>
  <c r="AC157" i="14"/>
  <c r="V157" i="14"/>
  <c r="N157" i="14"/>
  <c r="I157" i="14"/>
  <c r="X157" i="14"/>
  <c r="Y157" i="14"/>
  <c r="C157" i="14"/>
  <c r="F157" i="14"/>
  <c r="L157" i="14"/>
  <c r="AH157" i="14"/>
  <c r="AG157" i="14"/>
  <c r="AI157" i="14"/>
  <c r="O157" i="14"/>
  <c r="T157" i="14"/>
  <c r="H157" i="14"/>
  <c r="G157" i="41"/>
  <c r="A157" i="41"/>
  <c r="A158" i="14"/>
  <c r="AD158" i="6"/>
  <c r="AH158" i="6"/>
  <c r="AE158" i="6"/>
  <c r="AF158" i="6"/>
  <c r="AG158" i="6"/>
  <c r="A159" i="6"/>
  <c r="AY158" i="6" l="1"/>
  <c r="BB158" i="6" s="1"/>
  <c r="C149" i="41"/>
  <c r="I149" i="41"/>
  <c r="AU150" i="6"/>
  <c r="I150" i="6"/>
  <c r="J150" i="6"/>
  <c r="AV149" i="6"/>
  <c r="N149" i="6"/>
  <c r="B150" i="41"/>
  <c r="F151" i="6"/>
  <c r="D151" i="6"/>
  <c r="E151" i="6" s="1"/>
  <c r="H151" i="6"/>
  <c r="G151" i="6"/>
  <c r="B151" i="6"/>
  <c r="C152" i="6"/>
  <c r="H150" i="41"/>
  <c r="F158" i="14"/>
  <c r="T158" i="14"/>
  <c r="Q158" i="14"/>
  <c r="C158" i="14"/>
  <c r="R158" i="14"/>
  <c r="S158" i="14"/>
  <c r="E158" i="14"/>
  <c r="AD158" i="14"/>
  <c r="G158" i="14"/>
  <c r="V158" i="14"/>
  <c r="X158" i="14"/>
  <c r="M158" i="14"/>
  <c r="AH158" i="14"/>
  <c r="Y158" i="14"/>
  <c r="AI158" i="14"/>
  <c r="D158" i="14"/>
  <c r="L158" i="14"/>
  <c r="AJ158" i="14"/>
  <c r="P158" i="14"/>
  <c r="AE158" i="14"/>
  <c r="AB158" i="14"/>
  <c r="J158" i="14"/>
  <c r="AA158" i="14"/>
  <c r="H158" i="14"/>
  <c r="W158" i="14"/>
  <c r="K158" i="14"/>
  <c r="I158" i="14"/>
  <c r="Z158" i="14"/>
  <c r="AF158" i="14"/>
  <c r="AG158" i="14"/>
  <c r="O158" i="14"/>
  <c r="AC158" i="14"/>
  <c r="N158" i="14"/>
  <c r="U158" i="14"/>
  <c r="A158" i="41"/>
  <c r="A159" i="14"/>
  <c r="G158" i="41"/>
  <c r="AD159" i="6"/>
  <c r="AH159" i="6"/>
  <c r="AF159" i="6"/>
  <c r="AE159" i="6"/>
  <c r="AG159" i="6"/>
  <c r="A160" i="6"/>
  <c r="AY159" i="6" l="1"/>
  <c r="BB159" i="6" s="1"/>
  <c r="AU151" i="6"/>
  <c r="I151" i="6"/>
  <c r="J151" i="6"/>
  <c r="C150" i="41"/>
  <c r="I150" i="41"/>
  <c r="AV150" i="6"/>
  <c r="N150" i="6"/>
  <c r="B151" i="41"/>
  <c r="F152" i="6"/>
  <c r="H152" i="6"/>
  <c r="B152" i="6"/>
  <c r="D152" i="6"/>
  <c r="E152" i="6" s="1"/>
  <c r="G152" i="6"/>
  <c r="C153" i="6"/>
  <c r="H151" i="41"/>
  <c r="J159" i="14"/>
  <c r="AC159" i="14"/>
  <c r="AA159" i="14"/>
  <c r="Z159" i="14"/>
  <c r="D159" i="14"/>
  <c r="L159" i="14"/>
  <c r="T159" i="14"/>
  <c r="R159" i="14"/>
  <c r="AE159" i="14"/>
  <c r="AB159" i="14"/>
  <c r="V159" i="14"/>
  <c r="G159" i="14"/>
  <c r="W159" i="14"/>
  <c r="K159" i="14"/>
  <c r="Y159" i="14"/>
  <c r="S159" i="14"/>
  <c r="AG159" i="14"/>
  <c r="N159" i="14"/>
  <c r="F159" i="14"/>
  <c r="P159" i="14"/>
  <c r="Q159" i="14"/>
  <c r="C159" i="14"/>
  <c r="AJ159" i="14"/>
  <c r="H159" i="14"/>
  <c r="E159" i="14"/>
  <c r="AD159" i="14"/>
  <c r="AI159" i="14"/>
  <c r="I159" i="14"/>
  <c r="X159" i="14"/>
  <c r="M159" i="14"/>
  <c r="AF159" i="14"/>
  <c r="AH159" i="14"/>
  <c r="O159" i="14"/>
  <c r="U159" i="14"/>
  <c r="G159" i="41"/>
  <c r="A159" i="41"/>
  <c r="A160" i="14"/>
  <c r="AD160" i="6"/>
  <c r="AH160" i="6"/>
  <c r="AG160" i="6"/>
  <c r="AF160" i="6"/>
  <c r="AE160" i="6"/>
  <c r="A161" i="6"/>
  <c r="AY160" i="6" l="1"/>
  <c r="BB160" i="6" s="1"/>
  <c r="C151" i="41"/>
  <c r="I151" i="41"/>
  <c r="AU152" i="6"/>
  <c r="I152" i="6"/>
  <c r="J152" i="6"/>
  <c r="AV151" i="6"/>
  <c r="N151" i="6"/>
  <c r="B152" i="41"/>
  <c r="G153" i="6"/>
  <c r="D153" i="6"/>
  <c r="E153" i="6" s="1"/>
  <c r="H153" i="6"/>
  <c r="F153" i="6"/>
  <c r="B153" i="6"/>
  <c r="H152" i="41"/>
  <c r="C154" i="6"/>
  <c r="P160" i="14"/>
  <c r="Z160" i="14"/>
  <c r="D160" i="14"/>
  <c r="AJ160" i="14"/>
  <c r="H160" i="14"/>
  <c r="R160" i="14"/>
  <c r="AE160" i="14"/>
  <c r="J160" i="14"/>
  <c r="AF160" i="14"/>
  <c r="U160" i="14"/>
  <c r="G160" i="14"/>
  <c r="W160" i="14"/>
  <c r="AC160" i="14"/>
  <c r="AI160" i="14"/>
  <c r="L160" i="14"/>
  <c r="AG160" i="14"/>
  <c r="N160" i="14"/>
  <c r="F160" i="14"/>
  <c r="AA160" i="14"/>
  <c r="AB160" i="14"/>
  <c r="Q160" i="14"/>
  <c r="C160" i="14"/>
  <c r="S160" i="14"/>
  <c r="K160" i="14"/>
  <c r="E160" i="14"/>
  <c r="M160" i="14"/>
  <c r="V160" i="14"/>
  <c r="I160" i="14"/>
  <c r="X160" i="14"/>
  <c r="AD160" i="14"/>
  <c r="Y160" i="14"/>
  <c r="T160" i="14"/>
  <c r="AH160" i="14"/>
  <c r="O160" i="14"/>
  <c r="A161" i="14"/>
  <c r="G160" i="41"/>
  <c r="A160" i="41"/>
  <c r="AD161" i="6"/>
  <c r="AH161" i="6"/>
  <c r="AG161" i="6"/>
  <c r="AF161" i="6"/>
  <c r="AE161" i="6"/>
  <c r="A162" i="6"/>
  <c r="AY161" i="6" l="1"/>
  <c r="BB161" i="6" s="1"/>
  <c r="AU153" i="6"/>
  <c r="I153" i="6"/>
  <c r="J153" i="6"/>
  <c r="C152" i="41"/>
  <c r="I152" i="41"/>
  <c r="AV152" i="6"/>
  <c r="N152" i="6"/>
  <c r="B153" i="41"/>
  <c r="H154" i="6"/>
  <c r="D154" i="6"/>
  <c r="E154" i="6" s="1"/>
  <c r="B154" i="6"/>
  <c r="F154" i="6"/>
  <c r="G154" i="6"/>
  <c r="C155" i="6"/>
  <c r="H153" i="41"/>
  <c r="S161" i="14"/>
  <c r="AD161" i="14"/>
  <c r="Z161" i="14"/>
  <c r="D161" i="14"/>
  <c r="M161" i="14"/>
  <c r="R161" i="14"/>
  <c r="Y161" i="14"/>
  <c r="AJ161" i="14"/>
  <c r="P161" i="14"/>
  <c r="U161" i="14"/>
  <c r="G161" i="14"/>
  <c r="AI161" i="14"/>
  <c r="H161" i="14"/>
  <c r="L161" i="14"/>
  <c r="AG161" i="14"/>
  <c r="J161" i="14"/>
  <c r="AF161" i="14"/>
  <c r="AE161" i="14"/>
  <c r="AB161" i="14"/>
  <c r="Q161" i="14"/>
  <c r="AC161" i="14"/>
  <c r="AA161" i="14"/>
  <c r="W161" i="14"/>
  <c r="K161" i="14"/>
  <c r="E161" i="14"/>
  <c r="F161" i="14"/>
  <c r="V161" i="14"/>
  <c r="N161" i="14"/>
  <c r="I161" i="14"/>
  <c r="X161" i="14"/>
  <c r="T161" i="14"/>
  <c r="C161" i="14"/>
  <c r="AH161" i="14"/>
  <c r="O161" i="14"/>
  <c r="A162" i="14"/>
  <c r="G161" i="41"/>
  <c r="A161" i="41"/>
  <c r="AD162" i="6"/>
  <c r="AH162" i="6"/>
  <c r="AE162" i="6"/>
  <c r="AG162" i="6"/>
  <c r="AF162" i="6"/>
  <c r="A163" i="6"/>
  <c r="AY162" i="6" l="1"/>
  <c r="BB162" i="6" s="1"/>
  <c r="C153" i="41"/>
  <c r="I153" i="41"/>
  <c r="AU154" i="6"/>
  <c r="J154" i="6"/>
  <c r="I154" i="6"/>
  <c r="AV153" i="6"/>
  <c r="N153" i="6"/>
  <c r="B154" i="41"/>
  <c r="F155" i="6"/>
  <c r="H155" i="6"/>
  <c r="D155" i="6"/>
  <c r="E155" i="6" s="1"/>
  <c r="B155" i="6"/>
  <c r="G155" i="6"/>
  <c r="H154" i="41"/>
  <c r="C156" i="6"/>
  <c r="F162" i="14"/>
  <c r="V162" i="14"/>
  <c r="E162" i="14"/>
  <c r="AD162" i="14"/>
  <c r="R162" i="14"/>
  <c r="T162" i="14"/>
  <c r="X162" i="14"/>
  <c r="M162" i="14"/>
  <c r="G162" i="14"/>
  <c r="S162" i="14"/>
  <c r="O162" i="14"/>
  <c r="U162" i="14"/>
  <c r="AH162" i="14"/>
  <c r="D162" i="14"/>
  <c r="L162" i="14"/>
  <c r="Y162" i="14"/>
  <c r="AJ162" i="14"/>
  <c r="P162" i="14"/>
  <c r="AE162" i="14"/>
  <c r="AB162" i="14"/>
  <c r="AF162" i="14"/>
  <c r="H162" i="14"/>
  <c r="W162" i="14"/>
  <c r="K162" i="14"/>
  <c r="J162" i="14"/>
  <c r="AI162" i="14"/>
  <c r="AG162" i="14"/>
  <c r="N162" i="14"/>
  <c r="I162" i="14"/>
  <c r="AA162" i="14"/>
  <c r="Q162" i="14"/>
  <c r="C162" i="14"/>
  <c r="Z162" i="14"/>
  <c r="AC162" i="14"/>
  <c r="A162" i="41"/>
  <c r="A163" i="14"/>
  <c r="G162" i="41"/>
  <c r="AD163" i="6"/>
  <c r="AH163" i="6"/>
  <c r="AF163" i="6"/>
  <c r="AE163" i="6"/>
  <c r="AG163" i="6"/>
  <c r="A164" i="6"/>
  <c r="AY163" i="6" l="1"/>
  <c r="BB163" i="6" s="1"/>
  <c r="C154" i="41"/>
  <c r="I154" i="41"/>
  <c r="AU155" i="6"/>
  <c r="J155" i="6"/>
  <c r="I155" i="6"/>
  <c r="AV154" i="6"/>
  <c r="N154" i="6"/>
  <c r="B155" i="41"/>
  <c r="G156" i="6"/>
  <c r="D156" i="6"/>
  <c r="E156" i="6" s="1"/>
  <c r="F156" i="6"/>
  <c r="B156" i="6"/>
  <c r="H156" i="6"/>
  <c r="C157" i="6"/>
  <c r="H155" i="41"/>
  <c r="A164" i="14"/>
  <c r="G163" i="41"/>
  <c r="A163" i="41"/>
  <c r="AD164" i="6"/>
  <c r="AH164" i="6"/>
  <c r="AF164" i="6"/>
  <c r="AE164" i="6"/>
  <c r="AG164" i="6"/>
  <c r="A165" i="6"/>
  <c r="Y163" i="14"/>
  <c r="AJ163" i="14"/>
  <c r="H163" i="14"/>
  <c r="E163" i="14"/>
  <c r="AD163" i="14"/>
  <c r="AI163" i="14"/>
  <c r="I163" i="14"/>
  <c r="X163" i="14"/>
  <c r="M163" i="14"/>
  <c r="J163" i="14"/>
  <c r="AF163" i="14"/>
  <c r="AH163" i="14"/>
  <c r="O163" i="14"/>
  <c r="U163" i="14"/>
  <c r="AC163" i="14"/>
  <c r="AA163" i="14"/>
  <c r="Z163" i="14"/>
  <c r="D163" i="14"/>
  <c r="L163" i="14"/>
  <c r="F163" i="14"/>
  <c r="V163" i="14"/>
  <c r="R163" i="14"/>
  <c r="AE163" i="14"/>
  <c r="AB163" i="14"/>
  <c r="T163" i="14"/>
  <c r="G163" i="14"/>
  <c r="W163" i="14"/>
  <c r="K163" i="14"/>
  <c r="S163" i="14"/>
  <c r="AG163" i="14"/>
  <c r="N163" i="14"/>
  <c r="P163" i="14"/>
  <c r="Q163" i="14"/>
  <c r="C163" i="14"/>
  <c r="AY164" i="6" l="1"/>
  <c r="BB164" i="6" s="1"/>
  <c r="AU156" i="6"/>
  <c r="J156" i="6"/>
  <c r="I156" i="6"/>
  <c r="C155" i="41"/>
  <c r="I155" i="41"/>
  <c r="AV155" i="6"/>
  <c r="N155" i="6"/>
  <c r="B156" i="41"/>
  <c r="F157" i="6"/>
  <c r="B157" i="6"/>
  <c r="H157" i="6"/>
  <c r="G157" i="6"/>
  <c r="D157" i="6"/>
  <c r="E157" i="6" s="1"/>
  <c r="C158" i="6"/>
  <c r="H156" i="41"/>
  <c r="A165" i="14"/>
  <c r="G164" i="41"/>
  <c r="A164" i="41"/>
  <c r="AH165" i="6"/>
  <c r="AD165" i="6"/>
  <c r="AG165" i="6"/>
  <c r="AF165" i="6"/>
  <c r="AE165" i="6"/>
  <c r="A166" i="6"/>
  <c r="P164" i="14"/>
  <c r="Z164" i="14"/>
  <c r="D164" i="14"/>
  <c r="Y164" i="14"/>
  <c r="AF164" i="14"/>
  <c r="H164" i="14"/>
  <c r="R164" i="14"/>
  <c r="AE164" i="14"/>
  <c r="AI164" i="14"/>
  <c r="U164" i="14"/>
  <c r="G164" i="14"/>
  <c r="W164" i="14"/>
  <c r="J164" i="14"/>
  <c r="AJ164" i="14"/>
  <c r="L164" i="14"/>
  <c r="AG164" i="14"/>
  <c r="N164" i="14"/>
  <c r="AC164" i="14"/>
  <c r="AA164" i="14"/>
  <c r="AB164" i="14"/>
  <c r="Q164" i="14"/>
  <c r="C164" i="14"/>
  <c r="F164" i="14"/>
  <c r="V164" i="14"/>
  <c r="K164" i="14"/>
  <c r="E164" i="14"/>
  <c r="AD164" i="14"/>
  <c r="T164" i="14"/>
  <c r="I164" i="14"/>
  <c r="X164" i="14"/>
  <c r="M164" i="14"/>
  <c r="AH164" i="14"/>
  <c r="O164" i="14"/>
  <c r="S164" i="14"/>
  <c r="AY165" i="6" l="1"/>
  <c r="BB165" i="6" s="1"/>
  <c r="AU157" i="6"/>
  <c r="I157" i="6"/>
  <c r="J157" i="6"/>
  <c r="C156" i="41"/>
  <c r="I156" i="41"/>
  <c r="AV156" i="6"/>
  <c r="N156" i="6"/>
  <c r="B157" i="41"/>
  <c r="D158" i="6"/>
  <c r="E158" i="6" s="1"/>
  <c r="H158" i="6"/>
  <c r="B158" i="6"/>
  <c r="F158" i="6"/>
  <c r="G158" i="6"/>
  <c r="H157" i="41"/>
  <c r="C159" i="6"/>
  <c r="S165" i="14"/>
  <c r="AD165" i="14"/>
  <c r="Z165" i="14"/>
  <c r="D165" i="14"/>
  <c r="M165" i="14"/>
  <c r="R165" i="14"/>
  <c r="Y165" i="14"/>
  <c r="AJ165" i="14"/>
  <c r="P165" i="14"/>
  <c r="U165" i="14"/>
  <c r="G165" i="14"/>
  <c r="AI165" i="14"/>
  <c r="H165" i="14"/>
  <c r="L165" i="14"/>
  <c r="AG165" i="14"/>
  <c r="J165" i="14"/>
  <c r="AF165" i="14"/>
  <c r="AE165" i="14"/>
  <c r="AB165" i="14"/>
  <c r="Q165" i="14"/>
  <c r="AC165" i="14"/>
  <c r="AA165" i="14"/>
  <c r="W165" i="14"/>
  <c r="K165" i="14"/>
  <c r="E165" i="14"/>
  <c r="F165" i="14"/>
  <c r="V165" i="14"/>
  <c r="N165" i="14"/>
  <c r="I165" i="14"/>
  <c r="X165" i="14"/>
  <c r="AH165" i="14"/>
  <c r="O165" i="14"/>
  <c r="T165" i="14"/>
  <c r="C165" i="14"/>
  <c r="A166" i="14"/>
  <c r="G165" i="41"/>
  <c r="A165" i="41"/>
  <c r="AD166" i="6"/>
  <c r="AH166" i="6"/>
  <c r="AG166" i="6"/>
  <c r="AF166" i="6"/>
  <c r="AE166" i="6"/>
  <c r="A167" i="6"/>
  <c r="AY166" i="6" l="1"/>
  <c r="BB166" i="6" s="1"/>
  <c r="AU158" i="6"/>
  <c r="I158" i="6"/>
  <c r="J158" i="6"/>
  <c r="C157" i="41"/>
  <c r="I157" i="41"/>
  <c r="AV157" i="6"/>
  <c r="N157" i="6"/>
  <c r="B158" i="41"/>
  <c r="B159" i="6"/>
  <c r="H159" i="6"/>
  <c r="D159" i="6"/>
  <c r="E159" i="6" s="1"/>
  <c r="F159" i="6"/>
  <c r="G159" i="6"/>
  <c r="H158" i="41"/>
  <c r="C160" i="6"/>
  <c r="A166" i="41"/>
  <c r="A167" i="14"/>
  <c r="G166" i="41"/>
  <c r="AD167" i="6"/>
  <c r="AH167" i="6"/>
  <c r="AG167" i="6"/>
  <c r="AE167" i="6"/>
  <c r="AF167" i="6"/>
  <c r="A168" i="6"/>
  <c r="AC166" i="14"/>
  <c r="AA166" i="14"/>
  <c r="AH166" i="14"/>
  <c r="X166" i="14"/>
  <c r="AD166" i="14"/>
  <c r="F166" i="14"/>
  <c r="T166" i="14"/>
  <c r="Z166" i="14"/>
  <c r="E166" i="14"/>
  <c r="K166" i="14"/>
  <c r="S166" i="14"/>
  <c r="R166" i="14"/>
  <c r="D166" i="14"/>
  <c r="G166" i="14"/>
  <c r="V166" i="14"/>
  <c r="AG166" i="14"/>
  <c r="U166" i="14"/>
  <c r="Y166" i="14"/>
  <c r="P166" i="14"/>
  <c r="Q166" i="14"/>
  <c r="C166" i="14"/>
  <c r="AJ166" i="14"/>
  <c r="H166" i="14"/>
  <c r="AE166" i="14"/>
  <c r="O166" i="14"/>
  <c r="AI166" i="14"/>
  <c r="AB166" i="14"/>
  <c r="W166" i="14"/>
  <c r="M166" i="14"/>
  <c r="L166" i="14"/>
  <c r="J166" i="14"/>
  <c r="AF166" i="14"/>
  <c r="I166" i="14"/>
  <c r="N166" i="14"/>
  <c r="AY167" i="6" l="1"/>
  <c r="BB167" i="6" s="1"/>
  <c r="C158" i="41"/>
  <c r="I158" i="41"/>
  <c r="AU159" i="6"/>
  <c r="I159" i="6"/>
  <c r="J159" i="6"/>
  <c r="AV158" i="6"/>
  <c r="N158" i="6"/>
  <c r="B159" i="41"/>
  <c r="D160" i="6"/>
  <c r="E160" i="6" s="1"/>
  <c r="F160" i="6"/>
  <c r="B160" i="6"/>
  <c r="G160" i="6"/>
  <c r="H160" i="6"/>
  <c r="H159" i="41"/>
  <c r="C161" i="6"/>
  <c r="J167" i="14"/>
  <c r="AI167" i="14"/>
  <c r="AD167" i="14"/>
  <c r="Q167" i="14"/>
  <c r="Z167" i="14"/>
  <c r="AC167" i="14"/>
  <c r="AF167" i="14"/>
  <c r="M167" i="14"/>
  <c r="E167" i="14"/>
  <c r="C167" i="14"/>
  <c r="F167" i="14"/>
  <c r="AA167" i="14"/>
  <c r="U167" i="14"/>
  <c r="O167" i="14"/>
  <c r="X167" i="14"/>
  <c r="T167" i="14"/>
  <c r="L167" i="14"/>
  <c r="AH167" i="14"/>
  <c r="W167" i="14"/>
  <c r="V167" i="14"/>
  <c r="AB167" i="14"/>
  <c r="N167" i="14"/>
  <c r="R167" i="14"/>
  <c r="S167" i="14"/>
  <c r="K167" i="14"/>
  <c r="G167" i="14"/>
  <c r="Y167" i="14"/>
  <c r="P167" i="14"/>
  <c r="I167" i="14"/>
  <c r="AE167" i="14"/>
  <c r="AJ167" i="14"/>
  <c r="H167" i="14"/>
  <c r="AG167" i="14"/>
  <c r="D167" i="14"/>
  <c r="G167" i="41"/>
  <c r="A167" i="41"/>
  <c r="A168" i="14"/>
  <c r="AD168" i="6"/>
  <c r="AH168" i="6"/>
  <c r="AF168" i="6"/>
  <c r="AE168" i="6"/>
  <c r="AG168" i="6"/>
  <c r="A169" i="6"/>
  <c r="AY168" i="6" l="1"/>
  <c r="BB168" i="6" s="1"/>
  <c r="AU160" i="6"/>
  <c r="I160" i="6"/>
  <c r="J160" i="6"/>
  <c r="AV159" i="6"/>
  <c r="N159" i="6"/>
  <c r="C159" i="41"/>
  <c r="I159" i="41"/>
  <c r="B160" i="41"/>
  <c r="D161" i="6"/>
  <c r="E161" i="6" s="1"/>
  <c r="F161" i="6"/>
  <c r="B161" i="6"/>
  <c r="G161" i="6"/>
  <c r="H161" i="6"/>
  <c r="H160" i="41"/>
  <c r="C162" i="6"/>
  <c r="A169" i="14"/>
  <c r="G168" i="41"/>
  <c r="A168" i="41"/>
  <c r="AD169" i="6"/>
  <c r="AH169" i="6"/>
  <c r="AG169" i="6"/>
  <c r="AF169" i="6"/>
  <c r="AE169" i="6"/>
  <c r="A170" i="6"/>
  <c r="Y168" i="14"/>
  <c r="AJ168" i="14"/>
  <c r="H168" i="14"/>
  <c r="AD168" i="14"/>
  <c r="R168" i="14"/>
  <c r="AF168" i="14"/>
  <c r="X168" i="14"/>
  <c r="M168" i="14"/>
  <c r="Q168" i="14"/>
  <c r="AI168" i="14"/>
  <c r="O168" i="14"/>
  <c r="U168" i="14"/>
  <c r="AH168" i="14"/>
  <c r="J168" i="14"/>
  <c r="AA168" i="14"/>
  <c r="D168" i="14"/>
  <c r="L168" i="14"/>
  <c r="K168" i="14"/>
  <c r="AC168" i="14"/>
  <c r="S168" i="14"/>
  <c r="AE168" i="14"/>
  <c r="I168" i="14"/>
  <c r="G168" i="14"/>
  <c r="F168" i="14"/>
  <c r="V168" i="14"/>
  <c r="W168" i="14"/>
  <c r="AB168" i="14"/>
  <c r="AG168" i="14"/>
  <c r="T168" i="14"/>
  <c r="N168" i="14"/>
  <c r="E168" i="14"/>
  <c r="P168" i="14"/>
  <c r="C168" i="14"/>
  <c r="Z168" i="14"/>
  <c r="AY169" i="6" l="1"/>
  <c r="BB169" i="6" s="1"/>
  <c r="AU161" i="6"/>
  <c r="J161" i="6"/>
  <c r="I161" i="6"/>
  <c r="C160" i="41"/>
  <c r="I160" i="41"/>
  <c r="AV160" i="6"/>
  <c r="N160" i="6"/>
  <c r="B161" i="41"/>
  <c r="D162" i="6"/>
  <c r="E162" i="6" s="1"/>
  <c r="F162" i="6"/>
  <c r="G162" i="6"/>
  <c r="H162" i="6"/>
  <c r="B162" i="6"/>
  <c r="H161" i="41"/>
  <c r="C163" i="6"/>
  <c r="V169" i="14"/>
  <c r="G169" i="14"/>
  <c r="W169" i="14"/>
  <c r="I169" i="14"/>
  <c r="T169" i="14"/>
  <c r="AG169" i="14"/>
  <c r="N169" i="14"/>
  <c r="AB169" i="14"/>
  <c r="Y169" i="14"/>
  <c r="S169" i="14"/>
  <c r="Q169" i="14"/>
  <c r="C169" i="14"/>
  <c r="P169" i="14"/>
  <c r="E169" i="14"/>
  <c r="U169" i="14"/>
  <c r="J169" i="14"/>
  <c r="AJ169" i="14"/>
  <c r="H169" i="14"/>
  <c r="X169" i="14"/>
  <c r="L169" i="14"/>
  <c r="AC169" i="14"/>
  <c r="AI169" i="14"/>
  <c r="AH169" i="14"/>
  <c r="O169" i="14"/>
  <c r="M169" i="14"/>
  <c r="F169" i="14"/>
  <c r="AA169" i="14"/>
  <c r="Z169" i="14"/>
  <c r="D169" i="14"/>
  <c r="K169" i="14"/>
  <c r="AF169" i="14"/>
  <c r="R169" i="14"/>
  <c r="AE169" i="14"/>
  <c r="AD169" i="14"/>
  <c r="A170" i="14"/>
  <c r="G169" i="41"/>
  <c r="A169" i="41"/>
  <c r="AD170" i="6"/>
  <c r="AG170" i="6"/>
  <c r="AF170" i="6"/>
  <c r="AH170" i="6"/>
  <c r="AE170" i="6"/>
  <c r="A171" i="6"/>
  <c r="AY170" i="6" l="1"/>
  <c r="BB170" i="6" s="1"/>
  <c r="AU162" i="6"/>
  <c r="J162" i="6"/>
  <c r="I162" i="6"/>
  <c r="C161" i="41"/>
  <c r="I161" i="41"/>
  <c r="B162" i="41"/>
  <c r="D163" i="6"/>
  <c r="E163" i="6" s="1"/>
  <c r="H163" i="6"/>
  <c r="F163" i="6"/>
  <c r="G163" i="6"/>
  <c r="B163" i="6"/>
  <c r="C164" i="6"/>
  <c r="H162" i="41"/>
  <c r="AV161" i="6"/>
  <c r="N161" i="6"/>
  <c r="A171" i="14"/>
  <c r="G170" i="41"/>
  <c r="A170" i="41"/>
  <c r="AD171" i="6"/>
  <c r="AH171" i="6"/>
  <c r="AE171" i="6"/>
  <c r="AG171" i="6"/>
  <c r="AF171" i="6"/>
  <c r="A172" i="6"/>
  <c r="AC170" i="14"/>
  <c r="AJ170" i="14"/>
  <c r="I170" i="14"/>
  <c r="AE170" i="14"/>
  <c r="U170" i="14"/>
  <c r="F170" i="14"/>
  <c r="V170" i="14"/>
  <c r="AH170" i="14"/>
  <c r="W170" i="14"/>
  <c r="O170" i="14"/>
  <c r="T170" i="14"/>
  <c r="Z170" i="14"/>
  <c r="N170" i="14"/>
  <c r="M170" i="14"/>
  <c r="S170" i="14"/>
  <c r="R170" i="14"/>
  <c r="C170" i="14"/>
  <c r="P170" i="14"/>
  <c r="G170" i="14"/>
  <c r="L170" i="14"/>
  <c r="Y170" i="14"/>
  <c r="AF170" i="14"/>
  <c r="H170" i="14"/>
  <c r="AG170" i="14"/>
  <c r="AD170" i="14"/>
  <c r="AA170" i="14"/>
  <c r="AB170" i="14"/>
  <c r="Q170" i="14"/>
  <c r="D170" i="14"/>
  <c r="AI170" i="14"/>
  <c r="K170" i="14"/>
  <c r="E170" i="14"/>
  <c r="X170" i="14"/>
  <c r="J170" i="14"/>
  <c r="AY171" i="6" l="1"/>
  <c r="BB171" i="6" s="1"/>
  <c r="C162" i="41"/>
  <c r="I162" i="41"/>
  <c r="B163" i="41"/>
  <c r="F164" i="6"/>
  <c r="B164" i="6"/>
  <c r="G164" i="6"/>
  <c r="H164" i="6"/>
  <c r="D164" i="6"/>
  <c r="E164" i="6" s="1"/>
  <c r="H163" i="41"/>
  <c r="C165" i="6"/>
  <c r="AV162" i="6"/>
  <c r="N162" i="6"/>
  <c r="AU163" i="6"/>
  <c r="I163" i="6"/>
  <c r="J163" i="6"/>
  <c r="A172" i="14"/>
  <c r="G171" i="41"/>
  <c r="A171" i="41"/>
  <c r="AD172" i="6"/>
  <c r="AH172" i="6"/>
  <c r="AF172" i="6"/>
  <c r="AE172" i="6"/>
  <c r="AG172" i="6"/>
  <c r="A173" i="6"/>
  <c r="AJ171" i="14"/>
  <c r="P171" i="14"/>
  <c r="I171" i="14"/>
  <c r="AH171" i="14"/>
  <c r="Y171" i="14"/>
  <c r="AI171" i="14"/>
  <c r="H171" i="14"/>
  <c r="AG171" i="14"/>
  <c r="N171" i="14"/>
  <c r="AF171" i="14"/>
  <c r="AD171" i="14"/>
  <c r="Q171" i="14"/>
  <c r="G171" i="14"/>
  <c r="J171" i="14"/>
  <c r="AA171" i="14"/>
  <c r="M171" i="14"/>
  <c r="E171" i="14"/>
  <c r="AE171" i="14"/>
  <c r="AC171" i="14"/>
  <c r="V171" i="14"/>
  <c r="U171" i="14"/>
  <c r="X171" i="14"/>
  <c r="D171" i="14"/>
  <c r="F171" i="14"/>
  <c r="T171" i="14"/>
  <c r="L171" i="14"/>
  <c r="W171" i="14"/>
  <c r="Z171" i="14"/>
  <c r="S171" i="14"/>
  <c r="AB171" i="14"/>
  <c r="R171" i="14"/>
  <c r="C171" i="14"/>
  <c r="K171" i="14"/>
  <c r="O171" i="14"/>
  <c r="AY172" i="6" l="1"/>
  <c r="BB172" i="6" s="1"/>
  <c r="AU164" i="6"/>
  <c r="I164" i="6"/>
  <c r="J164" i="6"/>
  <c r="C163" i="41"/>
  <c r="I163" i="41"/>
  <c r="AV163" i="6"/>
  <c r="N163" i="6"/>
  <c r="B164" i="41"/>
  <c r="F165" i="6"/>
  <c r="G165" i="6"/>
  <c r="H165" i="6"/>
  <c r="D165" i="6"/>
  <c r="E165" i="6" s="1"/>
  <c r="B165" i="6"/>
  <c r="C166" i="6"/>
  <c r="H164" i="41"/>
  <c r="A173" i="14"/>
  <c r="G172" i="41"/>
  <c r="A172" i="41"/>
  <c r="AD173" i="6"/>
  <c r="AH173" i="6"/>
  <c r="AF173" i="6"/>
  <c r="AE173" i="6"/>
  <c r="AG173" i="6"/>
  <c r="A174" i="6"/>
  <c r="N172" i="14"/>
  <c r="AH172" i="14"/>
  <c r="AF172" i="14"/>
  <c r="P172" i="14"/>
  <c r="C172" i="14"/>
  <c r="K172" i="14"/>
  <c r="Y172" i="14"/>
  <c r="AJ172" i="14"/>
  <c r="H172" i="14"/>
  <c r="AD172" i="14"/>
  <c r="AG172" i="14"/>
  <c r="AI172" i="14"/>
  <c r="X172" i="14"/>
  <c r="M172" i="14"/>
  <c r="G172" i="14"/>
  <c r="J172" i="14"/>
  <c r="AA172" i="14"/>
  <c r="O172" i="14"/>
  <c r="U172" i="14"/>
  <c r="AB172" i="14"/>
  <c r="AC172" i="14"/>
  <c r="V172" i="14"/>
  <c r="D172" i="14"/>
  <c r="L172" i="14"/>
  <c r="E172" i="14"/>
  <c r="F172" i="14"/>
  <c r="T172" i="14"/>
  <c r="AE172" i="14"/>
  <c r="I172" i="14"/>
  <c r="Z172" i="14"/>
  <c r="W172" i="14"/>
  <c r="Q172" i="14"/>
  <c r="R172" i="14"/>
  <c r="S172" i="14"/>
  <c r="AY173" i="6" l="1"/>
  <c r="BB173" i="6" s="1"/>
  <c r="C164" i="41"/>
  <c r="I164" i="41"/>
  <c r="AU165" i="6"/>
  <c r="J165" i="6"/>
  <c r="I165" i="6"/>
  <c r="AV164" i="6"/>
  <c r="N164" i="6"/>
  <c r="B165" i="41"/>
  <c r="B166" i="6"/>
  <c r="H166" i="6"/>
  <c r="G166" i="6"/>
  <c r="F166" i="6"/>
  <c r="D166" i="6"/>
  <c r="E166" i="6" s="1"/>
  <c r="C167" i="6"/>
  <c r="H165" i="41"/>
  <c r="A174" i="14"/>
  <c r="G173" i="41"/>
  <c r="A173" i="41"/>
  <c r="AH174" i="6"/>
  <c r="AG174" i="6"/>
  <c r="AD174" i="6"/>
  <c r="AF174" i="6"/>
  <c r="AE174" i="6"/>
  <c r="A175" i="6"/>
  <c r="T173" i="14"/>
  <c r="G173" i="14"/>
  <c r="W173" i="14"/>
  <c r="AD173" i="14"/>
  <c r="S173" i="14"/>
  <c r="AG173" i="14"/>
  <c r="N173" i="14"/>
  <c r="I173" i="14"/>
  <c r="Q173" i="14"/>
  <c r="C173" i="14"/>
  <c r="Y173" i="14"/>
  <c r="AJ173" i="14"/>
  <c r="P173" i="14"/>
  <c r="E173" i="14"/>
  <c r="U173" i="14"/>
  <c r="AI173" i="14"/>
  <c r="H173" i="14"/>
  <c r="X173" i="14"/>
  <c r="L173" i="14"/>
  <c r="J173" i="14"/>
  <c r="AF173" i="14"/>
  <c r="AH173" i="14"/>
  <c r="O173" i="14"/>
  <c r="AB173" i="14"/>
  <c r="AC173" i="14"/>
  <c r="AA173" i="14"/>
  <c r="Z173" i="14"/>
  <c r="D173" i="14"/>
  <c r="M173" i="14"/>
  <c r="R173" i="14"/>
  <c r="AE173" i="14"/>
  <c r="K173" i="14"/>
  <c r="F173" i="14"/>
  <c r="V173" i="14"/>
  <c r="AY174" i="6" l="1"/>
  <c r="BB174" i="6" s="1"/>
  <c r="C165" i="41"/>
  <c r="I165" i="41"/>
  <c r="AU166" i="6"/>
  <c r="I166" i="6"/>
  <c r="J166" i="6"/>
  <c r="AV165" i="6"/>
  <c r="N165" i="6"/>
  <c r="B166" i="41"/>
  <c r="D167" i="6"/>
  <c r="E167" i="6" s="1"/>
  <c r="F167" i="6"/>
  <c r="H167" i="6"/>
  <c r="G167" i="6"/>
  <c r="B167" i="6"/>
  <c r="H166" i="41"/>
  <c r="C168" i="6"/>
  <c r="AC174" i="14"/>
  <c r="AF174" i="14"/>
  <c r="K174" i="14"/>
  <c r="E174" i="14"/>
  <c r="L174" i="14"/>
  <c r="F174" i="14"/>
  <c r="T174" i="14"/>
  <c r="I174" i="14"/>
  <c r="AE174" i="14"/>
  <c r="AD174" i="14"/>
  <c r="S174" i="14"/>
  <c r="AH174" i="14"/>
  <c r="W174" i="14"/>
  <c r="D174" i="14"/>
  <c r="V174" i="14"/>
  <c r="Z174" i="14"/>
  <c r="N174" i="14"/>
  <c r="X174" i="14"/>
  <c r="R174" i="14"/>
  <c r="C174" i="14"/>
  <c r="Y174" i="14"/>
  <c r="AJ174" i="14"/>
  <c r="P174" i="14"/>
  <c r="G174" i="14"/>
  <c r="U174" i="14"/>
  <c r="AI174" i="14"/>
  <c r="H174" i="14"/>
  <c r="AG174" i="14"/>
  <c r="O174" i="14"/>
  <c r="Q174" i="14"/>
  <c r="M174" i="14"/>
  <c r="J174" i="14"/>
  <c r="AA174" i="14"/>
  <c r="AB174" i="14"/>
  <c r="G174" i="41"/>
  <c r="A174" i="41"/>
  <c r="A175" i="14"/>
  <c r="AD175" i="6"/>
  <c r="AH175" i="6"/>
  <c r="AG175" i="6"/>
  <c r="AF175" i="6"/>
  <c r="AE175" i="6"/>
  <c r="A176" i="6"/>
  <c r="AY175" i="6" l="1"/>
  <c r="BB175" i="6" s="1"/>
  <c r="AU167" i="6"/>
  <c r="I167" i="6"/>
  <c r="J167" i="6"/>
  <c r="AV166" i="6"/>
  <c r="N166" i="6"/>
  <c r="C166" i="41"/>
  <c r="I166" i="41"/>
  <c r="B167" i="41"/>
  <c r="H168" i="6"/>
  <c r="F168" i="6"/>
  <c r="G168" i="6"/>
  <c r="D168" i="6"/>
  <c r="E168" i="6" s="1"/>
  <c r="B168" i="6"/>
  <c r="C169" i="6"/>
  <c r="H167" i="41"/>
  <c r="AJ175" i="14"/>
  <c r="H175" i="14"/>
  <c r="AG175" i="14"/>
  <c r="X175" i="14"/>
  <c r="J175" i="14"/>
  <c r="AI175" i="14"/>
  <c r="AD175" i="14"/>
  <c r="Q175" i="14"/>
  <c r="W175" i="14"/>
  <c r="AC175" i="14"/>
  <c r="AF175" i="14"/>
  <c r="M175" i="14"/>
  <c r="E175" i="14"/>
  <c r="R175" i="14"/>
  <c r="F175" i="14"/>
  <c r="AA175" i="14"/>
  <c r="U175" i="14"/>
  <c r="G175" i="14"/>
  <c r="O175" i="14"/>
  <c r="T175" i="14"/>
  <c r="L175" i="14"/>
  <c r="AE175" i="14"/>
  <c r="AH175" i="14"/>
  <c r="V175" i="14"/>
  <c r="AB175" i="14"/>
  <c r="D175" i="14"/>
  <c r="N175" i="14"/>
  <c r="S175" i="14"/>
  <c r="K175" i="14"/>
  <c r="Z175" i="14"/>
  <c r="Y175" i="14"/>
  <c r="P175" i="14"/>
  <c r="I175" i="14"/>
  <c r="C175" i="14"/>
  <c r="G175" i="41"/>
  <c r="A176" i="14"/>
  <c r="A175" i="41"/>
  <c r="AD176" i="6"/>
  <c r="AH176" i="6"/>
  <c r="AE176" i="6"/>
  <c r="AF176" i="6"/>
  <c r="AG176" i="6"/>
  <c r="A177" i="6"/>
  <c r="AY176" i="6" l="1"/>
  <c r="BB176" i="6" s="1"/>
  <c r="C167" i="41"/>
  <c r="I167" i="41"/>
  <c r="AU168" i="6"/>
  <c r="I168" i="6"/>
  <c r="J168" i="6"/>
  <c r="AV167" i="6"/>
  <c r="N167" i="6"/>
  <c r="B168" i="41"/>
  <c r="H169" i="6"/>
  <c r="B169" i="6"/>
  <c r="G169" i="6"/>
  <c r="D169" i="6"/>
  <c r="E169" i="6" s="1"/>
  <c r="F169" i="6"/>
  <c r="H168" i="41"/>
  <c r="C170" i="6"/>
  <c r="S176" i="14"/>
  <c r="AE176" i="14"/>
  <c r="I176" i="14"/>
  <c r="E176" i="14"/>
  <c r="V176" i="14"/>
  <c r="W176" i="14"/>
  <c r="R176" i="14"/>
  <c r="Z176" i="14"/>
  <c r="T176" i="14"/>
  <c r="N176" i="14"/>
  <c r="Q176" i="14"/>
  <c r="Y176" i="14"/>
  <c r="P176" i="14"/>
  <c r="C176" i="14"/>
  <c r="AH176" i="14"/>
  <c r="AJ176" i="14"/>
  <c r="H176" i="14"/>
  <c r="AD176" i="14"/>
  <c r="K176" i="14"/>
  <c r="J176" i="14"/>
  <c r="AF176" i="14"/>
  <c r="X176" i="14"/>
  <c r="M176" i="14"/>
  <c r="AG176" i="14"/>
  <c r="AC176" i="14"/>
  <c r="AI176" i="14"/>
  <c r="O176" i="14"/>
  <c r="U176" i="14"/>
  <c r="G176" i="14"/>
  <c r="AB176" i="14"/>
  <c r="F176" i="14"/>
  <c r="AA176" i="14"/>
  <c r="D176" i="14"/>
  <c r="L176" i="14"/>
  <c r="G176" i="41"/>
  <c r="A177" i="14"/>
  <c r="A176" i="41"/>
  <c r="AD177" i="6"/>
  <c r="AF177" i="6"/>
  <c r="AE177" i="6"/>
  <c r="AG177" i="6"/>
  <c r="AH177" i="6"/>
  <c r="A178" i="6"/>
  <c r="AY177" i="6" l="1"/>
  <c r="BB177" i="6" s="1"/>
  <c r="C168" i="41"/>
  <c r="I168" i="41"/>
  <c r="AV168" i="6"/>
  <c r="N168" i="6"/>
  <c r="AU169" i="6"/>
  <c r="J169" i="6"/>
  <c r="I169" i="6"/>
  <c r="B169" i="41"/>
  <c r="G170" i="6"/>
  <c r="D170" i="6"/>
  <c r="E170" i="6" s="1"/>
  <c r="H170" i="6"/>
  <c r="F170" i="6"/>
  <c r="B170" i="6"/>
  <c r="C171" i="6"/>
  <c r="H169" i="41"/>
  <c r="A177" i="41"/>
  <c r="A178" i="14"/>
  <c r="G177" i="41"/>
  <c r="AD178" i="6"/>
  <c r="AH178" i="6"/>
  <c r="AF178" i="6"/>
  <c r="AE178" i="6"/>
  <c r="AG178" i="6"/>
  <c r="A179" i="6"/>
  <c r="AC177" i="14"/>
  <c r="AF177" i="14"/>
  <c r="Z177" i="14"/>
  <c r="D177" i="14"/>
  <c r="K177" i="14"/>
  <c r="F177" i="14"/>
  <c r="AA177" i="14"/>
  <c r="R177" i="14"/>
  <c r="AE177" i="14"/>
  <c r="AD177" i="14"/>
  <c r="V177" i="14"/>
  <c r="G177" i="14"/>
  <c r="W177" i="14"/>
  <c r="I177" i="14"/>
  <c r="T177" i="14"/>
  <c r="AG177" i="14"/>
  <c r="N177" i="14"/>
  <c r="AB177" i="14"/>
  <c r="S177" i="14"/>
  <c r="Q177" i="14"/>
  <c r="C177" i="14"/>
  <c r="Y177" i="14"/>
  <c r="P177" i="14"/>
  <c r="E177" i="14"/>
  <c r="U177" i="14"/>
  <c r="AJ177" i="14"/>
  <c r="H177" i="14"/>
  <c r="X177" i="14"/>
  <c r="L177" i="14"/>
  <c r="J177" i="14"/>
  <c r="AI177" i="14"/>
  <c r="AH177" i="14"/>
  <c r="O177" i="14"/>
  <c r="M177" i="14"/>
  <c r="AY178" i="6" l="1"/>
  <c r="BB178" i="6" s="1"/>
  <c r="AU170" i="6"/>
  <c r="I170" i="6"/>
  <c r="J170" i="6"/>
  <c r="C169" i="41"/>
  <c r="I169" i="41"/>
  <c r="B170" i="41"/>
  <c r="G171" i="6"/>
  <c r="F171" i="6"/>
  <c r="B171" i="6"/>
  <c r="D171" i="6"/>
  <c r="E171" i="6" s="1"/>
  <c r="H171" i="6"/>
  <c r="C172" i="6"/>
  <c r="H170" i="41"/>
  <c r="AV169" i="6"/>
  <c r="N169" i="6"/>
  <c r="A179" i="14"/>
  <c r="G178" i="41"/>
  <c r="A178" i="41"/>
  <c r="AD179" i="6"/>
  <c r="AH179" i="6"/>
  <c r="AG179" i="6"/>
  <c r="AF179" i="6"/>
  <c r="AE179" i="6"/>
  <c r="A180" i="6"/>
  <c r="P178" i="14"/>
  <c r="G178" i="14"/>
  <c r="X178" i="14"/>
  <c r="Y178" i="14"/>
  <c r="AJ178" i="14"/>
  <c r="H178" i="14"/>
  <c r="AG178" i="14"/>
  <c r="U178" i="14"/>
  <c r="AI178" i="14"/>
  <c r="AB178" i="14"/>
  <c r="Q178" i="14"/>
  <c r="O178" i="14"/>
  <c r="J178" i="14"/>
  <c r="AF178" i="14"/>
  <c r="K178" i="14"/>
  <c r="E178" i="14"/>
  <c r="M178" i="14"/>
  <c r="AC178" i="14"/>
  <c r="F178" i="14"/>
  <c r="V178" i="14"/>
  <c r="AH178" i="14"/>
  <c r="W178" i="14"/>
  <c r="AD178" i="14"/>
  <c r="T178" i="14"/>
  <c r="Z178" i="14"/>
  <c r="N178" i="14"/>
  <c r="D178" i="14"/>
  <c r="AE178" i="14"/>
  <c r="C178" i="14"/>
  <c r="L178" i="14"/>
  <c r="AA178" i="14"/>
  <c r="S178" i="14"/>
  <c r="I178" i="14"/>
  <c r="R178" i="14"/>
  <c r="AY179" i="6" l="1"/>
  <c r="BB179" i="6" s="1"/>
  <c r="B171" i="41"/>
  <c r="F172" i="6"/>
  <c r="G172" i="6"/>
  <c r="H172" i="6"/>
  <c r="B172" i="6"/>
  <c r="D172" i="6"/>
  <c r="E172" i="6" s="1"/>
  <c r="C173" i="6"/>
  <c r="H171" i="41"/>
  <c r="AU171" i="6"/>
  <c r="J171" i="6"/>
  <c r="I171" i="6"/>
  <c r="C170" i="41"/>
  <c r="I170" i="41"/>
  <c r="AV170" i="6"/>
  <c r="N170" i="6"/>
  <c r="S179" i="14"/>
  <c r="K179" i="14"/>
  <c r="N179" i="14"/>
  <c r="P179" i="14"/>
  <c r="I179" i="14"/>
  <c r="G179" i="14"/>
  <c r="Y179" i="14"/>
  <c r="AJ179" i="14"/>
  <c r="H179" i="14"/>
  <c r="AG179" i="14"/>
  <c r="AE179" i="14"/>
  <c r="AI179" i="14"/>
  <c r="AD179" i="14"/>
  <c r="Q179" i="14"/>
  <c r="D179" i="14"/>
  <c r="AC179" i="14"/>
  <c r="AA179" i="14"/>
  <c r="U179" i="14"/>
  <c r="R179" i="14"/>
  <c r="C179" i="14"/>
  <c r="F179" i="14"/>
  <c r="V179" i="14"/>
  <c r="L179" i="14"/>
  <c r="O179" i="14"/>
  <c r="X179" i="14"/>
  <c r="W179" i="14"/>
  <c r="AF179" i="14"/>
  <c r="T179" i="14"/>
  <c r="M179" i="14"/>
  <c r="J179" i="14"/>
  <c r="AB179" i="14"/>
  <c r="E179" i="14"/>
  <c r="AH179" i="14"/>
  <c r="Z179" i="14"/>
  <c r="A180" i="14"/>
  <c r="A179" i="41"/>
  <c r="G179" i="41"/>
  <c r="AD180" i="6"/>
  <c r="AH180" i="6"/>
  <c r="AG180" i="6"/>
  <c r="AF180" i="6"/>
  <c r="AE180" i="6"/>
  <c r="A181" i="6"/>
  <c r="AY180" i="6" l="1"/>
  <c r="BB180" i="6" s="1"/>
  <c r="B172" i="41"/>
  <c r="H173" i="6"/>
  <c r="B173" i="6"/>
  <c r="G173" i="6"/>
  <c r="F173" i="6"/>
  <c r="D173" i="6"/>
  <c r="E173" i="6" s="1"/>
  <c r="C174" i="6"/>
  <c r="H172" i="41"/>
  <c r="C171" i="41"/>
  <c r="I171" i="41"/>
  <c r="AU172" i="6"/>
  <c r="I172" i="6"/>
  <c r="J172" i="6"/>
  <c r="AV171" i="6"/>
  <c r="N171" i="6"/>
  <c r="V180" i="14"/>
  <c r="AE180" i="14"/>
  <c r="I180" i="14"/>
  <c r="AH180" i="14"/>
  <c r="T180" i="14"/>
  <c r="W180" i="14"/>
  <c r="AG180" i="14"/>
  <c r="K180" i="14"/>
  <c r="S180" i="14"/>
  <c r="N180" i="14"/>
  <c r="G180" i="14"/>
  <c r="Y180" i="14"/>
  <c r="P180" i="14"/>
  <c r="C180" i="14"/>
  <c r="AB180" i="14"/>
  <c r="J180" i="14"/>
  <c r="AJ180" i="14"/>
  <c r="X180" i="14"/>
  <c r="M180" i="14"/>
  <c r="Z180" i="14"/>
  <c r="AC180" i="14"/>
  <c r="AA180" i="14"/>
  <c r="O180" i="14"/>
  <c r="U180" i="14"/>
  <c r="R180" i="14"/>
  <c r="H180" i="14"/>
  <c r="D180" i="14"/>
  <c r="F180" i="14"/>
  <c r="AD180" i="14"/>
  <c r="L180" i="14"/>
  <c r="E180" i="14"/>
  <c r="Q180" i="14"/>
  <c r="AF180" i="14"/>
  <c r="AI180" i="14"/>
  <c r="G180" i="41"/>
  <c r="A180" i="41"/>
  <c r="A181" i="14"/>
  <c r="AD181" i="6"/>
  <c r="AH181" i="6"/>
  <c r="AG181" i="6"/>
  <c r="AE181" i="6"/>
  <c r="AF181" i="6"/>
  <c r="A182" i="6"/>
  <c r="AY181" i="6" l="1"/>
  <c r="BB181" i="6" s="1"/>
  <c r="B173" i="41"/>
  <c r="F174" i="6"/>
  <c r="H174" i="6"/>
  <c r="B174" i="6"/>
  <c r="G174" i="6"/>
  <c r="D174" i="6"/>
  <c r="E174" i="6" s="1"/>
  <c r="H173" i="41"/>
  <c r="C175" i="6"/>
  <c r="C172" i="41"/>
  <c r="I172" i="41"/>
  <c r="AV172" i="6"/>
  <c r="N172" i="6"/>
  <c r="AU173" i="6"/>
  <c r="J173" i="6"/>
  <c r="I173" i="6"/>
  <c r="G181" i="41"/>
  <c r="A181" i="41"/>
  <c r="A182" i="14"/>
  <c r="AD182" i="6"/>
  <c r="AH182" i="6"/>
  <c r="AF182" i="6"/>
  <c r="AE182" i="6"/>
  <c r="AG182" i="6"/>
  <c r="A183" i="6"/>
  <c r="J181" i="14"/>
  <c r="AF181" i="14"/>
  <c r="Z181" i="14"/>
  <c r="D181" i="14"/>
  <c r="K181" i="14"/>
  <c r="AC181" i="14"/>
  <c r="AA181" i="14"/>
  <c r="R181" i="14"/>
  <c r="AE181" i="14"/>
  <c r="AD181" i="14"/>
  <c r="F181" i="14"/>
  <c r="V181" i="14"/>
  <c r="G181" i="14"/>
  <c r="W181" i="14"/>
  <c r="I181" i="14"/>
  <c r="T181" i="14"/>
  <c r="AG181" i="14"/>
  <c r="N181" i="14"/>
  <c r="AB181" i="14"/>
  <c r="Y181" i="14"/>
  <c r="P181" i="14"/>
  <c r="E181" i="14"/>
  <c r="U181" i="14"/>
  <c r="AJ181" i="14"/>
  <c r="H181" i="14"/>
  <c r="X181" i="14"/>
  <c r="L181" i="14"/>
  <c r="O181" i="14"/>
  <c r="C181" i="14"/>
  <c r="M181" i="14"/>
  <c r="AI181" i="14"/>
  <c r="S181" i="14"/>
  <c r="AH181" i="14"/>
  <c r="Q181" i="14"/>
  <c r="AY182" i="6" l="1"/>
  <c r="BB182" i="6" s="1"/>
  <c r="C173" i="41"/>
  <c r="I173" i="41"/>
  <c r="AU174" i="6"/>
  <c r="I174" i="6"/>
  <c r="J174" i="6"/>
  <c r="B174" i="41"/>
  <c r="D175" i="6"/>
  <c r="E175" i="6" s="1"/>
  <c r="F175" i="6"/>
  <c r="H175" i="6"/>
  <c r="G175" i="6"/>
  <c r="B175" i="6"/>
  <c r="C176" i="6"/>
  <c r="H174" i="41"/>
  <c r="AV173" i="6"/>
  <c r="N173" i="6"/>
  <c r="AJ182" i="14"/>
  <c r="H182" i="14"/>
  <c r="AG182" i="14"/>
  <c r="L182" i="14"/>
  <c r="J182" i="14"/>
  <c r="AF182" i="14"/>
  <c r="AB182" i="14"/>
  <c r="Q182" i="14"/>
  <c r="AD182" i="14"/>
  <c r="AC182" i="14"/>
  <c r="AI182" i="14"/>
  <c r="K182" i="14"/>
  <c r="E182" i="14"/>
  <c r="D182" i="14"/>
  <c r="F182" i="14"/>
  <c r="AA182" i="14"/>
  <c r="I182" i="14"/>
  <c r="AE182" i="14"/>
  <c r="X182" i="14"/>
  <c r="S182" i="14"/>
  <c r="Z182" i="14"/>
  <c r="N182" i="14"/>
  <c r="O182" i="14"/>
  <c r="V182" i="14"/>
  <c r="R182" i="14"/>
  <c r="C182" i="14"/>
  <c r="T182" i="14"/>
  <c r="P182" i="14"/>
  <c r="AH182" i="14"/>
  <c r="Y182" i="14"/>
  <c r="G182" i="14"/>
  <c r="W182" i="14"/>
  <c r="M182" i="14"/>
  <c r="U182" i="14"/>
  <c r="A183" i="14"/>
  <c r="G182" i="41"/>
  <c r="A182" i="41"/>
  <c r="AD183" i="6"/>
  <c r="AH183" i="6"/>
  <c r="AF183" i="6"/>
  <c r="AE183" i="6"/>
  <c r="AG183" i="6"/>
  <c r="A184" i="6"/>
  <c r="AY183" i="6" l="1"/>
  <c r="BB183" i="6" s="1"/>
  <c r="C174" i="41"/>
  <c r="I174" i="41"/>
  <c r="AV174" i="6"/>
  <c r="N174" i="6"/>
  <c r="B175" i="41"/>
  <c r="B176" i="6"/>
  <c r="H176" i="6"/>
  <c r="D176" i="6"/>
  <c r="E176" i="6" s="1"/>
  <c r="F176" i="6"/>
  <c r="G176" i="6"/>
  <c r="C177" i="6"/>
  <c r="H175" i="41"/>
  <c r="AU175" i="6"/>
  <c r="I175" i="6"/>
  <c r="J175" i="6"/>
  <c r="G183" i="41"/>
  <c r="A183" i="41"/>
  <c r="A184" i="14"/>
  <c r="AH184" i="6"/>
  <c r="AD184" i="6"/>
  <c r="AG184" i="6"/>
  <c r="AF184" i="6"/>
  <c r="AE184" i="6"/>
  <c r="A185" i="6"/>
  <c r="Y183" i="14"/>
  <c r="J183" i="14"/>
  <c r="F183" i="14"/>
  <c r="T183" i="14"/>
  <c r="L183" i="14"/>
  <c r="C183" i="14"/>
  <c r="AE183" i="14"/>
  <c r="AC183" i="14"/>
  <c r="V183" i="14"/>
  <c r="AB183" i="14"/>
  <c r="X183" i="14"/>
  <c r="D183" i="14"/>
  <c r="S183" i="14"/>
  <c r="K183" i="14"/>
  <c r="W183" i="14"/>
  <c r="P183" i="14"/>
  <c r="I183" i="14"/>
  <c r="R183" i="14"/>
  <c r="AJ183" i="14"/>
  <c r="H183" i="14"/>
  <c r="AG183" i="14"/>
  <c r="O183" i="14"/>
  <c r="AI183" i="14"/>
  <c r="AD183" i="14"/>
  <c r="Q183" i="14"/>
  <c r="AH183" i="14"/>
  <c r="AF183" i="14"/>
  <c r="M183" i="14"/>
  <c r="E183" i="14"/>
  <c r="N183" i="14"/>
  <c r="AA183" i="14"/>
  <c r="U183" i="14"/>
  <c r="Z183" i="14"/>
  <c r="G183" i="14"/>
  <c r="AY184" i="6" l="1"/>
  <c r="BB184" i="6" s="1"/>
  <c r="B176" i="41"/>
  <c r="H177" i="6"/>
  <c r="D177" i="6"/>
  <c r="E177" i="6" s="1"/>
  <c r="B177" i="6"/>
  <c r="F177" i="6"/>
  <c r="G177" i="6"/>
  <c r="C178" i="6"/>
  <c r="H176" i="41"/>
  <c r="C175" i="41"/>
  <c r="I175" i="41"/>
  <c r="AV175" i="6"/>
  <c r="N175" i="6"/>
  <c r="AU176" i="6"/>
  <c r="J176" i="6"/>
  <c r="I176" i="6"/>
  <c r="G184" i="41"/>
  <c r="A184" i="41"/>
  <c r="A185" i="14"/>
  <c r="AD185" i="6"/>
  <c r="AH185" i="6"/>
  <c r="AG185" i="6"/>
  <c r="AF185" i="6"/>
  <c r="AE185" i="6"/>
  <c r="A186" i="6"/>
  <c r="J184" i="14"/>
  <c r="AI184" i="14"/>
  <c r="X184" i="14"/>
  <c r="M184" i="14"/>
  <c r="AG184" i="14"/>
  <c r="AC184" i="14"/>
  <c r="AA184" i="14"/>
  <c r="O184" i="14"/>
  <c r="U184" i="14"/>
  <c r="G184" i="14"/>
  <c r="F184" i="14"/>
  <c r="S184" i="14"/>
  <c r="D184" i="14"/>
  <c r="L184" i="14"/>
  <c r="AB184" i="14"/>
  <c r="T184" i="14"/>
  <c r="AE184" i="14"/>
  <c r="I184" i="14"/>
  <c r="E184" i="14"/>
  <c r="V184" i="14"/>
  <c r="W184" i="14"/>
  <c r="R184" i="14"/>
  <c r="Z184" i="14"/>
  <c r="N184" i="14"/>
  <c r="Q184" i="14"/>
  <c r="Y184" i="14"/>
  <c r="AJ184" i="14"/>
  <c r="P184" i="14"/>
  <c r="C184" i="14"/>
  <c r="AH184" i="14"/>
  <c r="AF184" i="14"/>
  <c r="H184" i="14"/>
  <c r="AD184" i="14"/>
  <c r="K184" i="14"/>
  <c r="AY185" i="6" l="1"/>
  <c r="BB185" i="6" s="1"/>
  <c r="B177" i="41"/>
  <c r="G178" i="6"/>
  <c r="H178" i="6"/>
  <c r="D178" i="6"/>
  <c r="E178" i="6" s="1"/>
  <c r="F178" i="6"/>
  <c r="B178" i="6"/>
  <c r="H177" i="41"/>
  <c r="C179" i="6"/>
  <c r="C176" i="41"/>
  <c r="I176" i="41"/>
  <c r="AU177" i="6"/>
  <c r="J177" i="6"/>
  <c r="I177" i="6"/>
  <c r="AV176" i="6"/>
  <c r="N176" i="6"/>
  <c r="Y185" i="14"/>
  <c r="S185" i="14"/>
  <c r="Q185" i="14"/>
  <c r="C185" i="14"/>
  <c r="P185" i="14"/>
  <c r="E185" i="14"/>
  <c r="U185" i="14"/>
  <c r="J185" i="14"/>
  <c r="AJ185" i="14"/>
  <c r="H185" i="14"/>
  <c r="X185" i="14"/>
  <c r="L185" i="14"/>
  <c r="AC185" i="14"/>
  <c r="AI185" i="14"/>
  <c r="AH185" i="14"/>
  <c r="O185" i="14"/>
  <c r="AD185" i="14"/>
  <c r="F185" i="14"/>
  <c r="AF185" i="14"/>
  <c r="Z185" i="14"/>
  <c r="D185" i="14"/>
  <c r="I185" i="14"/>
  <c r="AA185" i="14"/>
  <c r="R185" i="14"/>
  <c r="AE185" i="14"/>
  <c r="AB185" i="14"/>
  <c r="V185" i="14"/>
  <c r="G185" i="14"/>
  <c r="W185" i="14"/>
  <c r="M185" i="14"/>
  <c r="T185" i="14"/>
  <c r="AG185" i="14"/>
  <c r="N185" i="14"/>
  <c r="K185" i="14"/>
  <c r="G185" i="41"/>
  <c r="A185" i="41"/>
  <c r="A186" i="14"/>
  <c r="AD186" i="6"/>
  <c r="AH186" i="6"/>
  <c r="AG186" i="6"/>
  <c r="AF186" i="6"/>
  <c r="AE186" i="6"/>
  <c r="A187" i="6"/>
  <c r="AY186" i="6" l="1"/>
  <c r="BB186" i="6" s="1"/>
  <c r="B178" i="41"/>
  <c r="F179" i="6"/>
  <c r="B179" i="6"/>
  <c r="G179" i="6"/>
  <c r="D179" i="6"/>
  <c r="E179" i="6" s="1"/>
  <c r="H179" i="6"/>
  <c r="C180" i="6"/>
  <c r="H178" i="41"/>
  <c r="AV177" i="6"/>
  <c r="N177" i="6"/>
  <c r="C177" i="41"/>
  <c r="I177" i="41"/>
  <c r="AU178" i="6"/>
  <c r="J178" i="6"/>
  <c r="I178" i="6"/>
  <c r="G186" i="41"/>
  <c r="A187" i="14"/>
  <c r="A186" i="41"/>
  <c r="AD187" i="6"/>
  <c r="AH187" i="6"/>
  <c r="AE187" i="6"/>
  <c r="AG187" i="6"/>
  <c r="AF187" i="6"/>
  <c r="A188" i="6"/>
  <c r="AC186" i="14"/>
  <c r="V186" i="14"/>
  <c r="K186" i="14"/>
  <c r="E186" i="14"/>
  <c r="L186" i="14"/>
  <c r="F186" i="14"/>
  <c r="T186" i="14"/>
  <c r="I186" i="14"/>
  <c r="AE186" i="14"/>
  <c r="AD186" i="14"/>
  <c r="S186" i="14"/>
  <c r="AH186" i="14"/>
  <c r="W186" i="14"/>
  <c r="D186" i="14"/>
  <c r="Z186" i="14"/>
  <c r="N186" i="14"/>
  <c r="X186" i="14"/>
  <c r="AF186" i="14"/>
  <c r="R186" i="14"/>
  <c r="C186" i="14"/>
  <c r="Y186" i="14"/>
  <c r="AI186" i="14"/>
  <c r="P186" i="14"/>
  <c r="G186" i="14"/>
  <c r="U186" i="14"/>
  <c r="AJ186" i="14"/>
  <c r="H186" i="14"/>
  <c r="AG186" i="14"/>
  <c r="O186" i="14"/>
  <c r="AA186" i="14"/>
  <c r="AB186" i="14"/>
  <c r="Q186" i="14"/>
  <c r="M186" i="14"/>
  <c r="J186" i="14"/>
  <c r="AY187" i="6" l="1"/>
  <c r="BB187" i="6" s="1"/>
  <c r="B179" i="41"/>
  <c r="D180" i="6"/>
  <c r="E180" i="6" s="1"/>
  <c r="F180" i="6"/>
  <c r="H180" i="6"/>
  <c r="B180" i="6"/>
  <c r="G180" i="6"/>
  <c r="H179" i="41"/>
  <c r="C181" i="6"/>
  <c r="AU179" i="6"/>
  <c r="J179" i="6"/>
  <c r="I179" i="6"/>
  <c r="C178" i="41"/>
  <c r="I178" i="41"/>
  <c r="AV178" i="6"/>
  <c r="N178" i="6"/>
  <c r="AF187" i="14"/>
  <c r="AD187" i="14"/>
  <c r="Q187" i="14"/>
  <c r="C187" i="14"/>
  <c r="J187" i="14"/>
  <c r="AA187" i="14"/>
  <c r="M187" i="14"/>
  <c r="E187" i="14"/>
  <c r="X187" i="14"/>
  <c r="AC187" i="14"/>
  <c r="V187" i="14"/>
  <c r="U187" i="14"/>
  <c r="AH187" i="14"/>
  <c r="W187" i="14"/>
  <c r="F187" i="14"/>
  <c r="T187" i="14"/>
  <c r="L187" i="14"/>
  <c r="N187" i="14"/>
  <c r="R187" i="14"/>
  <c r="S187" i="14"/>
  <c r="AB187" i="14"/>
  <c r="G187" i="14"/>
  <c r="O187" i="14"/>
  <c r="K187" i="14"/>
  <c r="AE187" i="14"/>
  <c r="AJ187" i="14"/>
  <c r="P187" i="14"/>
  <c r="I187" i="14"/>
  <c r="D187" i="14"/>
  <c r="H187" i="14"/>
  <c r="AG187" i="14"/>
  <c r="Z187" i="14"/>
  <c r="Y187" i="14"/>
  <c r="AI187" i="14"/>
  <c r="G187" i="41"/>
  <c r="A188" i="14"/>
  <c r="A187" i="41"/>
  <c r="AD188" i="6"/>
  <c r="AH188" i="6"/>
  <c r="AE188" i="6"/>
  <c r="AG188" i="6"/>
  <c r="AF188" i="6"/>
  <c r="A189" i="6"/>
  <c r="AY188" i="6" l="1"/>
  <c r="BB188" i="6" s="1"/>
  <c r="AV179" i="6"/>
  <c r="N179" i="6"/>
  <c r="B180" i="41"/>
  <c r="G181" i="6"/>
  <c r="D181" i="6"/>
  <c r="E181" i="6" s="1"/>
  <c r="H181" i="6"/>
  <c r="F181" i="6"/>
  <c r="B181" i="6"/>
  <c r="C182" i="6"/>
  <c r="H180" i="41"/>
  <c r="AU180" i="6"/>
  <c r="I180" i="6"/>
  <c r="J180" i="6"/>
  <c r="C179" i="41"/>
  <c r="I179" i="41"/>
  <c r="A189" i="14"/>
  <c r="G188" i="41"/>
  <c r="A188" i="41"/>
  <c r="AD189" i="6"/>
  <c r="AF189" i="6"/>
  <c r="AH189" i="6"/>
  <c r="AE189" i="6"/>
  <c r="AG189" i="6"/>
  <c r="A190" i="6"/>
  <c r="S188" i="14"/>
  <c r="N188" i="14"/>
  <c r="R188" i="14"/>
  <c r="P188" i="14"/>
  <c r="C188" i="14"/>
  <c r="Q188" i="14"/>
  <c r="Y188" i="14"/>
  <c r="AJ188" i="14"/>
  <c r="H188" i="14"/>
  <c r="AD188" i="14"/>
  <c r="AH188" i="14"/>
  <c r="AF188" i="14"/>
  <c r="X188" i="14"/>
  <c r="M188" i="14"/>
  <c r="K188" i="14"/>
  <c r="AI188" i="14"/>
  <c r="O188" i="14"/>
  <c r="U188" i="14"/>
  <c r="AG188" i="14"/>
  <c r="J188" i="14"/>
  <c r="AA188" i="14"/>
  <c r="D188" i="14"/>
  <c r="L188" i="14"/>
  <c r="G188" i="14"/>
  <c r="AC188" i="14"/>
  <c r="V188" i="14"/>
  <c r="AE188" i="14"/>
  <c r="I188" i="14"/>
  <c r="AB188" i="14"/>
  <c r="T188" i="14"/>
  <c r="W188" i="14"/>
  <c r="Z188" i="14"/>
  <c r="E188" i="14"/>
  <c r="F188" i="14"/>
  <c r="AY189" i="6" l="1"/>
  <c r="BB189" i="6" s="1"/>
  <c r="C180" i="41"/>
  <c r="I180" i="41"/>
  <c r="AU181" i="6"/>
  <c r="I181" i="6"/>
  <c r="J181" i="6"/>
  <c r="AV180" i="6"/>
  <c r="N180" i="6"/>
  <c r="B181" i="41"/>
  <c r="H182" i="6"/>
  <c r="F182" i="6"/>
  <c r="B182" i="6"/>
  <c r="D182" i="6"/>
  <c r="E182" i="6" s="1"/>
  <c r="G182" i="6"/>
  <c r="H181" i="41"/>
  <c r="C183" i="6"/>
  <c r="S189" i="14"/>
  <c r="AG189" i="14"/>
  <c r="N189" i="14"/>
  <c r="AB189" i="14"/>
  <c r="Q189" i="14"/>
  <c r="C189" i="14"/>
  <c r="AJ189" i="14"/>
  <c r="P189" i="14"/>
  <c r="E189" i="14"/>
  <c r="U189" i="14"/>
  <c r="Y189" i="14"/>
  <c r="AI189" i="14"/>
  <c r="H189" i="14"/>
  <c r="X189" i="14"/>
  <c r="L189" i="14"/>
  <c r="AF189" i="14"/>
  <c r="AH189" i="14"/>
  <c r="O189" i="14"/>
  <c r="M189" i="14"/>
  <c r="J189" i="14"/>
  <c r="AA189" i="14"/>
  <c r="Z189" i="14"/>
  <c r="D189" i="14"/>
  <c r="K189" i="14"/>
  <c r="AC189" i="14"/>
  <c r="V189" i="14"/>
  <c r="R189" i="14"/>
  <c r="AE189" i="14"/>
  <c r="AD189" i="14"/>
  <c r="G189" i="14"/>
  <c r="W189" i="14"/>
  <c r="I189" i="14"/>
  <c r="F189" i="14"/>
  <c r="T189" i="14"/>
  <c r="A190" i="14"/>
  <c r="G189" i="41"/>
  <c r="A189" i="41"/>
  <c r="AD190" i="6"/>
  <c r="AH190" i="6"/>
  <c r="AG190" i="6"/>
  <c r="AF190" i="6"/>
  <c r="AE190" i="6"/>
  <c r="A191" i="6"/>
  <c r="AY190" i="6" l="1"/>
  <c r="BB190" i="6" s="1"/>
  <c r="C181" i="41"/>
  <c r="I181" i="41"/>
  <c r="AV181" i="6"/>
  <c r="N181" i="6"/>
  <c r="AU182" i="6"/>
  <c r="I182" i="6"/>
  <c r="J182" i="6"/>
  <c r="B182" i="41"/>
  <c r="H183" i="6"/>
  <c r="B183" i="6"/>
  <c r="F183" i="6"/>
  <c r="G183" i="6"/>
  <c r="D183" i="6"/>
  <c r="E183" i="6" s="1"/>
  <c r="H182" i="41"/>
  <c r="C184" i="6"/>
  <c r="T190" i="14"/>
  <c r="K190" i="14"/>
  <c r="E190" i="14"/>
  <c r="U190" i="14"/>
  <c r="J190" i="14"/>
  <c r="S190" i="14"/>
  <c r="I190" i="14"/>
  <c r="AE190" i="14"/>
  <c r="O190" i="14"/>
  <c r="AC190" i="14"/>
  <c r="V190" i="14"/>
  <c r="AH190" i="14"/>
  <c r="W190" i="14"/>
  <c r="M190" i="14"/>
  <c r="F190" i="14"/>
  <c r="Z190" i="14"/>
  <c r="N190" i="14"/>
  <c r="L190" i="14"/>
  <c r="Y190" i="14"/>
  <c r="AF190" i="14"/>
  <c r="R190" i="14"/>
  <c r="C190" i="14"/>
  <c r="AI190" i="14"/>
  <c r="P190" i="14"/>
  <c r="G190" i="14"/>
  <c r="AD190" i="14"/>
  <c r="AJ190" i="14"/>
  <c r="H190" i="14"/>
  <c r="AG190" i="14"/>
  <c r="D190" i="14"/>
  <c r="Q190" i="14"/>
  <c r="X190" i="14"/>
  <c r="AA190" i="14"/>
  <c r="AB190" i="14"/>
  <c r="A190" i="41"/>
  <c r="D190" i="41" s="1"/>
  <c r="A191" i="14"/>
  <c r="G190" i="41"/>
  <c r="AD191" i="6"/>
  <c r="AG191" i="6"/>
  <c r="AF191" i="6"/>
  <c r="AH191" i="6"/>
  <c r="AE191" i="6"/>
  <c r="A192" i="6"/>
  <c r="AJ192" i="6" l="1"/>
  <c r="AZ192" i="6" s="1"/>
  <c r="BC192" i="6" s="1"/>
  <c r="AN192" i="6"/>
  <c r="Q192" i="6"/>
  <c r="AO192" i="6"/>
  <c r="X192" i="6"/>
  <c r="AX192" i="6" s="1"/>
  <c r="BA192" i="6" s="1"/>
  <c r="AK192" i="6"/>
  <c r="AL192" i="6"/>
  <c r="AM192" i="6"/>
  <c r="AY191" i="6"/>
  <c r="BB191" i="6" s="1"/>
  <c r="C182" i="41"/>
  <c r="I182" i="41"/>
  <c r="AU183" i="6"/>
  <c r="J183" i="6"/>
  <c r="I183" i="6"/>
  <c r="B183" i="41"/>
  <c r="H184" i="6"/>
  <c r="B184" i="6"/>
  <c r="F184" i="6"/>
  <c r="D184" i="6"/>
  <c r="E184" i="6" s="1"/>
  <c r="G184" i="6"/>
  <c r="C185" i="6"/>
  <c r="H183" i="41"/>
  <c r="AV182" i="6"/>
  <c r="N182" i="6"/>
  <c r="C192" i="6"/>
  <c r="B191" i="41" s="1"/>
  <c r="H192" i="6"/>
  <c r="AU192" i="6" s="1"/>
  <c r="G192" i="6"/>
  <c r="D192" i="6"/>
  <c r="G191" i="41"/>
  <c r="A192" i="14"/>
  <c r="E192" i="6"/>
  <c r="C191" i="41" s="1"/>
  <c r="A191" i="41"/>
  <c r="D191" i="41" s="1"/>
  <c r="F192" i="6"/>
  <c r="B192" i="6"/>
  <c r="V192" i="6"/>
  <c r="U192" i="6"/>
  <c r="N192" i="6"/>
  <c r="I192" i="6"/>
  <c r="J192" i="6"/>
  <c r="AV192" i="6" s="1"/>
  <c r="T192" i="6"/>
  <c r="Z192" i="6"/>
  <c r="AR192" i="6"/>
  <c r="L192" i="6"/>
  <c r="M192" i="6"/>
  <c r="M191" i="41" s="1"/>
  <c r="P191" i="41" s="1"/>
  <c r="Y192" i="6"/>
  <c r="AQ192" i="6"/>
  <c r="K192" i="6"/>
  <c r="O192" i="6"/>
  <c r="N191" i="41" s="1"/>
  <c r="S192" i="6"/>
  <c r="AA192" i="6"/>
  <c r="AB192" i="6"/>
  <c r="R192" i="6"/>
  <c r="AH192" i="6"/>
  <c r="AD192" i="6"/>
  <c r="AY192" i="6" s="1"/>
  <c r="BB192" i="6" s="1"/>
  <c r="AF192" i="6"/>
  <c r="AE192" i="6"/>
  <c r="AG192" i="6"/>
  <c r="A193" i="6"/>
  <c r="J190" i="41"/>
  <c r="S191" i="14"/>
  <c r="K191" i="14"/>
  <c r="AH191" i="14"/>
  <c r="Y191" i="14"/>
  <c r="P191" i="14"/>
  <c r="I191" i="14"/>
  <c r="N191" i="14"/>
  <c r="AJ191" i="14"/>
  <c r="H191" i="14"/>
  <c r="AG191" i="14"/>
  <c r="G191" i="14"/>
  <c r="AI191" i="14"/>
  <c r="AD191" i="14"/>
  <c r="Q191" i="14"/>
  <c r="AE191" i="14"/>
  <c r="J191" i="14"/>
  <c r="AF191" i="14"/>
  <c r="M191" i="14"/>
  <c r="E191" i="14"/>
  <c r="D191" i="14"/>
  <c r="AC191" i="14"/>
  <c r="AA191" i="14"/>
  <c r="U191" i="14"/>
  <c r="W191" i="14"/>
  <c r="Z191" i="14"/>
  <c r="F191" i="14"/>
  <c r="T191" i="14"/>
  <c r="L191" i="14"/>
  <c r="R191" i="14"/>
  <c r="C191" i="14"/>
  <c r="O191" i="14"/>
  <c r="X191" i="14"/>
  <c r="V191" i="14"/>
  <c r="AB191" i="14"/>
  <c r="AJ193" i="6" l="1"/>
  <c r="AZ193" i="6" s="1"/>
  <c r="BC193" i="6" s="1"/>
  <c r="Q193" i="6"/>
  <c r="AK193" i="6"/>
  <c r="AL193" i="6"/>
  <c r="AM193" i="6"/>
  <c r="AN193" i="6"/>
  <c r="X193" i="6"/>
  <c r="AX193" i="6" s="1"/>
  <c r="BA193" i="6" s="1"/>
  <c r="AO193" i="6"/>
  <c r="AU184" i="6"/>
  <c r="I184" i="6"/>
  <c r="J184" i="6"/>
  <c r="B184" i="41"/>
  <c r="G185" i="6"/>
  <c r="F185" i="6"/>
  <c r="D185" i="6"/>
  <c r="E185" i="6" s="1"/>
  <c r="B185" i="6"/>
  <c r="H185" i="6"/>
  <c r="H184" i="41"/>
  <c r="C186" i="6"/>
  <c r="AV183" i="6"/>
  <c r="N183" i="6"/>
  <c r="C183" i="41"/>
  <c r="I183" i="41"/>
  <c r="H191" i="41"/>
  <c r="I191" i="41"/>
  <c r="J191" i="41"/>
  <c r="T192" i="14"/>
  <c r="W192" i="14"/>
  <c r="AH192" i="14"/>
  <c r="Q192" i="14"/>
  <c r="N192" i="14"/>
  <c r="K192" i="14"/>
  <c r="AJ192" i="14"/>
  <c r="P192" i="14"/>
  <c r="C192" i="14"/>
  <c r="AG192" i="14"/>
  <c r="Y192" i="14"/>
  <c r="AF192" i="14"/>
  <c r="H192" i="14"/>
  <c r="AD192" i="14"/>
  <c r="G192" i="14"/>
  <c r="AI192" i="14"/>
  <c r="X192" i="14"/>
  <c r="M192" i="14"/>
  <c r="AB192" i="14"/>
  <c r="J192" i="14"/>
  <c r="AA192" i="14"/>
  <c r="O192" i="14"/>
  <c r="U192" i="14"/>
  <c r="E192" i="14"/>
  <c r="AC192" i="14"/>
  <c r="S192" i="14"/>
  <c r="D192" i="14"/>
  <c r="L192" i="14"/>
  <c r="Z192" i="14"/>
  <c r="R192" i="14"/>
  <c r="F192" i="14"/>
  <c r="V192" i="14"/>
  <c r="AE192" i="14"/>
  <c r="I192" i="14"/>
  <c r="C193" i="6"/>
  <c r="B192" i="41" s="1"/>
  <c r="B193" i="6"/>
  <c r="F193" i="6"/>
  <c r="H193" i="6"/>
  <c r="AU193" i="6" s="1"/>
  <c r="A193" i="14"/>
  <c r="D193" i="6"/>
  <c r="E193" i="6"/>
  <c r="C192" i="41" s="1"/>
  <c r="G192" i="41"/>
  <c r="A192" i="41"/>
  <c r="D192" i="41" s="1"/>
  <c r="G193" i="6"/>
  <c r="N193" i="6"/>
  <c r="U193" i="6"/>
  <c r="V193" i="6"/>
  <c r="I193" i="6"/>
  <c r="J193" i="6"/>
  <c r="AV193" i="6" s="1"/>
  <c r="S193" i="6"/>
  <c r="Y193" i="6"/>
  <c r="AA193" i="6"/>
  <c r="AD193" i="6"/>
  <c r="AY193" i="6" s="1"/>
  <c r="BB193" i="6" s="1"/>
  <c r="R193" i="6"/>
  <c r="T193" i="6"/>
  <c r="AR193" i="6"/>
  <c r="L193" i="6"/>
  <c r="AQ193" i="6"/>
  <c r="K193" i="6"/>
  <c r="O193" i="6"/>
  <c r="N192" i="41" s="1"/>
  <c r="Z193" i="6"/>
  <c r="AH193" i="6"/>
  <c r="M193" i="6"/>
  <c r="M192" i="41" s="1"/>
  <c r="P192" i="41" s="1"/>
  <c r="AB193" i="6"/>
  <c r="AE193" i="6"/>
  <c r="AF193" i="6"/>
  <c r="AG193" i="6"/>
  <c r="A194" i="6"/>
  <c r="O191" i="41"/>
  <c r="AW192" i="6"/>
  <c r="BF192" i="6" s="1"/>
  <c r="BG192" i="6" s="1"/>
  <c r="BH192" i="6" s="1"/>
  <c r="AL194" i="6" l="1"/>
  <c r="AM194" i="6"/>
  <c r="AJ194" i="6"/>
  <c r="AN194" i="6"/>
  <c r="Q194" i="6"/>
  <c r="AO194" i="6"/>
  <c r="X194" i="6"/>
  <c r="AX194" i="6" s="1"/>
  <c r="BA194" i="6" s="1"/>
  <c r="AK194" i="6"/>
  <c r="C184" i="41"/>
  <c r="I184" i="41"/>
  <c r="B185" i="41"/>
  <c r="D186" i="6"/>
  <c r="E186" i="6" s="1"/>
  <c r="H186" i="6"/>
  <c r="B186" i="6"/>
  <c r="F186" i="6"/>
  <c r="G186" i="6"/>
  <c r="C187" i="6"/>
  <c r="H185" i="41"/>
  <c r="AV184" i="6"/>
  <c r="N184" i="6"/>
  <c r="AU185" i="6"/>
  <c r="I185" i="6"/>
  <c r="J185" i="6"/>
  <c r="A193" i="41"/>
  <c r="D193" i="41" s="1"/>
  <c r="C194" i="6"/>
  <c r="B193" i="41" s="1"/>
  <c r="H194" i="6"/>
  <c r="AU194" i="6" s="1"/>
  <c r="B194" i="6"/>
  <c r="G194" i="6"/>
  <c r="D194" i="6"/>
  <c r="A194" i="14"/>
  <c r="E194" i="6"/>
  <c r="C193" i="41" s="1"/>
  <c r="F194" i="6"/>
  <c r="G193" i="41"/>
  <c r="I194" i="6"/>
  <c r="N194" i="6"/>
  <c r="J194" i="6"/>
  <c r="AV194" i="6" s="1"/>
  <c r="V194" i="6"/>
  <c r="AZ194" i="6"/>
  <c r="BC194" i="6" s="1"/>
  <c r="AQ194" i="6"/>
  <c r="T194" i="6"/>
  <c r="Z194" i="6"/>
  <c r="Y194" i="6"/>
  <c r="AA194" i="6"/>
  <c r="AR194" i="6"/>
  <c r="L194" i="6"/>
  <c r="U194" i="6"/>
  <c r="S194" i="6"/>
  <c r="K194" i="6"/>
  <c r="R194" i="6"/>
  <c r="O194" i="6"/>
  <c r="N193" i="41" s="1"/>
  <c r="M194" i="6"/>
  <c r="M193" i="41" s="1"/>
  <c r="P193" i="41" s="1"/>
  <c r="AB194" i="6"/>
  <c r="AD194" i="6"/>
  <c r="AY194" i="6" s="1"/>
  <c r="BB194" i="6" s="1"/>
  <c r="AF194" i="6"/>
  <c r="AE194" i="6"/>
  <c r="AG194" i="6"/>
  <c r="AH194" i="6"/>
  <c r="A195" i="6"/>
  <c r="I192" i="41"/>
  <c r="H192" i="41"/>
  <c r="J192" i="41"/>
  <c r="O192" i="41"/>
  <c r="AW193" i="6"/>
  <c r="BF193" i="6" s="1"/>
  <c r="BG193" i="6" s="1"/>
  <c r="BH193" i="6" s="1"/>
  <c r="AC193" i="14"/>
  <c r="AA193" i="14"/>
  <c r="R193" i="14"/>
  <c r="AE193" i="14"/>
  <c r="AD193" i="14"/>
  <c r="F193" i="14"/>
  <c r="V193" i="14"/>
  <c r="G193" i="14"/>
  <c r="W193" i="14"/>
  <c r="I193" i="14"/>
  <c r="T193" i="14"/>
  <c r="AG193" i="14"/>
  <c r="N193" i="14"/>
  <c r="AB193" i="14"/>
  <c r="S193" i="14"/>
  <c r="Q193" i="14"/>
  <c r="C193" i="14"/>
  <c r="Y193" i="14"/>
  <c r="P193" i="14"/>
  <c r="E193" i="14"/>
  <c r="U193" i="14"/>
  <c r="AJ193" i="14"/>
  <c r="H193" i="14"/>
  <c r="X193" i="14"/>
  <c r="L193" i="14"/>
  <c r="AI193" i="14"/>
  <c r="AH193" i="14"/>
  <c r="O193" i="14"/>
  <c r="M193" i="14"/>
  <c r="J193" i="14"/>
  <c r="AF193" i="14"/>
  <c r="Z193" i="14"/>
  <c r="D193" i="14"/>
  <c r="K193" i="14"/>
  <c r="X195" i="6" l="1"/>
  <c r="AO195" i="6"/>
  <c r="AJ195" i="6"/>
  <c r="Q195" i="6"/>
  <c r="AK195" i="6"/>
  <c r="AL195" i="6"/>
  <c r="AM195" i="6"/>
  <c r="AN195" i="6"/>
  <c r="AU186" i="6"/>
  <c r="J186" i="6"/>
  <c r="I186" i="6"/>
  <c r="C185" i="41"/>
  <c r="I185" i="41"/>
  <c r="AV185" i="6"/>
  <c r="N185" i="6"/>
  <c r="B186" i="41"/>
  <c r="F187" i="6"/>
  <c r="B187" i="6"/>
  <c r="H187" i="6"/>
  <c r="D187" i="6"/>
  <c r="E187" i="6" s="1"/>
  <c r="G187" i="6"/>
  <c r="H186" i="41"/>
  <c r="C188" i="6"/>
  <c r="J194" i="14"/>
  <c r="AJ194" i="14"/>
  <c r="H194" i="14"/>
  <c r="R194" i="14"/>
  <c r="O194" i="14"/>
  <c r="AC194" i="14"/>
  <c r="AI194" i="14"/>
  <c r="AG194" i="14"/>
  <c r="G194" i="14"/>
  <c r="M194" i="14"/>
  <c r="F194" i="14"/>
  <c r="AF194" i="14"/>
  <c r="AE194" i="14"/>
  <c r="AB194" i="14"/>
  <c r="L194" i="14"/>
  <c r="AA194" i="14"/>
  <c r="W194" i="14"/>
  <c r="Q194" i="14"/>
  <c r="D194" i="14"/>
  <c r="V194" i="14"/>
  <c r="AD194" i="14"/>
  <c r="E194" i="14"/>
  <c r="Z194" i="14"/>
  <c r="T194" i="14"/>
  <c r="K194" i="14"/>
  <c r="X194" i="14"/>
  <c r="U194" i="14"/>
  <c r="Y194" i="14"/>
  <c r="S194" i="14"/>
  <c r="AH194" i="14"/>
  <c r="N194" i="14"/>
  <c r="P194" i="14"/>
  <c r="I194" i="14"/>
  <c r="C194" i="14"/>
  <c r="O193" i="41"/>
  <c r="AW194" i="6"/>
  <c r="BF194" i="6" s="1"/>
  <c r="BG194" i="6" s="1"/>
  <c r="BH194" i="6" s="1"/>
  <c r="A195" i="14"/>
  <c r="D195" i="6"/>
  <c r="G194" i="41"/>
  <c r="E195" i="6"/>
  <c r="C194" i="41" s="1"/>
  <c r="A194" i="41"/>
  <c r="D194" i="41" s="1"/>
  <c r="H195" i="6"/>
  <c r="AU195" i="6" s="1"/>
  <c r="C195" i="6"/>
  <c r="B194" i="41" s="1"/>
  <c r="B195" i="6"/>
  <c r="F195" i="6"/>
  <c r="G195" i="6"/>
  <c r="U195" i="6"/>
  <c r="V195" i="6"/>
  <c r="N195" i="6"/>
  <c r="I195" i="6"/>
  <c r="J195" i="6"/>
  <c r="AV195" i="6" s="1"/>
  <c r="AA195" i="6"/>
  <c r="L195" i="6"/>
  <c r="AZ195" i="6"/>
  <c r="BC195" i="6" s="1"/>
  <c r="K195" i="6"/>
  <c r="AR195" i="6"/>
  <c r="O195" i="6"/>
  <c r="N194" i="41" s="1"/>
  <c r="Z195" i="6"/>
  <c r="AX195" i="6"/>
  <c r="BA195" i="6" s="1"/>
  <c r="AB195" i="6"/>
  <c r="AQ195" i="6"/>
  <c r="T195" i="6"/>
  <c r="Y195" i="6"/>
  <c r="AD195" i="6"/>
  <c r="AY195" i="6" s="1"/>
  <c r="BB195" i="6" s="1"/>
  <c r="S195" i="6"/>
  <c r="M195" i="6"/>
  <c r="M194" i="41" s="1"/>
  <c r="P194" i="41" s="1"/>
  <c r="AH195" i="6"/>
  <c r="AG195" i="6"/>
  <c r="AE195" i="6"/>
  <c r="R195" i="6"/>
  <c r="AF195" i="6"/>
  <c r="A196" i="6"/>
  <c r="I193" i="41"/>
  <c r="H193" i="41"/>
  <c r="J193" i="41"/>
  <c r="X196" i="6" l="1"/>
  <c r="AK196" i="6"/>
  <c r="AL196" i="6"/>
  <c r="AM196" i="6"/>
  <c r="AJ196" i="6"/>
  <c r="AZ196" i="6" s="1"/>
  <c r="BC196" i="6" s="1"/>
  <c r="AN196" i="6"/>
  <c r="Q196" i="6"/>
  <c r="AO196" i="6"/>
  <c r="C186" i="41"/>
  <c r="I186" i="41"/>
  <c r="AU187" i="6"/>
  <c r="J187" i="6"/>
  <c r="I187" i="6"/>
  <c r="AV186" i="6"/>
  <c r="N186" i="6"/>
  <c r="B187" i="41"/>
  <c r="F188" i="6"/>
  <c r="H188" i="6"/>
  <c r="D188" i="6"/>
  <c r="E188" i="6" s="1"/>
  <c r="G188" i="6"/>
  <c r="B188" i="6"/>
  <c r="C189" i="6"/>
  <c r="H187" i="41"/>
  <c r="H194" i="41"/>
  <c r="I194" i="41"/>
  <c r="J194" i="41"/>
  <c r="C196" i="6"/>
  <c r="B195" i="41" s="1"/>
  <c r="H196" i="6"/>
  <c r="AU196" i="6" s="1"/>
  <c r="B196" i="6"/>
  <c r="G196" i="6"/>
  <c r="D196" i="6"/>
  <c r="A196" i="14"/>
  <c r="E196" i="6"/>
  <c r="C195" i="41" s="1"/>
  <c r="G195" i="41"/>
  <c r="F196" i="6"/>
  <c r="A195" i="41"/>
  <c r="D195" i="41" s="1"/>
  <c r="N196" i="6"/>
  <c r="I196" i="6"/>
  <c r="J196" i="6"/>
  <c r="AV196" i="6" s="1"/>
  <c r="U196" i="6"/>
  <c r="V196" i="6"/>
  <c r="T196" i="6"/>
  <c r="K196" i="6"/>
  <c r="AX196" i="6"/>
  <c r="BA196" i="6" s="1"/>
  <c r="AR196" i="6"/>
  <c r="Z196" i="6"/>
  <c r="AQ196" i="6"/>
  <c r="Y196" i="6"/>
  <c r="S196" i="6"/>
  <c r="O196" i="6"/>
  <c r="N195" i="41" s="1"/>
  <c r="AA196" i="6"/>
  <c r="AB196" i="6"/>
  <c r="R196" i="6"/>
  <c r="M196" i="6"/>
  <c r="M195" i="41" s="1"/>
  <c r="P195" i="41" s="1"/>
  <c r="AD196" i="6"/>
  <c r="AY196" i="6" s="1"/>
  <c r="BB196" i="6" s="1"/>
  <c r="AH196" i="6"/>
  <c r="L196" i="6"/>
  <c r="AF196" i="6"/>
  <c r="AE196" i="6"/>
  <c r="AG196" i="6"/>
  <c r="A197" i="6"/>
  <c r="S195" i="14"/>
  <c r="O195" i="14"/>
  <c r="AB195" i="14"/>
  <c r="Y195" i="14"/>
  <c r="P195" i="14"/>
  <c r="D195" i="14"/>
  <c r="Z195" i="14"/>
  <c r="AJ195" i="14"/>
  <c r="H195" i="14"/>
  <c r="AE195" i="14"/>
  <c r="M195" i="14"/>
  <c r="AI195" i="14"/>
  <c r="I195" i="14"/>
  <c r="W195" i="14"/>
  <c r="AH195" i="14"/>
  <c r="J195" i="14"/>
  <c r="AF195" i="14"/>
  <c r="AG195" i="14"/>
  <c r="N195" i="14"/>
  <c r="AD195" i="14"/>
  <c r="AC195" i="14"/>
  <c r="AA195" i="14"/>
  <c r="Q195" i="14"/>
  <c r="C195" i="14"/>
  <c r="R195" i="14"/>
  <c r="F195" i="14"/>
  <c r="V195" i="14"/>
  <c r="E195" i="14"/>
  <c r="U195" i="14"/>
  <c r="K195" i="14"/>
  <c r="T195" i="14"/>
  <c r="X195" i="14"/>
  <c r="L195" i="14"/>
  <c r="G195" i="14"/>
  <c r="O194" i="41"/>
  <c r="AW195" i="6"/>
  <c r="BF195" i="6" s="1"/>
  <c r="BG195" i="6" s="1"/>
  <c r="BH195" i="6" s="1"/>
  <c r="AM197" i="6" l="1"/>
  <c r="AN197" i="6"/>
  <c r="X197" i="6"/>
  <c r="AO197" i="6"/>
  <c r="AJ197" i="6"/>
  <c r="Q197" i="6"/>
  <c r="AK197" i="6"/>
  <c r="AL197" i="6"/>
  <c r="B188" i="41"/>
  <c r="F189" i="6"/>
  <c r="H189" i="6"/>
  <c r="B189" i="6"/>
  <c r="G189" i="6"/>
  <c r="D189" i="6"/>
  <c r="E189" i="6" s="1"/>
  <c r="C190" i="6"/>
  <c r="H188" i="41"/>
  <c r="C187" i="41"/>
  <c r="I187" i="41"/>
  <c r="AU188" i="6"/>
  <c r="J188" i="6"/>
  <c r="I188" i="6"/>
  <c r="AV187" i="6"/>
  <c r="N187" i="6"/>
  <c r="AW196" i="6"/>
  <c r="BF196" i="6" s="1"/>
  <c r="BG196" i="6" s="1"/>
  <c r="BH196" i="6" s="1"/>
  <c r="O195" i="41"/>
  <c r="H197" i="6"/>
  <c r="AU197" i="6" s="1"/>
  <c r="C197" i="6"/>
  <c r="B196" i="41" s="1"/>
  <c r="B197" i="6"/>
  <c r="G197" i="6"/>
  <c r="D197" i="6"/>
  <c r="A197" i="14"/>
  <c r="E197" i="6"/>
  <c r="C196" i="41" s="1"/>
  <c r="G196" i="41"/>
  <c r="A196" i="41"/>
  <c r="D196" i="41" s="1"/>
  <c r="F197" i="6"/>
  <c r="I197" i="6"/>
  <c r="J197" i="6"/>
  <c r="AV197" i="6" s="1"/>
  <c r="N197" i="6"/>
  <c r="U197" i="6"/>
  <c r="T197" i="6"/>
  <c r="AA197" i="6"/>
  <c r="S197" i="6"/>
  <c r="R197" i="6"/>
  <c r="L197" i="6"/>
  <c r="AX197" i="6"/>
  <c r="BA197" i="6" s="1"/>
  <c r="AB197" i="6"/>
  <c r="K197" i="6"/>
  <c r="AD197" i="6"/>
  <c r="AY197" i="6" s="1"/>
  <c r="BB197" i="6" s="1"/>
  <c r="V197" i="6"/>
  <c r="O197" i="6"/>
  <c r="N196" i="41" s="1"/>
  <c r="M197" i="6"/>
  <c r="M196" i="41" s="1"/>
  <c r="P196" i="41" s="1"/>
  <c r="Z197" i="6"/>
  <c r="AQ197" i="6"/>
  <c r="AZ197" i="6"/>
  <c r="BC197" i="6" s="1"/>
  <c r="AH197" i="6"/>
  <c r="AR197" i="6"/>
  <c r="Y197" i="6"/>
  <c r="AG197" i="6"/>
  <c r="AF197" i="6"/>
  <c r="AE197" i="6"/>
  <c r="A198" i="6"/>
  <c r="I195" i="41"/>
  <c r="H195" i="41"/>
  <c r="J195" i="41"/>
  <c r="T196" i="14"/>
  <c r="I196" i="14"/>
  <c r="AE196" i="14"/>
  <c r="AD196" i="14"/>
  <c r="S196" i="14"/>
  <c r="AH196" i="14"/>
  <c r="W196" i="14"/>
  <c r="X196" i="14"/>
  <c r="Z196" i="14"/>
  <c r="N196" i="14"/>
  <c r="D196" i="14"/>
  <c r="Y196" i="14"/>
  <c r="AF196" i="14"/>
  <c r="R196" i="14"/>
  <c r="C196" i="14"/>
  <c r="AJ196" i="14"/>
  <c r="P196" i="14"/>
  <c r="G196" i="14"/>
  <c r="O196" i="14"/>
  <c r="J196" i="14"/>
  <c r="AA196" i="14"/>
  <c r="H196" i="14"/>
  <c r="AG196" i="14"/>
  <c r="M196" i="14"/>
  <c r="AC196" i="14"/>
  <c r="AI196" i="14"/>
  <c r="U196" i="14"/>
  <c r="Q196" i="14"/>
  <c r="K196" i="14"/>
  <c r="V196" i="14"/>
  <c r="L196" i="14"/>
  <c r="E196" i="14"/>
  <c r="AB196" i="14"/>
  <c r="F196" i="14"/>
  <c r="X198" i="6" l="1"/>
  <c r="AK198" i="6"/>
  <c r="AL198" i="6"/>
  <c r="AM198" i="6"/>
  <c r="AJ198" i="6"/>
  <c r="AN198" i="6"/>
  <c r="Q198" i="6"/>
  <c r="AO198" i="6"/>
  <c r="B189" i="41"/>
  <c r="D190" i="6"/>
  <c r="E190" i="6" s="1"/>
  <c r="G190" i="6"/>
  <c r="H190" i="6"/>
  <c r="B190" i="6"/>
  <c r="F190" i="6"/>
  <c r="H189" i="41"/>
  <c r="C191" i="6"/>
  <c r="C188" i="41"/>
  <c r="I188" i="41"/>
  <c r="AV188" i="6"/>
  <c r="N188" i="6"/>
  <c r="AU189" i="6"/>
  <c r="J189" i="6"/>
  <c r="I189" i="6"/>
  <c r="AI197" i="14"/>
  <c r="AE197" i="14"/>
  <c r="I197" i="14"/>
  <c r="X197" i="14"/>
  <c r="J197" i="14"/>
  <c r="AF197" i="14"/>
  <c r="W197" i="14"/>
  <c r="AG197" i="14"/>
  <c r="R197" i="14"/>
  <c r="AC197" i="14"/>
  <c r="AA197" i="14"/>
  <c r="N197" i="14"/>
  <c r="Q197" i="14"/>
  <c r="AH197" i="14"/>
  <c r="F197" i="14"/>
  <c r="V197" i="14"/>
  <c r="C197" i="14"/>
  <c r="E197" i="14"/>
  <c r="O197" i="14"/>
  <c r="T197" i="14"/>
  <c r="U197" i="14"/>
  <c r="G197" i="14"/>
  <c r="M197" i="14"/>
  <c r="S197" i="14"/>
  <c r="L197" i="14"/>
  <c r="AD197" i="14"/>
  <c r="Y197" i="14"/>
  <c r="P197" i="14"/>
  <c r="AB197" i="14"/>
  <c r="D197" i="14"/>
  <c r="AJ197" i="14"/>
  <c r="H197" i="14"/>
  <c r="K197" i="14"/>
  <c r="Z197" i="14"/>
  <c r="AW197" i="6"/>
  <c r="BF197" i="6" s="1"/>
  <c r="BG197" i="6" s="1"/>
  <c r="BH197" i="6" s="1"/>
  <c r="O196" i="41"/>
  <c r="E198" i="6"/>
  <c r="C197" i="41" s="1"/>
  <c r="G197" i="41"/>
  <c r="A197" i="41"/>
  <c r="D197" i="41" s="1"/>
  <c r="C198" i="6"/>
  <c r="B197" i="41" s="1"/>
  <c r="H198" i="6"/>
  <c r="AU198" i="6" s="1"/>
  <c r="B198" i="6"/>
  <c r="F198" i="6"/>
  <c r="G198" i="6"/>
  <c r="A198" i="14"/>
  <c r="D198" i="6"/>
  <c r="V198" i="6"/>
  <c r="U198" i="6"/>
  <c r="I198" i="6"/>
  <c r="J198" i="6"/>
  <c r="AV198" i="6" s="1"/>
  <c r="N198" i="6"/>
  <c r="M198" i="6"/>
  <c r="M197" i="41" s="1"/>
  <c r="P197" i="41" s="1"/>
  <c r="AX198" i="6"/>
  <c r="BA198" i="6" s="1"/>
  <c r="AB198" i="6"/>
  <c r="AR198" i="6"/>
  <c r="S198" i="6"/>
  <c r="Z198" i="6"/>
  <c r="AD198" i="6"/>
  <c r="AY198" i="6" s="1"/>
  <c r="BB198" i="6" s="1"/>
  <c r="AQ198" i="6"/>
  <c r="R198" i="6"/>
  <c r="T198" i="6"/>
  <c r="Y198" i="6"/>
  <c r="AZ198" i="6"/>
  <c r="BC198" i="6" s="1"/>
  <c r="L198" i="6"/>
  <c r="AA198" i="6"/>
  <c r="K198" i="6"/>
  <c r="O198" i="6"/>
  <c r="N197" i="41" s="1"/>
  <c r="AH198" i="6"/>
  <c r="AF198" i="6"/>
  <c r="AE198" i="6"/>
  <c r="AG198" i="6"/>
  <c r="A199" i="6"/>
  <c r="I196" i="41"/>
  <c r="H196" i="41"/>
  <c r="J196" i="41"/>
  <c r="Q199" i="6" l="1"/>
  <c r="AK199" i="6"/>
  <c r="AL199" i="6"/>
  <c r="AM199" i="6"/>
  <c r="AN199" i="6"/>
  <c r="X199" i="6"/>
  <c r="AX199" i="6" s="1"/>
  <c r="BA199" i="6" s="1"/>
  <c r="AO199" i="6"/>
  <c r="AJ199" i="6"/>
  <c r="AZ199" i="6" s="1"/>
  <c r="BC199" i="6" s="1"/>
  <c r="AV189" i="6"/>
  <c r="N189" i="6"/>
  <c r="B190" i="41"/>
  <c r="F191" i="6"/>
  <c r="H191" i="6"/>
  <c r="G191" i="6"/>
  <c r="D191" i="6"/>
  <c r="E191" i="6" s="1"/>
  <c r="B191" i="6"/>
  <c r="H190" i="41"/>
  <c r="AU190" i="6"/>
  <c r="I190" i="6"/>
  <c r="J190" i="6"/>
  <c r="C189" i="41"/>
  <c r="I189" i="41"/>
  <c r="O197" i="41"/>
  <c r="AW198" i="6"/>
  <c r="BF198" i="6" s="1"/>
  <c r="BG198" i="6" s="1"/>
  <c r="BH198" i="6" s="1"/>
  <c r="C199" i="6"/>
  <c r="B198" i="41" s="1"/>
  <c r="H199" i="6"/>
  <c r="AU199" i="6" s="1"/>
  <c r="G199" i="6"/>
  <c r="B199" i="6"/>
  <c r="A199" i="14"/>
  <c r="D199" i="6"/>
  <c r="G198" i="41"/>
  <c r="E199" i="6"/>
  <c r="C198" i="41" s="1"/>
  <c r="A198" i="41"/>
  <c r="D198" i="41" s="1"/>
  <c r="F199" i="6"/>
  <c r="I199" i="6"/>
  <c r="J199" i="6"/>
  <c r="AV199" i="6" s="1"/>
  <c r="N199" i="6"/>
  <c r="V199" i="6"/>
  <c r="U199" i="6"/>
  <c r="Y199" i="6"/>
  <c r="AA199" i="6"/>
  <c r="S199" i="6"/>
  <c r="R199" i="6"/>
  <c r="T199" i="6"/>
  <c r="AQ199" i="6"/>
  <c r="L199" i="6"/>
  <c r="O199" i="6"/>
  <c r="N198" i="41" s="1"/>
  <c r="AB199" i="6"/>
  <c r="AR199" i="6"/>
  <c r="K199" i="6"/>
  <c r="M199" i="6"/>
  <c r="M198" i="41" s="1"/>
  <c r="P198" i="41" s="1"/>
  <c r="AD199" i="6"/>
  <c r="AY199" i="6" s="1"/>
  <c r="BB199" i="6" s="1"/>
  <c r="AH199" i="6"/>
  <c r="Z199" i="6"/>
  <c r="AG199" i="6"/>
  <c r="AF199" i="6"/>
  <c r="AE199" i="6"/>
  <c r="A200" i="6"/>
  <c r="I197" i="41"/>
  <c r="H197" i="41"/>
  <c r="J197" i="41"/>
  <c r="Y198" i="14"/>
  <c r="AF198" i="14"/>
  <c r="N198" i="14"/>
  <c r="R198" i="14"/>
  <c r="AI198" i="14"/>
  <c r="P198" i="14"/>
  <c r="C198" i="14"/>
  <c r="O198" i="14"/>
  <c r="J198" i="14"/>
  <c r="AJ198" i="14"/>
  <c r="H198" i="14"/>
  <c r="AD198" i="14"/>
  <c r="G198" i="14"/>
  <c r="AC198" i="14"/>
  <c r="AA198" i="14"/>
  <c r="AG198" i="14"/>
  <c r="M198" i="14"/>
  <c r="AH198" i="14"/>
  <c r="F198" i="14"/>
  <c r="T198" i="14"/>
  <c r="Q198" i="14"/>
  <c r="U198" i="14"/>
  <c r="AB198" i="14"/>
  <c r="S198" i="14"/>
  <c r="E198" i="14"/>
  <c r="L198" i="14"/>
  <c r="Z198" i="14"/>
  <c r="V198" i="14"/>
  <c r="AE198" i="14"/>
  <c r="I198" i="14"/>
  <c r="K198" i="14"/>
  <c r="W198" i="14"/>
  <c r="X198" i="14"/>
  <c r="D198" i="14"/>
  <c r="AJ200" i="6" l="1"/>
  <c r="AN200" i="6"/>
  <c r="Q200" i="6"/>
  <c r="AO200" i="6"/>
  <c r="X200" i="6"/>
  <c r="AX200" i="6" s="1"/>
  <c r="BA200" i="6" s="1"/>
  <c r="AK200" i="6"/>
  <c r="AL200" i="6"/>
  <c r="AM200" i="6"/>
  <c r="AU191" i="6"/>
  <c r="I191" i="6"/>
  <c r="J191" i="6"/>
  <c r="AV190" i="6"/>
  <c r="N190" i="6"/>
  <c r="C190" i="41"/>
  <c r="I190" i="41"/>
  <c r="V199" i="14"/>
  <c r="E199" i="14"/>
  <c r="U199" i="14"/>
  <c r="Z199" i="14"/>
  <c r="S199" i="14"/>
  <c r="X199" i="14"/>
  <c r="L199" i="14"/>
  <c r="R199" i="14"/>
  <c r="O199" i="14"/>
  <c r="M199" i="14"/>
  <c r="Y199" i="14"/>
  <c r="AJ199" i="14"/>
  <c r="P199" i="14"/>
  <c r="D199" i="14"/>
  <c r="AH199" i="14"/>
  <c r="AI199" i="14"/>
  <c r="H199" i="14"/>
  <c r="AE199" i="14"/>
  <c r="K199" i="14"/>
  <c r="J199" i="14"/>
  <c r="AF199" i="14"/>
  <c r="I199" i="14"/>
  <c r="W199" i="14"/>
  <c r="AD199" i="14"/>
  <c r="AC199" i="14"/>
  <c r="AA199" i="14"/>
  <c r="AG199" i="14"/>
  <c r="N199" i="14"/>
  <c r="G199" i="14"/>
  <c r="Q199" i="14"/>
  <c r="C199" i="14"/>
  <c r="AB199" i="14"/>
  <c r="F199" i="14"/>
  <c r="T199" i="14"/>
  <c r="O198" i="41"/>
  <c r="AW199" i="6"/>
  <c r="BF199" i="6" s="1"/>
  <c r="BG199" i="6" s="1"/>
  <c r="BH199" i="6" s="1"/>
  <c r="H198" i="41"/>
  <c r="I198" i="41"/>
  <c r="J198" i="41"/>
  <c r="A199" i="41"/>
  <c r="D199" i="41" s="1"/>
  <c r="C200" i="6"/>
  <c r="B199" i="41" s="1"/>
  <c r="H200" i="6"/>
  <c r="AU200" i="6" s="1"/>
  <c r="B200" i="6"/>
  <c r="G200" i="6"/>
  <c r="D200" i="6"/>
  <c r="A200" i="14"/>
  <c r="E200" i="6"/>
  <c r="C199" i="41" s="1"/>
  <c r="F200" i="6"/>
  <c r="G199" i="41"/>
  <c r="U200" i="6"/>
  <c r="I200" i="6"/>
  <c r="J200" i="6"/>
  <c r="AV200" i="6" s="1"/>
  <c r="Y200" i="6"/>
  <c r="AA200" i="6"/>
  <c r="M200" i="6"/>
  <c r="M199" i="41" s="1"/>
  <c r="P199" i="41" s="1"/>
  <c r="AZ200" i="6"/>
  <c r="BC200" i="6" s="1"/>
  <c r="AR200" i="6"/>
  <c r="S200" i="6"/>
  <c r="L200" i="6"/>
  <c r="N200" i="6"/>
  <c r="V200" i="6"/>
  <c r="R200" i="6"/>
  <c r="T200" i="6"/>
  <c r="K200" i="6"/>
  <c r="AB200" i="6"/>
  <c r="AQ200" i="6"/>
  <c r="O200" i="6"/>
  <c r="N199" i="41" s="1"/>
  <c r="Z200" i="6"/>
  <c r="AH200" i="6"/>
  <c r="AD200" i="6"/>
  <c r="AY200" i="6" s="1"/>
  <c r="BB200" i="6" s="1"/>
  <c r="AF200" i="6"/>
  <c r="AE200" i="6"/>
  <c r="AG200" i="6"/>
  <c r="A201" i="6"/>
  <c r="AJ201" i="6" l="1"/>
  <c r="Q201" i="6"/>
  <c r="AK201" i="6"/>
  <c r="AL201" i="6"/>
  <c r="AM201" i="6"/>
  <c r="AN201" i="6"/>
  <c r="X201" i="6"/>
  <c r="AX201" i="6" s="1"/>
  <c r="BA201" i="6" s="1"/>
  <c r="AO201" i="6"/>
  <c r="AV191" i="6"/>
  <c r="N191" i="6"/>
  <c r="G200" i="41"/>
  <c r="A201" i="14"/>
  <c r="G201" i="6"/>
  <c r="A200" i="41"/>
  <c r="D200" i="41" s="1"/>
  <c r="C201" i="6"/>
  <c r="B200" i="41" s="1"/>
  <c r="B201" i="6"/>
  <c r="D201" i="6"/>
  <c r="E201" i="6"/>
  <c r="C200" i="41" s="1"/>
  <c r="H201" i="6"/>
  <c r="AU201" i="6" s="1"/>
  <c r="F201" i="6"/>
  <c r="I201" i="6"/>
  <c r="J201" i="6"/>
  <c r="AV201" i="6" s="1"/>
  <c r="V201" i="6"/>
  <c r="U201" i="6"/>
  <c r="N201" i="6"/>
  <c r="R201" i="6"/>
  <c r="AD201" i="6"/>
  <c r="AY201" i="6" s="1"/>
  <c r="BB201" i="6" s="1"/>
  <c r="AZ201" i="6"/>
  <c r="BC201" i="6" s="1"/>
  <c r="AQ201" i="6"/>
  <c r="O201" i="6"/>
  <c r="N200" i="41" s="1"/>
  <c r="L201" i="6"/>
  <c r="M201" i="6"/>
  <c r="M200" i="41" s="1"/>
  <c r="P200" i="41" s="1"/>
  <c r="T201" i="6"/>
  <c r="K201" i="6"/>
  <c r="AR201" i="6"/>
  <c r="Z201" i="6"/>
  <c r="AA201" i="6"/>
  <c r="S201" i="6"/>
  <c r="AB201" i="6"/>
  <c r="AH201" i="6"/>
  <c r="Y201" i="6"/>
  <c r="AF201" i="6"/>
  <c r="AE201" i="6"/>
  <c r="AG201" i="6"/>
  <c r="A202" i="6"/>
  <c r="AC200" i="14"/>
  <c r="AI200" i="14"/>
  <c r="L200" i="14"/>
  <c r="E200" i="14"/>
  <c r="AD200" i="14"/>
  <c r="F200" i="14"/>
  <c r="AA200" i="14"/>
  <c r="I200" i="14"/>
  <c r="AE200" i="14"/>
  <c r="O200" i="14"/>
  <c r="S200" i="14"/>
  <c r="AH200" i="14"/>
  <c r="W200" i="14"/>
  <c r="K200" i="14"/>
  <c r="V200" i="14"/>
  <c r="Z200" i="14"/>
  <c r="N200" i="14"/>
  <c r="D200" i="14"/>
  <c r="T200" i="14"/>
  <c r="R200" i="14"/>
  <c r="C200" i="14"/>
  <c r="Y200" i="14"/>
  <c r="P200" i="14"/>
  <c r="G200" i="14"/>
  <c r="AB200" i="14"/>
  <c r="AJ200" i="14"/>
  <c r="H200" i="14"/>
  <c r="AG200" i="14"/>
  <c r="X200" i="14"/>
  <c r="U200" i="14"/>
  <c r="Q200" i="14"/>
  <c r="M200" i="14"/>
  <c r="J200" i="14"/>
  <c r="AF200" i="14"/>
  <c r="AW200" i="6"/>
  <c r="BF200" i="6" s="1"/>
  <c r="BG200" i="6" s="1"/>
  <c r="BH200" i="6" s="1"/>
  <c r="O199" i="41"/>
  <c r="I199" i="41"/>
  <c r="H199" i="41"/>
  <c r="J199" i="41"/>
  <c r="AL202" i="6" l="1"/>
  <c r="AM202" i="6"/>
  <c r="AJ202" i="6"/>
  <c r="AN202" i="6"/>
  <c r="Q202" i="6"/>
  <c r="AO202" i="6"/>
  <c r="X202" i="6"/>
  <c r="AX202" i="6" s="1"/>
  <c r="BA202" i="6" s="1"/>
  <c r="AK202" i="6"/>
  <c r="O200" i="41"/>
  <c r="AW201" i="6"/>
  <c r="BF201" i="6" s="1"/>
  <c r="BG201" i="6" s="1"/>
  <c r="BH201" i="6" s="1"/>
  <c r="I200" i="41"/>
  <c r="H200" i="41"/>
  <c r="J200" i="41"/>
  <c r="G202" i="6"/>
  <c r="D202" i="6"/>
  <c r="A202" i="14"/>
  <c r="E202" i="6"/>
  <c r="C201" i="41" s="1"/>
  <c r="G201" i="41"/>
  <c r="A201" i="41"/>
  <c r="D201" i="41" s="1"/>
  <c r="F202" i="6"/>
  <c r="B202" i="6"/>
  <c r="C202" i="6"/>
  <c r="B201" i="41" s="1"/>
  <c r="H202" i="6"/>
  <c r="AU202" i="6" s="1"/>
  <c r="J202" i="6"/>
  <c r="AV202" i="6" s="1"/>
  <c r="I202" i="6"/>
  <c r="N202" i="6"/>
  <c r="U202" i="6"/>
  <c r="V202" i="6"/>
  <c r="L202" i="6"/>
  <c r="K202" i="6"/>
  <c r="T202" i="6"/>
  <c r="O202" i="6"/>
  <c r="N201" i="41" s="1"/>
  <c r="Z202" i="6"/>
  <c r="Y202" i="6"/>
  <c r="AB202" i="6"/>
  <c r="S202" i="6"/>
  <c r="AD202" i="6"/>
  <c r="AY202" i="6" s="1"/>
  <c r="BB202" i="6" s="1"/>
  <c r="R202" i="6"/>
  <c r="AZ202" i="6"/>
  <c r="BC202" i="6" s="1"/>
  <c r="AR202" i="6"/>
  <c r="M202" i="6"/>
  <c r="M201" i="41" s="1"/>
  <c r="P201" i="41" s="1"/>
  <c r="AQ202" i="6"/>
  <c r="AH202" i="6"/>
  <c r="AA202" i="6"/>
  <c r="AE202" i="6"/>
  <c r="AG202" i="6"/>
  <c r="AF202" i="6"/>
  <c r="A203" i="6"/>
  <c r="P201" i="14"/>
  <c r="AB201" i="14"/>
  <c r="AH201" i="14"/>
  <c r="Y201" i="14"/>
  <c r="AJ201" i="14"/>
  <c r="H201" i="14"/>
  <c r="K201" i="14"/>
  <c r="M201" i="14"/>
  <c r="AI201" i="14"/>
  <c r="AE201" i="14"/>
  <c r="I201" i="14"/>
  <c r="G201" i="14"/>
  <c r="J201" i="14"/>
  <c r="AF201" i="14"/>
  <c r="W201" i="14"/>
  <c r="AG201" i="14"/>
  <c r="Z201" i="14"/>
  <c r="AC201" i="14"/>
  <c r="AA201" i="14"/>
  <c r="N201" i="14"/>
  <c r="Q201" i="14"/>
  <c r="X201" i="14"/>
  <c r="F201" i="14"/>
  <c r="V201" i="14"/>
  <c r="C201" i="14"/>
  <c r="E201" i="14"/>
  <c r="D201" i="14"/>
  <c r="T201" i="14"/>
  <c r="U201" i="14"/>
  <c r="R201" i="14"/>
  <c r="AD201" i="14"/>
  <c r="L201" i="14"/>
  <c r="O201" i="14"/>
  <c r="S201" i="14"/>
  <c r="X203" i="6" l="1"/>
  <c r="AO203" i="6"/>
  <c r="AJ203" i="6"/>
  <c r="Q203" i="6"/>
  <c r="AK203" i="6"/>
  <c r="AL203" i="6"/>
  <c r="AM203" i="6"/>
  <c r="AN203" i="6"/>
  <c r="C203" i="6"/>
  <c r="B202" i="41" s="1"/>
  <c r="B203" i="6"/>
  <c r="G203" i="6"/>
  <c r="A203" i="14"/>
  <c r="H203" i="6"/>
  <c r="AU203" i="6" s="1"/>
  <c r="G202" i="41"/>
  <c r="F203" i="6"/>
  <c r="A202" i="41"/>
  <c r="D202" i="41" s="1"/>
  <c r="D203" i="6"/>
  <c r="E203" i="6"/>
  <c r="C202" i="41" s="1"/>
  <c r="U203" i="6"/>
  <c r="V203" i="6"/>
  <c r="N203" i="6"/>
  <c r="I203" i="6"/>
  <c r="T203" i="6"/>
  <c r="Z203" i="6"/>
  <c r="AX203" i="6"/>
  <c r="BA203" i="6" s="1"/>
  <c r="J203" i="6"/>
  <c r="AV203" i="6" s="1"/>
  <c r="L203" i="6"/>
  <c r="K203" i="6"/>
  <c r="AZ203" i="6"/>
  <c r="BC203" i="6" s="1"/>
  <c r="AR203" i="6"/>
  <c r="S203" i="6"/>
  <c r="AQ203" i="6"/>
  <c r="R203" i="6"/>
  <c r="O203" i="6"/>
  <c r="N202" i="41" s="1"/>
  <c r="AB203" i="6"/>
  <c r="M203" i="6"/>
  <c r="M202" i="41" s="1"/>
  <c r="P202" i="41" s="1"/>
  <c r="AD203" i="6"/>
  <c r="AY203" i="6" s="1"/>
  <c r="BB203" i="6" s="1"/>
  <c r="Y203" i="6"/>
  <c r="AH203" i="6"/>
  <c r="AA203" i="6"/>
  <c r="AF203" i="6"/>
  <c r="AE203" i="6"/>
  <c r="AG203" i="6"/>
  <c r="A204" i="6"/>
  <c r="N202" i="14"/>
  <c r="AB202" i="14"/>
  <c r="AF202" i="14"/>
  <c r="P202" i="14"/>
  <c r="C202" i="14"/>
  <c r="D202" i="14"/>
  <c r="Y202" i="14"/>
  <c r="AI202" i="14"/>
  <c r="H202" i="14"/>
  <c r="AD202" i="14"/>
  <c r="Z202" i="14"/>
  <c r="AA202" i="14"/>
  <c r="AG202" i="14"/>
  <c r="M202" i="14"/>
  <c r="X202" i="14"/>
  <c r="J202" i="14"/>
  <c r="AJ202" i="14"/>
  <c r="Q202" i="14"/>
  <c r="U202" i="14"/>
  <c r="R202" i="14"/>
  <c r="AC202" i="14"/>
  <c r="V202" i="14"/>
  <c r="E202" i="14"/>
  <c r="L202" i="14"/>
  <c r="AH202" i="14"/>
  <c r="F202" i="14"/>
  <c r="T202" i="14"/>
  <c r="AE202" i="14"/>
  <c r="I202" i="14"/>
  <c r="O202" i="14"/>
  <c r="G202" i="14"/>
  <c r="K202" i="14"/>
  <c r="S202" i="14"/>
  <c r="W202" i="14"/>
  <c r="AW202" i="6"/>
  <c r="BF202" i="6" s="1"/>
  <c r="BG202" i="6" s="1"/>
  <c r="BH202" i="6" s="1"/>
  <c r="O201" i="41"/>
  <c r="H201" i="41"/>
  <c r="I201" i="41"/>
  <c r="J201" i="41"/>
  <c r="X204" i="6" l="1"/>
  <c r="AX204" i="6" s="1"/>
  <c r="BA204" i="6" s="1"/>
  <c r="AK204" i="6"/>
  <c r="AL204" i="6"/>
  <c r="AM204" i="6"/>
  <c r="AJ204" i="6"/>
  <c r="AZ204" i="6" s="1"/>
  <c r="BC204" i="6" s="1"/>
  <c r="AN204" i="6"/>
  <c r="Q204" i="6"/>
  <c r="AO204" i="6"/>
  <c r="H202" i="41"/>
  <c r="I202" i="41"/>
  <c r="J202" i="41"/>
  <c r="J203" i="14"/>
  <c r="T203" i="14"/>
  <c r="E203" i="14"/>
  <c r="U203" i="14"/>
  <c r="AH203" i="14"/>
  <c r="AC203" i="14"/>
  <c r="S203" i="14"/>
  <c r="X203" i="14"/>
  <c r="L203" i="14"/>
  <c r="AB203" i="14"/>
  <c r="F203" i="14"/>
  <c r="O203" i="14"/>
  <c r="R203" i="14"/>
  <c r="Y203" i="14"/>
  <c r="AJ203" i="14"/>
  <c r="P203" i="14"/>
  <c r="D203" i="14"/>
  <c r="M203" i="14"/>
  <c r="AI203" i="14"/>
  <c r="H203" i="14"/>
  <c r="AE203" i="14"/>
  <c r="AD203" i="14"/>
  <c r="AA203" i="14"/>
  <c r="I203" i="14"/>
  <c r="W203" i="14"/>
  <c r="G203" i="14"/>
  <c r="AF203" i="14"/>
  <c r="AG203" i="14"/>
  <c r="N203" i="14"/>
  <c r="Z203" i="14"/>
  <c r="K203" i="14"/>
  <c r="V203" i="14"/>
  <c r="Q203" i="14"/>
  <c r="C203" i="14"/>
  <c r="C204" i="6"/>
  <c r="B203" i="41" s="1"/>
  <c r="B204" i="6"/>
  <c r="G204" i="6"/>
  <c r="H204" i="6"/>
  <c r="AU204" i="6" s="1"/>
  <c r="A204" i="14"/>
  <c r="D204" i="6"/>
  <c r="E204" i="6"/>
  <c r="C203" i="41" s="1"/>
  <c r="G203" i="41"/>
  <c r="F204" i="6"/>
  <c r="A203" i="41"/>
  <c r="D203" i="41" s="1"/>
  <c r="U204" i="6"/>
  <c r="N204" i="6"/>
  <c r="V204" i="6"/>
  <c r="I204" i="6"/>
  <c r="J204" i="6"/>
  <c r="AV204" i="6" s="1"/>
  <c r="M204" i="6"/>
  <c r="M203" i="41" s="1"/>
  <c r="P203" i="41" s="1"/>
  <c r="AB204" i="6"/>
  <c r="AQ204" i="6"/>
  <c r="Y204" i="6"/>
  <c r="AD204" i="6"/>
  <c r="AY204" i="6" s="1"/>
  <c r="BB204" i="6" s="1"/>
  <c r="AR204" i="6"/>
  <c r="AA204" i="6"/>
  <c r="S204" i="6"/>
  <c r="R204" i="6"/>
  <c r="T204" i="6"/>
  <c r="L204" i="6"/>
  <c r="Z204" i="6"/>
  <c r="K204" i="6"/>
  <c r="O204" i="6"/>
  <c r="N203" i="41" s="1"/>
  <c r="AH204" i="6"/>
  <c r="AG204" i="6"/>
  <c r="AE204" i="6"/>
  <c r="AF204" i="6"/>
  <c r="A205" i="6"/>
  <c r="O202" i="41"/>
  <c r="AW203" i="6"/>
  <c r="BF203" i="6" s="1"/>
  <c r="BG203" i="6" s="1"/>
  <c r="BH203" i="6" s="1"/>
  <c r="AM205" i="6" l="1"/>
  <c r="AN205" i="6"/>
  <c r="X205" i="6"/>
  <c r="AX205" i="6" s="1"/>
  <c r="BA205" i="6" s="1"/>
  <c r="AO205" i="6"/>
  <c r="AJ205" i="6"/>
  <c r="AZ205" i="6" s="1"/>
  <c r="BC205" i="6" s="1"/>
  <c r="Q205" i="6"/>
  <c r="AK205" i="6"/>
  <c r="AL205" i="6"/>
  <c r="O203" i="41"/>
  <c r="AW204" i="6"/>
  <c r="BF204" i="6" s="1"/>
  <c r="BG204" i="6" s="1"/>
  <c r="BH204" i="6" s="1"/>
  <c r="G204" i="41"/>
  <c r="F205" i="6"/>
  <c r="A204" i="41"/>
  <c r="D204" i="41" s="1"/>
  <c r="C205" i="6"/>
  <c r="B204" i="41" s="1"/>
  <c r="H205" i="6"/>
  <c r="AU205" i="6" s="1"/>
  <c r="B205" i="6"/>
  <c r="G205" i="6"/>
  <c r="D205" i="6"/>
  <c r="A205" i="14"/>
  <c r="E205" i="6"/>
  <c r="C204" i="41" s="1"/>
  <c r="I205" i="6"/>
  <c r="U205" i="6"/>
  <c r="J205" i="6"/>
  <c r="AV205" i="6" s="1"/>
  <c r="V205" i="6"/>
  <c r="Z205" i="6"/>
  <c r="L205" i="6"/>
  <c r="AR205" i="6"/>
  <c r="T205" i="6"/>
  <c r="K205" i="6"/>
  <c r="AB205" i="6"/>
  <c r="AQ205" i="6"/>
  <c r="O205" i="6"/>
  <c r="N204" i="41" s="1"/>
  <c r="M205" i="6"/>
  <c r="M204" i="41" s="1"/>
  <c r="P204" i="41" s="1"/>
  <c r="Y205" i="6"/>
  <c r="AA205" i="6"/>
  <c r="S205" i="6"/>
  <c r="AD205" i="6"/>
  <c r="AY205" i="6" s="1"/>
  <c r="BB205" i="6" s="1"/>
  <c r="AH205" i="6"/>
  <c r="N205" i="6"/>
  <c r="R205" i="6"/>
  <c r="AF205" i="6"/>
  <c r="AE205" i="6"/>
  <c r="AG205" i="6"/>
  <c r="A206" i="6"/>
  <c r="I203" i="41"/>
  <c r="H203" i="41"/>
  <c r="J203" i="41"/>
  <c r="J204" i="14"/>
  <c r="AI204" i="14"/>
  <c r="L204" i="14"/>
  <c r="E204" i="14"/>
  <c r="D204" i="14"/>
  <c r="AC204" i="14"/>
  <c r="AA204" i="14"/>
  <c r="I204" i="14"/>
  <c r="AE204" i="14"/>
  <c r="AB204" i="14"/>
  <c r="F204" i="14"/>
  <c r="V204" i="14"/>
  <c r="AH204" i="14"/>
  <c r="W204" i="14"/>
  <c r="X204" i="14"/>
  <c r="T204" i="14"/>
  <c r="Z204" i="14"/>
  <c r="N204" i="14"/>
  <c r="O204" i="14"/>
  <c r="S204" i="14"/>
  <c r="R204" i="14"/>
  <c r="C204" i="14"/>
  <c r="Y204" i="14"/>
  <c r="P204" i="14"/>
  <c r="G204" i="14"/>
  <c r="M204" i="14"/>
  <c r="AJ204" i="14"/>
  <c r="H204" i="14"/>
  <c r="AG204" i="14"/>
  <c r="K204" i="14"/>
  <c r="AF204" i="14"/>
  <c r="U204" i="14"/>
  <c r="Q204" i="14"/>
  <c r="AD204" i="14"/>
  <c r="X206" i="6" l="1"/>
  <c r="AX206" i="6" s="1"/>
  <c r="BA206" i="6" s="1"/>
  <c r="AK206" i="6"/>
  <c r="AL206" i="6"/>
  <c r="AM206" i="6"/>
  <c r="AJ206" i="6"/>
  <c r="AZ206" i="6" s="1"/>
  <c r="BC206" i="6" s="1"/>
  <c r="AN206" i="6"/>
  <c r="Q206" i="6"/>
  <c r="AO206" i="6"/>
  <c r="O204" i="41"/>
  <c r="AW205" i="6"/>
  <c r="BF205" i="6" s="1"/>
  <c r="BG205" i="6" s="1"/>
  <c r="BH205" i="6" s="1"/>
  <c r="A206" i="14"/>
  <c r="D206" i="6"/>
  <c r="E206" i="6"/>
  <c r="C205" i="41" s="1"/>
  <c r="G205" i="41"/>
  <c r="A205" i="41"/>
  <c r="D205" i="41" s="1"/>
  <c r="C206" i="6"/>
  <c r="B205" i="41" s="1"/>
  <c r="H206" i="6"/>
  <c r="AU206" i="6" s="1"/>
  <c r="B206" i="6"/>
  <c r="F206" i="6"/>
  <c r="G206" i="6"/>
  <c r="U206" i="6"/>
  <c r="N206" i="6"/>
  <c r="V206" i="6"/>
  <c r="I206" i="6"/>
  <c r="AR206" i="6"/>
  <c r="Y206" i="6"/>
  <c r="L206" i="6"/>
  <c r="AA206" i="6"/>
  <c r="K206" i="6"/>
  <c r="Z206" i="6"/>
  <c r="O206" i="6"/>
  <c r="N205" i="41" s="1"/>
  <c r="M206" i="6"/>
  <c r="M205" i="41" s="1"/>
  <c r="P205" i="41" s="1"/>
  <c r="S206" i="6"/>
  <c r="AB206" i="6"/>
  <c r="AQ206" i="6"/>
  <c r="J206" i="6"/>
  <c r="AV206" i="6" s="1"/>
  <c r="AD206" i="6"/>
  <c r="AY206" i="6" s="1"/>
  <c r="BB206" i="6" s="1"/>
  <c r="R206" i="6"/>
  <c r="T206" i="6"/>
  <c r="AG206" i="6"/>
  <c r="AF206" i="6"/>
  <c r="AH206" i="6"/>
  <c r="AE206" i="6"/>
  <c r="A207" i="6"/>
  <c r="AJ205" i="14"/>
  <c r="H205" i="14"/>
  <c r="K205" i="14"/>
  <c r="AH205" i="14"/>
  <c r="J205" i="14"/>
  <c r="AI205" i="14"/>
  <c r="AE205" i="14"/>
  <c r="I205" i="14"/>
  <c r="M205" i="14"/>
  <c r="AC205" i="14"/>
  <c r="AF205" i="14"/>
  <c r="W205" i="14"/>
  <c r="AG205" i="14"/>
  <c r="O205" i="14"/>
  <c r="F205" i="14"/>
  <c r="V205" i="14"/>
  <c r="C205" i="14"/>
  <c r="E205" i="14"/>
  <c r="D205" i="14"/>
  <c r="T205" i="14"/>
  <c r="U205" i="14"/>
  <c r="Z205" i="14"/>
  <c r="AD205" i="14"/>
  <c r="S205" i="14"/>
  <c r="L205" i="14"/>
  <c r="X205" i="14"/>
  <c r="Y205" i="14"/>
  <c r="R205" i="14"/>
  <c r="G205" i="14"/>
  <c r="AA205" i="14"/>
  <c r="P205" i="14"/>
  <c r="N205" i="14"/>
  <c r="AB205" i="14"/>
  <c r="Q205" i="14"/>
  <c r="H204" i="41"/>
  <c r="I204" i="41"/>
  <c r="J204" i="41"/>
  <c r="Q207" i="6" l="1"/>
  <c r="AK207" i="6"/>
  <c r="AL207" i="6"/>
  <c r="AM207" i="6"/>
  <c r="AN207" i="6"/>
  <c r="X207" i="6"/>
  <c r="AX207" i="6" s="1"/>
  <c r="BA207" i="6" s="1"/>
  <c r="AO207" i="6"/>
  <c r="AJ207" i="6"/>
  <c r="AZ207" i="6" s="1"/>
  <c r="BC207" i="6" s="1"/>
  <c r="H205" i="41"/>
  <c r="I205" i="41"/>
  <c r="J205" i="41"/>
  <c r="C207" i="6"/>
  <c r="B206" i="41" s="1"/>
  <c r="G207" i="6"/>
  <c r="D207" i="6"/>
  <c r="A207" i="14"/>
  <c r="E207" i="6"/>
  <c r="C206" i="41" s="1"/>
  <c r="G206" i="41"/>
  <c r="F207" i="6"/>
  <c r="A206" i="41"/>
  <c r="D206" i="41" s="1"/>
  <c r="H207" i="6"/>
  <c r="AU207" i="6" s="1"/>
  <c r="B207" i="6"/>
  <c r="I207" i="6"/>
  <c r="J207" i="6"/>
  <c r="AV207" i="6" s="1"/>
  <c r="U207" i="6"/>
  <c r="N207" i="6"/>
  <c r="V207" i="6"/>
  <c r="S207" i="6"/>
  <c r="O207" i="6"/>
  <c r="N206" i="41" s="1"/>
  <c r="R207" i="6"/>
  <c r="T207" i="6"/>
  <c r="Y207" i="6"/>
  <c r="Z207" i="6"/>
  <c r="AA207" i="6"/>
  <c r="AQ207" i="6"/>
  <c r="L207" i="6"/>
  <c r="M207" i="6"/>
  <c r="M206" i="41" s="1"/>
  <c r="P206" i="41" s="1"/>
  <c r="AB207" i="6"/>
  <c r="AR207" i="6"/>
  <c r="AD207" i="6"/>
  <c r="AY207" i="6" s="1"/>
  <c r="BB207" i="6" s="1"/>
  <c r="AH207" i="6"/>
  <c r="K207" i="6"/>
  <c r="AF207" i="6"/>
  <c r="AE207" i="6"/>
  <c r="AG207" i="6"/>
  <c r="A208" i="6"/>
  <c r="N206" i="14"/>
  <c r="O206" i="14"/>
  <c r="Y206" i="14"/>
  <c r="AF206" i="14"/>
  <c r="P206" i="14"/>
  <c r="C206" i="14"/>
  <c r="AH206" i="14"/>
  <c r="AI206" i="14"/>
  <c r="H206" i="14"/>
  <c r="AD206" i="14"/>
  <c r="K206" i="14"/>
  <c r="AC206" i="14"/>
  <c r="AA206" i="14"/>
  <c r="Q206" i="14"/>
  <c r="U206" i="14"/>
  <c r="Z206" i="14"/>
  <c r="F206" i="14"/>
  <c r="T206" i="14"/>
  <c r="E206" i="14"/>
  <c r="L206" i="14"/>
  <c r="AB206" i="14"/>
  <c r="S206" i="14"/>
  <c r="AE206" i="14"/>
  <c r="I206" i="14"/>
  <c r="X206" i="14"/>
  <c r="V206" i="14"/>
  <c r="AG206" i="14"/>
  <c r="J206" i="14"/>
  <c r="W206" i="14"/>
  <c r="M206" i="14"/>
  <c r="R206" i="14"/>
  <c r="G206" i="14"/>
  <c r="D206" i="14"/>
  <c r="AJ206" i="14"/>
  <c r="AW206" i="6"/>
  <c r="BF206" i="6" s="1"/>
  <c r="BG206" i="6" s="1"/>
  <c r="BH206" i="6" s="1"/>
  <c r="O205" i="41"/>
  <c r="AJ208" i="6" l="1"/>
  <c r="AZ208" i="6" s="1"/>
  <c r="BC208" i="6" s="1"/>
  <c r="AN208" i="6"/>
  <c r="Q208" i="6"/>
  <c r="AO208" i="6"/>
  <c r="X208" i="6"/>
  <c r="AK208" i="6"/>
  <c r="AL208" i="6"/>
  <c r="AM208" i="6"/>
  <c r="O206" i="41"/>
  <c r="AW207" i="6"/>
  <c r="BF207" i="6" s="1"/>
  <c r="BG207" i="6" s="1"/>
  <c r="BH207" i="6" s="1"/>
  <c r="V207" i="14"/>
  <c r="AJ207" i="14"/>
  <c r="J207" i="14"/>
  <c r="AI207" i="14"/>
  <c r="AC207" i="14"/>
  <c r="AF207" i="14"/>
  <c r="Y207" i="14"/>
  <c r="T207" i="14"/>
  <c r="X207" i="14"/>
  <c r="L207" i="14"/>
  <c r="AH207" i="14"/>
  <c r="F207" i="14"/>
  <c r="S207" i="14"/>
  <c r="O207" i="14"/>
  <c r="AD207" i="14"/>
  <c r="P207" i="14"/>
  <c r="D207" i="14"/>
  <c r="G207" i="14"/>
  <c r="H207" i="14"/>
  <c r="AE207" i="14"/>
  <c r="AB207" i="14"/>
  <c r="I207" i="14"/>
  <c r="W207" i="14"/>
  <c r="Z207" i="14"/>
  <c r="AG207" i="14"/>
  <c r="N207" i="14"/>
  <c r="R207" i="14"/>
  <c r="Q207" i="14"/>
  <c r="C207" i="14"/>
  <c r="M207" i="14"/>
  <c r="AA207" i="14"/>
  <c r="E207" i="14"/>
  <c r="U207" i="14"/>
  <c r="K207" i="14"/>
  <c r="G207" i="41"/>
  <c r="C208" i="6"/>
  <c r="B207" i="41" s="1"/>
  <c r="B208" i="6"/>
  <c r="G208" i="6"/>
  <c r="D208" i="6"/>
  <c r="A208" i="14"/>
  <c r="E208" i="6"/>
  <c r="C207" i="41" s="1"/>
  <c r="A207" i="41"/>
  <c r="D207" i="41" s="1"/>
  <c r="F208" i="6"/>
  <c r="H208" i="6"/>
  <c r="AU208" i="6" s="1"/>
  <c r="V208" i="6"/>
  <c r="I208" i="6"/>
  <c r="J208" i="6"/>
  <c r="AV208" i="6" s="1"/>
  <c r="N208" i="6"/>
  <c r="U208" i="6"/>
  <c r="L208" i="6"/>
  <c r="AA208" i="6"/>
  <c r="S208" i="6"/>
  <c r="T208" i="6"/>
  <c r="K208" i="6"/>
  <c r="R208" i="6"/>
  <c r="O208" i="6"/>
  <c r="N207" i="41" s="1"/>
  <c r="AQ208" i="6"/>
  <c r="Y208" i="6"/>
  <c r="AB208" i="6"/>
  <c r="Z208" i="6"/>
  <c r="AX208" i="6"/>
  <c r="BA208" i="6" s="1"/>
  <c r="AD208" i="6"/>
  <c r="AY208" i="6" s="1"/>
  <c r="BB208" i="6" s="1"/>
  <c r="AR208" i="6"/>
  <c r="M208" i="6"/>
  <c r="M207" i="41" s="1"/>
  <c r="P207" i="41" s="1"/>
  <c r="AH208" i="6"/>
  <c r="AF208" i="6"/>
  <c r="AE208" i="6"/>
  <c r="AG208" i="6"/>
  <c r="A209" i="6"/>
  <c r="H206" i="41"/>
  <c r="I206" i="41"/>
  <c r="J206" i="41"/>
  <c r="AJ209" i="6" l="1"/>
  <c r="AZ209" i="6" s="1"/>
  <c r="BC209" i="6" s="1"/>
  <c r="Q209" i="6"/>
  <c r="AK209" i="6"/>
  <c r="AL209" i="6"/>
  <c r="AM209" i="6"/>
  <c r="AN209" i="6"/>
  <c r="X209" i="6"/>
  <c r="AX209" i="6" s="1"/>
  <c r="BA209" i="6" s="1"/>
  <c r="AO209" i="6"/>
  <c r="A208" i="41"/>
  <c r="D208" i="41" s="1"/>
  <c r="C209" i="6"/>
  <c r="B208" i="41" s="1"/>
  <c r="B209" i="6"/>
  <c r="D209" i="6"/>
  <c r="E209" i="6"/>
  <c r="C208" i="41" s="1"/>
  <c r="H209" i="6"/>
  <c r="AU209" i="6" s="1"/>
  <c r="F209" i="6"/>
  <c r="A209" i="14"/>
  <c r="G209" i="6"/>
  <c r="G208" i="41"/>
  <c r="J209" i="6"/>
  <c r="AV209" i="6" s="1"/>
  <c r="V209" i="6"/>
  <c r="U209" i="6"/>
  <c r="N209" i="6"/>
  <c r="K209" i="6"/>
  <c r="O209" i="6"/>
  <c r="N208" i="41" s="1"/>
  <c r="Z209" i="6"/>
  <c r="Y209" i="6"/>
  <c r="S209" i="6"/>
  <c r="R209" i="6"/>
  <c r="AA209" i="6"/>
  <c r="I209" i="6"/>
  <c r="M209" i="6"/>
  <c r="M208" i="41" s="1"/>
  <c r="P208" i="41" s="1"/>
  <c r="AB209" i="6"/>
  <c r="AQ209" i="6"/>
  <c r="L209" i="6"/>
  <c r="AH209" i="6"/>
  <c r="T209" i="6"/>
  <c r="AD209" i="6"/>
  <c r="AY209" i="6" s="1"/>
  <c r="BB209" i="6" s="1"/>
  <c r="AG209" i="6"/>
  <c r="AR209" i="6"/>
  <c r="AE209" i="6"/>
  <c r="AF209" i="6"/>
  <c r="A210" i="6"/>
  <c r="I207" i="41"/>
  <c r="H207" i="41"/>
  <c r="J207" i="41"/>
  <c r="O207" i="41"/>
  <c r="AW208" i="6"/>
  <c r="BF208" i="6" s="1"/>
  <c r="BG208" i="6" s="1"/>
  <c r="BH208" i="6" s="1"/>
  <c r="AC208" i="14"/>
  <c r="AA208" i="14"/>
  <c r="I208" i="14"/>
  <c r="AE208" i="14"/>
  <c r="AB208" i="14"/>
  <c r="F208" i="14"/>
  <c r="S208" i="14"/>
  <c r="AH208" i="14"/>
  <c r="W208" i="14"/>
  <c r="X208" i="14"/>
  <c r="T208" i="14"/>
  <c r="Z208" i="14"/>
  <c r="N208" i="14"/>
  <c r="K208" i="14"/>
  <c r="V208" i="14"/>
  <c r="R208" i="14"/>
  <c r="C208" i="14"/>
  <c r="Y208" i="14"/>
  <c r="P208" i="14"/>
  <c r="G208" i="14"/>
  <c r="O208" i="14"/>
  <c r="AJ208" i="14"/>
  <c r="H208" i="14"/>
  <c r="AG208" i="14"/>
  <c r="M208" i="14"/>
  <c r="AF208" i="14"/>
  <c r="U208" i="14"/>
  <c r="Q208" i="14"/>
  <c r="AD208" i="14"/>
  <c r="AI208" i="14"/>
  <c r="L208" i="14"/>
  <c r="E208" i="14"/>
  <c r="D208" i="14"/>
  <c r="J208" i="14"/>
  <c r="AL210" i="6" l="1"/>
  <c r="AM210" i="6"/>
  <c r="AJ210" i="6"/>
  <c r="AN210" i="6"/>
  <c r="Q210" i="6"/>
  <c r="AO210" i="6"/>
  <c r="X210" i="6"/>
  <c r="AX210" i="6" s="1"/>
  <c r="BA210" i="6" s="1"/>
  <c r="AK210" i="6"/>
  <c r="O208" i="41"/>
  <c r="AW209" i="6"/>
  <c r="BF209" i="6" s="1"/>
  <c r="BG209" i="6" s="1"/>
  <c r="BH209" i="6" s="1"/>
  <c r="Y209" i="14"/>
  <c r="AJ209" i="14"/>
  <c r="H209" i="14"/>
  <c r="K209" i="14"/>
  <c r="AD209" i="14"/>
  <c r="AI209" i="14"/>
  <c r="AE209" i="14"/>
  <c r="I209" i="14"/>
  <c r="D209" i="14"/>
  <c r="J209" i="14"/>
  <c r="AF209" i="14"/>
  <c r="W209" i="14"/>
  <c r="AG209" i="14"/>
  <c r="Z209" i="14"/>
  <c r="AC209" i="14"/>
  <c r="AA209" i="14"/>
  <c r="N209" i="14"/>
  <c r="Q209" i="14"/>
  <c r="O209" i="14"/>
  <c r="F209" i="14"/>
  <c r="V209" i="14"/>
  <c r="C209" i="14"/>
  <c r="E209" i="14"/>
  <c r="X209" i="14"/>
  <c r="T209" i="14"/>
  <c r="U209" i="14"/>
  <c r="AH209" i="14"/>
  <c r="R209" i="14"/>
  <c r="S209" i="14"/>
  <c r="L209" i="14"/>
  <c r="M209" i="14"/>
  <c r="P209" i="14"/>
  <c r="AB209" i="14"/>
  <c r="G209" i="14"/>
  <c r="A210" i="14"/>
  <c r="E210" i="6"/>
  <c r="C209" i="41" s="1"/>
  <c r="G209" i="41"/>
  <c r="A209" i="41"/>
  <c r="D209" i="41" s="1"/>
  <c r="F210" i="6"/>
  <c r="B210" i="6"/>
  <c r="C210" i="6"/>
  <c r="B209" i="41" s="1"/>
  <c r="H210" i="6"/>
  <c r="AU210" i="6" s="1"/>
  <c r="G210" i="6"/>
  <c r="D210" i="6"/>
  <c r="I210" i="6"/>
  <c r="N210" i="6"/>
  <c r="J210" i="6"/>
  <c r="AV210" i="6" s="1"/>
  <c r="U210" i="6"/>
  <c r="S210" i="6"/>
  <c r="O210" i="6"/>
  <c r="N209" i="41" s="1"/>
  <c r="AA210" i="6"/>
  <c r="AZ210" i="6"/>
  <c r="BC210" i="6" s="1"/>
  <c r="AR210" i="6"/>
  <c r="R210" i="6"/>
  <c r="M210" i="6"/>
  <c r="M209" i="41" s="1"/>
  <c r="P209" i="41" s="1"/>
  <c r="V210" i="6"/>
  <c r="Y210" i="6"/>
  <c r="AB210" i="6"/>
  <c r="Z210" i="6"/>
  <c r="AD210" i="6"/>
  <c r="AY210" i="6" s="1"/>
  <c r="BB210" i="6" s="1"/>
  <c r="T210" i="6"/>
  <c r="L210" i="6"/>
  <c r="AH210" i="6"/>
  <c r="AQ210" i="6"/>
  <c r="K210" i="6"/>
  <c r="AF210" i="6"/>
  <c r="AE210" i="6"/>
  <c r="AG210" i="6"/>
  <c r="A211" i="6"/>
  <c r="I208" i="41"/>
  <c r="H208" i="41"/>
  <c r="J208" i="41"/>
  <c r="X211" i="6" l="1"/>
  <c r="AX211" i="6" s="1"/>
  <c r="BA211" i="6" s="1"/>
  <c r="AO211" i="6"/>
  <c r="AJ211" i="6"/>
  <c r="Q211" i="6"/>
  <c r="AK211" i="6"/>
  <c r="AL211" i="6"/>
  <c r="AM211" i="6"/>
  <c r="AN211" i="6"/>
  <c r="I209" i="41"/>
  <c r="H209" i="41"/>
  <c r="J209" i="41"/>
  <c r="P210" i="14"/>
  <c r="C210" i="14"/>
  <c r="R210" i="14"/>
  <c r="Y210" i="14"/>
  <c r="AJ210" i="14"/>
  <c r="H210" i="14"/>
  <c r="AD210" i="14"/>
  <c r="AH210" i="14"/>
  <c r="AF210" i="14"/>
  <c r="AG210" i="14"/>
  <c r="M210" i="14"/>
  <c r="K210" i="14"/>
  <c r="J210" i="14"/>
  <c r="AI210" i="14"/>
  <c r="Q210" i="14"/>
  <c r="U210" i="14"/>
  <c r="AB210" i="14"/>
  <c r="AC210" i="14"/>
  <c r="AA210" i="14"/>
  <c r="E210" i="14"/>
  <c r="L210" i="14"/>
  <c r="O210" i="14"/>
  <c r="F210" i="14"/>
  <c r="V210" i="14"/>
  <c r="AE210" i="14"/>
  <c r="I210" i="14"/>
  <c r="G210" i="14"/>
  <c r="T210" i="14"/>
  <c r="W210" i="14"/>
  <c r="Z210" i="14"/>
  <c r="D210" i="14"/>
  <c r="N210" i="14"/>
  <c r="X210" i="14"/>
  <c r="S210" i="14"/>
  <c r="AW210" i="6"/>
  <c r="BF210" i="6" s="1"/>
  <c r="BG210" i="6" s="1"/>
  <c r="BH210" i="6" s="1"/>
  <c r="O209" i="41"/>
  <c r="G211" i="6"/>
  <c r="D211" i="6"/>
  <c r="A211" i="14"/>
  <c r="E211" i="6"/>
  <c r="C210" i="41" s="1"/>
  <c r="G210" i="41"/>
  <c r="F211" i="6"/>
  <c r="A210" i="41"/>
  <c r="D210" i="41" s="1"/>
  <c r="C211" i="6"/>
  <c r="B210" i="41" s="1"/>
  <c r="H211" i="6"/>
  <c r="AU211" i="6" s="1"/>
  <c r="B211" i="6"/>
  <c r="U211" i="6"/>
  <c r="N211" i="6"/>
  <c r="V211" i="6"/>
  <c r="I211" i="6"/>
  <c r="T211" i="6"/>
  <c r="AR211" i="6"/>
  <c r="L211" i="6"/>
  <c r="Z211" i="6"/>
  <c r="AA211" i="6"/>
  <c r="S211" i="6"/>
  <c r="K211" i="6"/>
  <c r="Y211" i="6"/>
  <c r="AB211" i="6"/>
  <c r="AQ211" i="6"/>
  <c r="J211" i="6"/>
  <c r="AV211" i="6" s="1"/>
  <c r="R211" i="6"/>
  <c r="O211" i="6"/>
  <c r="N210" i="41" s="1"/>
  <c r="AD211" i="6"/>
  <c r="AY211" i="6" s="1"/>
  <c r="BB211" i="6" s="1"/>
  <c r="M211" i="6"/>
  <c r="M210" i="41" s="1"/>
  <c r="P210" i="41" s="1"/>
  <c r="AZ211" i="6"/>
  <c r="BC211" i="6" s="1"/>
  <c r="AH211" i="6"/>
  <c r="AG211" i="6"/>
  <c r="AE211" i="6"/>
  <c r="AF211" i="6"/>
  <c r="A212" i="6"/>
  <c r="X212" i="6" l="1"/>
  <c r="AK212" i="6"/>
  <c r="AL212" i="6"/>
  <c r="AM212" i="6"/>
  <c r="AJ212" i="6"/>
  <c r="AN212" i="6"/>
  <c r="Q212" i="6"/>
  <c r="AO212" i="6"/>
  <c r="O210" i="41"/>
  <c r="AW211" i="6"/>
  <c r="BF211" i="6" s="1"/>
  <c r="BG211" i="6" s="1"/>
  <c r="BH211" i="6" s="1"/>
  <c r="H210" i="41"/>
  <c r="I210" i="41"/>
  <c r="J210" i="41"/>
  <c r="T211" i="14"/>
  <c r="X211" i="14"/>
  <c r="L211" i="14"/>
  <c r="AB211" i="14"/>
  <c r="S211" i="14"/>
  <c r="O211" i="14"/>
  <c r="R211" i="14"/>
  <c r="Y211" i="14"/>
  <c r="P211" i="14"/>
  <c r="D211" i="14"/>
  <c r="M211" i="14"/>
  <c r="AJ211" i="14"/>
  <c r="H211" i="14"/>
  <c r="AE211" i="14"/>
  <c r="AH211" i="14"/>
  <c r="J211" i="14"/>
  <c r="AI211" i="14"/>
  <c r="I211" i="14"/>
  <c r="W211" i="14"/>
  <c r="K211" i="14"/>
  <c r="AC211" i="14"/>
  <c r="AF211" i="14"/>
  <c r="AG211" i="14"/>
  <c r="N211" i="14"/>
  <c r="AD211" i="14"/>
  <c r="F211" i="14"/>
  <c r="AA211" i="14"/>
  <c r="Q211" i="14"/>
  <c r="C211" i="14"/>
  <c r="G211" i="14"/>
  <c r="U211" i="14"/>
  <c r="Z211" i="14"/>
  <c r="V211" i="14"/>
  <c r="E211" i="14"/>
  <c r="C212" i="6"/>
  <c r="B211" i="41" s="1"/>
  <c r="B212" i="6"/>
  <c r="G212" i="6"/>
  <c r="D212" i="6"/>
  <c r="A212" i="14"/>
  <c r="E212" i="6"/>
  <c r="C211" i="41" s="1"/>
  <c r="G211" i="41"/>
  <c r="F212" i="6"/>
  <c r="A211" i="41"/>
  <c r="D211" i="41" s="1"/>
  <c r="H212" i="6"/>
  <c r="AU212" i="6" s="1"/>
  <c r="J212" i="6"/>
  <c r="AV212" i="6" s="1"/>
  <c r="N212" i="6"/>
  <c r="U212" i="6"/>
  <c r="V212" i="6"/>
  <c r="AZ212" i="6"/>
  <c r="BC212" i="6" s="1"/>
  <c r="S212" i="6"/>
  <c r="Y212" i="6"/>
  <c r="AR212" i="6"/>
  <c r="R212" i="6"/>
  <c r="Z212" i="6"/>
  <c r="AA212" i="6"/>
  <c r="AQ212" i="6"/>
  <c r="I212" i="6"/>
  <c r="L212" i="6"/>
  <c r="AX212" i="6"/>
  <c r="BA212" i="6" s="1"/>
  <c r="AB212" i="6"/>
  <c r="T212" i="6"/>
  <c r="K212" i="6"/>
  <c r="M212" i="6"/>
  <c r="M211" i="41" s="1"/>
  <c r="P211" i="41" s="1"/>
  <c r="AD212" i="6"/>
  <c r="AY212" i="6" s="1"/>
  <c r="BB212" i="6" s="1"/>
  <c r="O212" i="6"/>
  <c r="N211" i="41" s="1"/>
  <c r="AH212" i="6"/>
  <c r="AF212" i="6"/>
  <c r="AE212" i="6"/>
  <c r="AG212" i="6"/>
  <c r="A213" i="6"/>
  <c r="AM213" i="6" l="1"/>
  <c r="AN213" i="6"/>
  <c r="X213" i="6"/>
  <c r="AX213" i="6" s="1"/>
  <c r="BA213" i="6" s="1"/>
  <c r="AO213" i="6"/>
  <c r="AJ213" i="6"/>
  <c r="AZ213" i="6" s="1"/>
  <c r="BC213" i="6" s="1"/>
  <c r="Q213" i="6"/>
  <c r="AK213" i="6"/>
  <c r="AL213" i="6"/>
  <c r="I211" i="41"/>
  <c r="H211" i="41"/>
  <c r="J211" i="41"/>
  <c r="AW212" i="6"/>
  <c r="BF212" i="6" s="1"/>
  <c r="BG212" i="6" s="1"/>
  <c r="BH212" i="6" s="1"/>
  <c r="O211" i="41"/>
  <c r="AC212" i="14"/>
  <c r="V212" i="14"/>
  <c r="L212" i="14"/>
  <c r="E212" i="14"/>
  <c r="X212" i="14"/>
  <c r="F212" i="14"/>
  <c r="T212" i="14"/>
  <c r="I212" i="14"/>
  <c r="AE212" i="14"/>
  <c r="O212" i="14"/>
  <c r="S212" i="14"/>
  <c r="AH212" i="14"/>
  <c r="W212" i="14"/>
  <c r="M212" i="14"/>
  <c r="Z212" i="14"/>
  <c r="N212" i="14"/>
  <c r="K212" i="14"/>
  <c r="Y212" i="14"/>
  <c r="AF212" i="14"/>
  <c r="R212" i="14"/>
  <c r="C212" i="14"/>
  <c r="AJ212" i="14"/>
  <c r="P212" i="14"/>
  <c r="G212" i="14"/>
  <c r="AD212" i="14"/>
  <c r="AA212" i="14"/>
  <c r="H212" i="14"/>
  <c r="AG212" i="14"/>
  <c r="D212" i="14"/>
  <c r="Q212" i="14"/>
  <c r="AB212" i="14"/>
  <c r="J212" i="14"/>
  <c r="AI212" i="14"/>
  <c r="U212" i="14"/>
  <c r="A212" i="41"/>
  <c r="D212" i="41" s="1"/>
  <c r="F213" i="6"/>
  <c r="C213" i="6"/>
  <c r="B212" i="41" s="1"/>
  <c r="H213" i="6"/>
  <c r="AU213" i="6" s="1"/>
  <c r="B213" i="6"/>
  <c r="G213" i="6"/>
  <c r="D213" i="6"/>
  <c r="A213" i="14"/>
  <c r="E213" i="6"/>
  <c r="C212" i="41" s="1"/>
  <c r="G212" i="41"/>
  <c r="J213" i="6"/>
  <c r="AV213" i="6" s="1"/>
  <c r="N213" i="6"/>
  <c r="I213" i="6"/>
  <c r="U213" i="6"/>
  <c r="R213" i="6"/>
  <c r="K213" i="6"/>
  <c r="AQ213" i="6"/>
  <c r="O213" i="6"/>
  <c r="N212" i="41" s="1"/>
  <c r="AR213" i="6"/>
  <c r="M213" i="6"/>
  <c r="M212" i="41" s="1"/>
  <c r="P212" i="41" s="1"/>
  <c r="V213" i="6"/>
  <c r="Z213" i="6"/>
  <c r="AB213" i="6"/>
  <c r="T213" i="6"/>
  <c r="Y213" i="6"/>
  <c r="AD213" i="6"/>
  <c r="AY213" i="6" s="1"/>
  <c r="BB213" i="6" s="1"/>
  <c r="L213" i="6"/>
  <c r="AH213" i="6"/>
  <c r="S213" i="6"/>
  <c r="AA213" i="6"/>
  <c r="AG213" i="6"/>
  <c r="AF213" i="6"/>
  <c r="AE213" i="6"/>
  <c r="A214" i="6"/>
  <c r="X214" i="6" l="1"/>
  <c r="AX214" i="6" s="1"/>
  <c r="BA214" i="6" s="1"/>
  <c r="AK214" i="6"/>
  <c r="AL214" i="6"/>
  <c r="AM214" i="6"/>
  <c r="AJ214" i="6"/>
  <c r="AN214" i="6"/>
  <c r="Q214" i="6"/>
  <c r="AO214" i="6"/>
  <c r="AJ213" i="14"/>
  <c r="H213" i="14"/>
  <c r="K213" i="14"/>
  <c r="M213" i="14"/>
  <c r="J213" i="14"/>
  <c r="AI213" i="14"/>
  <c r="AE213" i="14"/>
  <c r="I213" i="14"/>
  <c r="AD213" i="14"/>
  <c r="AC213" i="14"/>
  <c r="AF213" i="14"/>
  <c r="W213" i="14"/>
  <c r="AG213" i="14"/>
  <c r="D213" i="14"/>
  <c r="F213" i="14"/>
  <c r="AA213" i="14"/>
  <c r="N213" i="14"/>
  <c r="Q213" i="14"/>
  <c r="Z213" i="14"/>
  <c r="V213" i="14"/>
  <c r="C213" i="14"/>
  <c r="E213" i="14"/>
  <c r="X213" i="14"/>
  <c r="T213" i="14"/>
  <c r="U213" i="14"/>
  <c r="R213" i="14"/>
  <c r="G213" i="14"/>
  <c r="S213" i="14"/>
  <c r="L213" i="14"/>
  <c r="O213" i="14"/>
  <c r="Y213" i="14"/>
  <c r="P213" i="14"/>
  <c r="AB213" i="14"/>
  <c r="AH213" i="14"/>
  <c r="O212" i="41"/>
  <c r="AW213" i="6"/>
  <c r="BF213" i="6" s="1"/>
  <c r="BG213" i="6" s="1"/>
  <c r="BH213" i="6" s="1"/>
  <c r="A214" i="14"/>
  <c r="D214" i="6"/>
  <c r="E214" i="6"/>
  <c r="C213" i="41" s="1"/>
  <c r="G213" i="41"/>
  <c r="A213" i="41"/>
  <c r="D213" i="41" s="1"/>
  <c r="C214" i="6"/>
  <c r="B213" i="41" s="1"/>
  <c r="H214" i="6"/>
  <c r="AU214" i="6" s="1"/>
  <c r="B214" i="6"/>
  <c r="F214" i="6"/>
  <c r="G214" i="6"/>
  <c r="N214" i="6"/>
  <c r="V214" i="6"/>
  <c r="U214" i="6"/>
  <c r="I214" i="6"/>
  <c r="Z214" i="6"/>
  <c r="AR214" i="6"/>
  <c r="AA214" i="6"/>
  <c r="AZ214" i="6"/>
  <c r="BC214" i="6" s="1"/>
  <c r="AQ214" i="6"/>
  <c r="Y214" i="6"/>
  <c r="AB214" i="6"/>
  <c r="L214" i="6"/>
  <c r="AD214" i="6"/>
  <c r="AY214" i="6" s="1"/>
  <c r="BB214" i="6" s="1"/>
  <c r="K214" i="6"/>
  <c r="J214" i="6"/>
  <c r="AV214" i="6" s="1"/>
  <c r="S214" i="6"/>
  <c r="O214" i="6"/>
  <c r="N213" i="41" s="1"/>
  <c r="R214" i="6"/>
  <c r="M214" i="6"/>
  <c r="M213" i="41" s="1"/>
  <c r="P213" i="41" s="1"/>
  <c r="AH214" i="6"/>
  <c r="T214" i="6"/>
  <c r="AF214" i="6"/>
  <c r="AE214" i="6"/>
  <c r="AG214" i="6"/>
  <c r="A215" i="6"/>
  <c r="I212" i="41"/>
  <c r="H212" i="41"/>
  <c r="J212" i="41"/>
  <c r="Q215" i="6" l="1"/>
  <c r="AK215" i="6"/>
  <c r="AL215" i="6"/>
  <c r="AM215" i="6"/>
  <c r="AN215" i="6"/>
  <c r="X215" i="6"/>
  <c r="AX215" i="6" s="1"/>
  <c r="BA215" i="6" s="1"/>
  <c r="AO215" i="6"/>
  <c r="AJ215" i="6"/>
  <c r="AZ215" i="6" s="1"/>
  <c r="BC215" i="6" s="1"/>
  <c r="O213" i="41"/>
  <c r="AW214" i="6"/>
  <c r="BF214" i="6" s="1"/>
  <c r="BG214" i="6" s="1"/>
  <c r="BH214" i="6" s="1"/>
  <c r="V214" i="14"/>
  <c r="N214" i="14"/>
  <c r="K214" i="14"/>
  <c r="Y214" i="14"/>
  <c r="P214" i="14"/>
  <c r="C214" i="14"/>
  <c r="G214" i="14"/>
  <c r="AF214" i="14"/>
  <c r="H214" i="14"/>
  <c r="AD214" i="14"/>
  <c r="AB214" i="14"/>
  <c r="J214" i="14"/>
  <c r="AJ214" i="14"/>
  <c r="AG214" i="14"/>
  <c r="M214" i="14"/>
  <c r="D214" i="14"/>
  <c r="AC214" i="14"/>
  <c r="AI214" i="14"/>
  <c r="Q214" i="14"/>
  <c r="U214" i="14"/>
  <c r="Z214" i="14"/>
  <c r="F214" i="14"/>
  <c r="AA214" i="14"/>
  <c r="E214" i="14"/>
  <c r="L214" i="14"/>
  <c r="X214" i="14"/>
  <c r="T214" i="14"/>
  <c r="AE214" i="14"/>
  <c r="I214" i="14"/>
  <c r="R214" i="14"/>
  <c r="S214" i="14"/>
  <c r="W214" i="14"/>
  <c r="AH214" i="14"/>
  <c r="O214" i="14"/>
  <c r="H213" i="41"/>
  <c r="I213" i="41"/>
  <c r="J213" i="41"/>
  <c r="C215" i="6"/>
  <c r="B214" i="41" s="1"/>
  <c r="H215" i="6"/>
  <c r="AU215" i="6" s="1"/>
  <c r="B215" i="6"/>
  <c r="G215" i="6"/>
  <c r="D215" i="6"/>
  <c r="A215" i="14"/>
  <c r="E215" i="6"/>
  <c r="C214" i="41" s="1"/>
  <c r="G214" i="41"/>
  <c r="F215" i="6"/>
  <c r="A214" i="41"/>
  <c r="D214" i="41" s="1"/>
  <c r="J215" i="6"/>
  <c r="AV215" i="6" s="1"/>
  <c r="N215" i="6"/>
  <c r="I215" i="6"/>
  <c r="V215" i="6"/>
  <c r="U215" i="6"/>
  <c r="K215" i="6"/>
  <c r="O215" i="6"/>
  <c r="N214" i="41" s="1"/>
  <c r="T215" i="6"/>
  <c r="Z215" i="6"/>
  <c r="AR215" i="6"/>
  <c r="Y215" i="6"/>
  <c r="AQ215" i="6"/>
  <c r="S215" i="6"/>
  <c r="R215" i="6"/>
  <c r="AB215" i="6"/>
  <c r="M215" i="6"/>
  <c r="M214" i="41" s="1"/>
  <c r="P214" i="41" s="1"/>
  <c r="AA215" i="6"/>
  <c r="AH215" i="6"/>
  <c r="AD215" i="6"/>
  <c r="AY215" i="6" s="1"/>
  <c r="BB215" i="6" s="1"/>
  <c r="AF215" i="6"/>
  <c r="AE215" i="6"/>
  <c r="L215" i="6"/>
  <c r="AG215" i="6"/>
  <c r="A216" i="6"/>
  <c r="AJ216" i="6" l="1"/>
  <c r="AN216" i="6"/>
  <c r="Q216" i="6"/>
  <c r="AO216" i="6"/>
  <c r="X216" i="6"/>
  <c r="AX216" i="6" s="1"/>
  <c r="BA216" i="6" s="1"/>
  <c r="AK216" i="6"/>
  <c r="AL216" i="6"/>
  <c r="AM216" i="6"/>
  <c r="I214" i="41"/>
  <c r="H214" i="41"/>
  <c r="J214" i="41"/>
  <c r="AA215" i="14"/>
  <c r="Q215" i="14"/>
  <c r="C215" i="14"/>
  <c r="AB215" i="14"/>
  <c r="T215" i="14"/>
  <c r="E215" i="14"/>
  <c r="U215" i="14"/>
  <c r="M215" i="14"/>
  <c r="V215" i="14"/>
  <c r="X215" i="14"/>
  <c r="L215" i="14"/>
  <c r="G215" i="14"/>
  <c r="Y215" i="14"/>
  <c r="S215" i="14"/>
  <c r="O215" i="14"/>
  <c r="Z215" i="14"/>
  <c r="P215" i="14"/>
  <c r="D215" i="14"/>
  <c r="R215" i="14"/>
  <c r="J215" i="14"/>
  <c r="AJ215" i="14"/>
  <c r="H215" i="14"/>
  <c r="AE215" i="14"/>
  <c r="AH215" i="14"/>
  <c r="AC215" i="14"/>
  <c r="AI215" i="14"/>
  <c r="I215" i="14"/>
  <c r="W215" i="14"/>
  <c r="K215" i="14"/>
  <c r="F215" i="14"/>
  <c r="AF215" i="14"/>
  <c r="AG215" i="14"/>
  <c r="N215" i="14"/>
  <c r="AD215" i="14"/>
  <c r="O214" i="41"/>
  <c r="AW215" i="6"/>
  <c r="BF215" i="6" s="1"/>
  <c r="BG215" i="6" s="1"/>
  <c r="BH215" i="6" s="1"/>
  <c r="C216" i="6"/>
  <c r="B215" i="41" s="1"/>
  <c r="H216" i="6"/>
  <c r="AU216" i="6" s="1"/>
  <c r="B216" i="6"/>
  <c r="G216" i="6"/>
  <c r="D216" i="6"/>
  <c r="A216" i="14"/>
  <c r="E216" i="6"/>
  <c r="C215" i="41" s="1"/>
  <c r="G215" i="41"/>
  <c r="A215" i="41"/>
  <c r="D215" i="41" s="1"/>
  <c r="F216" i="6"/>
  <c r="U216" i="6"/>
  <c r="I216" i="6"/>
  <c r="J216" i="6"/>
  <c r="AV216" i="6" s="1"/>
  <c r="N216" i="6"/>
  <c r="R216" i="6"/>
  <c r="Z216" i="6"/>
  <c r="M216" i="6"/>
  <c r="M215" i="41" s="1"/>
  <c r="P215" i="41" s="1"/>
  <c r="AB216" i="6"/>
  <c r="Y216" i="6"/>
  <c r="AD216" i="6"/>
  <c r="AY216" i="6" s="1"/>
  <c r="BB216" i="6" s="1"/>
  <c r="V216" i="6"/>
  <c r="L216" i="6"/>
  <c r="AA216" i="6"/>
  <c r="AZ216" i="6"/>
  <c r="BC216" i="6" s="1"/>
  <c r="K216" i="6"/>
  <c r="T216" i="6"/>
  <c r="O216" i="6"/>
  <c r="N215" i="41" s="1"/>
  <c r="AQ216" i="6"/>
  <c r="S216" i="6"/>
  <c r="AH216" i="6"/>
  <c r="AE216" i="6"/>
  <c r="AG216" i="6"/>
  <c r="AR216" i="6"/>
  <c r="AF216" i="6"/>
  <c r="A217" i="6"/>
  <c r="AJ217" i="6" l="1"/>
  <c r="Q217" i="6"/>
  <c r="AK217" i="6"/>
  <c r="AM217" i="6"/>
  <c r="AN217" i="6"/>
  <c r="X217" i="6"/>
  <c r="AX217" i="6" s="1"/>
  <c r="BA217" i="6" s="1"/>
  <c r="AO217" i="6"/>
  <c r="AL217" i="6"/>
  <c r="I215" i="41"/>
  <c r="H215" i="41"/>
  <c r="J215" i="41"/>
  <c r="O215" i="41"/>
  <c r="AW216" i="6"/>
  <c r="BF216" i="6" s="1"/>
  <c r="BG216" i="6" s="1"/>
  <c r="BH216" i="6" s="1"/>
  <c r="J216" i="14"/>
  <c r="AI216" i="14"/>
  <c r="U216" i="14"/>
  <c r="Q216" i="14"/>
  <c r="K216" i="14"/>
  <c r="AC216" i="14"/>
  <c r="AA216" i="14"/>
  <c r="L216" i="14"/>
  <c r="E216" i="14"/>
  <c r="AD216" i="14"/>
  <c r="F216" i="14"/>
  <c r="S216" i="14"/>
  <c r="I216" i="14"/>
  <c r="AE216" i="14"/>
  <c r="D216" i="14"/>
  <c r="V216" i="14"/>
  <c r="AH216" i="14"/>
  <c r="W216" i="14"/>
  <c r="X216" i="14"/>
  <c r="T216" i="14"/>
  <c r="Z216" i="14"/>
  <c r="N216" i="14"/>
  <c r="AB216" i="14"/>
  <c r="R216" i="14"/>
  <c r="C216" i="14"/>
  <c r="Y216" i="14"/>
  <c r="AJ216" i="14"/>
  <c r="P216" i="14"/>
  <c r="G216" i="14"/>
  <c r="O216" i="14"/>
  <c r="AF216" i="14"/>
  <c r="H216" i="14"/>
  <c r="AG216" i="14"/>
  <c r="M216" i="14"/>
  <c r="F217" i="6"/>
  <c r="G216" i="41"/>
  <c r="A217" i="14"/>
  <c r="G217" i="6"/>
  <c r="A216" i="41"/>
  <c r="D216" i="41" s="1"/>
  <c r="C217" i="6"/>
  <c r="B216" i="41" s="1"/>
  <c r="B217" i="6"/>
  <c r="D217" i="6"/>
  <c r="H217" i="6"/>
  <c r="AU217" i="6" s="1"/>
  <c r="E217" i="6"/>
  <c r="C216" i="41" s="1"/>
  <c r="V217" i="6"/>
  <c r="U217" i="6"/>
  <c r="I217" i="6"/>
  <c r="J217" i="6"/>
  <c r="AV217" i="6" s="1"/>
  <c r="N217" i="6"/>
  <c r="M217" i="6"/>
  <c r="M216" i="41" s="1"/>
  <c r="P216" i="41" s="1"/>
  <c r="Y217" i="6"/>
  <c r="AZ217" i="6"/>
  <c r="BC217" i="6" s="1"/>
  <c r="AQ217" i="6"/>
  <c r="S217" i="6"/>
  <c r="L217" i="6"/>
  <c r="R217" i="6"/>
  <c r="K217" i="6"/>
  <c r="T217" i="6"/>
  <c r="O217" i="6"/>
  <c r="N216" i="41" s="1"/>
  <c r="Z217" i="6"/>
  <c r="AB217" i="6"/>
  <c r="AA217" i="6"/>
  <c r="AD217" i="6"/>
  <c r="AY217" i="6" s="1"/>
  <c r="BB217" i="6" s="1"/>
  <c r="AR217" i="6"/>
  <c r="AF217" i="6"/>
  <c r="AE217" i="6"/>
  <c r="AH217" i="6"/>
  <c r="AG217" i="6"/>
  <c r="A218" i="6"/>
  <c r="AL218" i="6" l="1"/>
  <c r="AM218" i="6"/>
  <c r="AJ218" i="6"/>
  <c r="AZ218" i="6" s="1"/>
  <c r="BC218" i="6" s="1"/>
  <c r="AN218" i="6"/>
  <c r="Q218" i="6"/>
  <c r="X218" i="6"/>
  <c r="AX218" i="6" s="1"/>
  <c r="BA218" i="6" s="1"/>
  <c r="AK218" i="6"/>
  <c r="AO218" i="6"/>
  <c r="O216" i="41"/>
  <c r="AW217" i="6"/>
  <c r="BF217" i="6" s="1"/>
  <c r="BG217" i="6" s="1"/>
  <c r="BH217" i="6" s="1"/>
  <c r="S217" i="14"/>
  <c r="L217" i="14"/>
  <c r="D217" i="14"/>
  <c r="P217" i="14"/>
  <c r="AB217" i="14"/>
  <c r="Z217" i="14"/>
  <c r="Y217" i="14"/>
  <c r="AJ217" i="14"/>
  <c r="H217" i="14"/>
  <c r="K217" i="14"/>
  <c r="X217" i="14"/>
  <c r="AI217" i="14"/>
  <c r="AE217" i="14"/>
  <c r="I217" i="14"/>
  <c r="O217" i="14"/>
  <c r="J217" i="14"/>
  <c r="AF217" i="14"/>
  <c r="W217" i="14"/>
  <c r="AG217" i="14"/>
  <c r="AH217" i="14"/>
  <c r="AC217" i="14"/>
  <c r="AA217" i="14"/>
  <c r="N217" i="14"/>
  <c r="Q217" i="14"/>
  <c r="R217" i="14"/>
  <c r="F217" i="14"/>
  <c r="V217" i="14"/>
  <c r="C217" i="14"/>
  <c r="E217" i="14"/>
  <c r="M217" i="14"/>
  <c r="T217" i="14"/>
  <c r="U217" i="14"/>
  <c r="AD217" i="14"/>
  <c r="G217" i="14"/>
  <c r="C218" i="6"/>
  <c r="B217" i="41" s="1"/>
  <c r="H218" i="6"/>
  <c r="AU218" i="6" s="1"/>
  <c r="G218" i="6"/>
  <c r="D218" i="6"/>
  <c r="A218" i="14"/>
  <c r="E218" i="6"/>
  <c r="C217" i="41" s="1"/>
  <c r="G217" i="41"/>
  <c r="A217" i="41"/>
  <c r="D217" i="41" s="1"/>
  <c r="F218" i="6"/>
  <c r="B218" i="6"/>
  <c r="J218" i="6"/>
  <c r="AV218" i="6" s="1"/>
  <c r="N218" i="6"/>
  <c r="I218" i="6"/>
  <c r="U218" i="6"/>
  <c r="V218" i="6"/>
  <c r="S218" i="6"/>
  <c r="R218" i="6"/>
  <c r="L218" i="6"/>
  <c r="M218" i="6"/>
  <c r="M217" i="41" s="1"/>
  <c r="P217" i="41" s="1"/>
  <c r="AQ218" i="6"/>
  <c r="K218" i="6"/>
  <c r="Y218" i="6"/>
  <c r="AR218" i="6"/>
  <c r="O218" i="6"/>
  <c r="N217" i="41" s="1"/>
  <c r="AA218" i="6"/>
  <c r="AB218" i="6"/>
  <c r="T218" i="6"/>
  <c r="AD218" i="6"/>
  <c r="AY218" i="6" s="1"/>
  <c r="BB218" i="6" s="1"/>
  <c r="Z218" i="6"/>
  <c r="AH218" i="6"/>
  <c r="AG218" i="6"/>
  <c r="AE218" i="6"/>
  <c r="AF218" i="6"/>
  <c r="A219" i="6"/>
  <c r="H216" i="41"/>
  <c r="I216" i="41"/>
  <c r="J216" i="41"/>
  <c r="X219" i="6" l="1"/>
  <c r="AJ219" i="6"/>
  <c r="Q219" i="6"/>
  <c r="AL219" i="6"/>
  <c r="AM219" i="6"/>
  <c r="AK219" i="6"/>
  <c r="AN219" i="6"/>
  <c r="AO219" i="6"/>
  <c r="H217" i="41"/>
  <c r="I217" i="41"/>
  <c r="J217" i="41"/>
  <c r="C219" i="6"/>
  <c r="B218" i="41" s="1"/>
  <c r="D219" i="6"/>
  <c r="B219" i="6"/>
  <c r="G219" i="6"/>
  <c r="E219" i="6"/>
  <c r="C218" i="41" s="1"/>
  <c r="A219" i="14"/>
  <c r="H219" i="6"/>
  <c r="AU219" i="6" s="1"/>
  <c r="G218" i="41"/>
  <c r="F219" i="6"/>
  <c r="A218" i="41"/>
  <c r="D218" i="41" s="1"/>
  <c r="V219" i="6"/>
  <c r="U219" i="6"/>
  <c r="I219" i="6"/>
  <c r="J219" i="6"/>
  <c r="AV219" i="6" s="1"/>
  <c r="N219" i="6"/>
  <c r="AD219" i="6"/>
  <c r="AY219" i="6" s="1"/>
  <c r="BB219" i="6" s="1"/>
  <c r="L219" i="6"/>
  <c r="AX219" i="6"/>
  <c r="BA219" i="6" s="1"/>
  <c r="K219" i="6"/>
  <c r="Y219" i="6"/>
  <c r="AQ219" i="6"/>
  <c r="O219" i="6"/>
  <c r="N218" i="41" s="1"/>
  <c r="Z219" i="6"/>
  <c r="AR219" i="6"/>
  <c r="S219" i="6"/>
  <c r="M219" i="6"/>
  <c r="M218" i="41" s="1"/>
  <c r="P218" i="41" s="1"/>
  <c r="AZ219" i="6"/>
  <c r="BC219" i="6" s="1"/>
  <c r="R219" i="6"/>
  <c r="AA219" i="6"/>
  <c r="T219" i="6"/>
  <c r="AF219" i="6"/>
  <c r="AH219" i="6"/>
  <c r="AE219" i="6"/>
  <c r="AG219" i="6"/>
  <c r="AB219" i="6"/>
  <c r="A220" i="6"/>
  <c r="AW218" i="6"/>
  <c r="BF218" i="6" s="1"/>
  <c r="BG218" i="6" s="1"/>
  <c r="BH218" i="6" s="1"/>
  <c r="O217" i="41"/>
  <c r="S218" i="14"/>
  <c r="W218" i="14"/>
  <c r="R218" i="14"/>
  <c r="G218" i="14"/>
  <c r="N218" i="14"/>
  <c r="O218" i="14"/>
  <c r="AI218" i="14"/>
  <c r="P218" i="14"/>
  <c r="C218" i="14"/>
  <c r="AH218" i="14"/>
  <c r="Y218" i="14"/>
  <c r="AF218" i="14"/>
  <c r="H218" i="14"/>
  <c r="AD218" i="14"/>
  <c r="K218" i="14"/>
  <c r="AJ218" i="14"/>
  <c r="AG218" i="14"/>
  <c r="M218" i="14"/>
  <c r="AB218" i="14"/>
  <c r="J218" i="14"/>
  <c r="AA218" i="14"/>
  <c r="Q218" i="14"/>
  <c r="U218" i="14"/>
  <c r="D218" i="14"/>
  <c r="AC218" i="14"/>
  <c r="V218" i="14"/>
  <c r="E218" i="14"/>
  <c r="L218" i="14"/>
  <c r="Z218" i="14"/>
  <c r="T218" i="14"/>
  <c r="AE218" i="14"/>
  <c r="I218" i="14"/>
  <c r="X218" i="14"/>
  <c r="F218" i="14"/>
  <c r="X220" i="6" l="1"/>
  <c r="AX220" i="6" s="1"/>
  <c r="BA220" i="6" s="1"/>
  <c r="AJ220" i="6"/>
  <c r="Q220" i="6"/>
  <c r="AM220" i="6"/>
  <c r="AK220" i="6"/>
  <c r="AL220" i="6"/>
  <c r="AN220" i="6"/>
  <c r="AO220" i="6"/>
  <c r="O218" i="41"/>
  <c r="AW219" i="6"/>
  <c r="BF219" i="6" s="1"/>
  <c r="BG219" i="6" s="1"/>
  <c r="BH219" i="6" s="1"/>
  <c r="I218" i="41"/>
  <c r="H218" i="41"/>
  <c r="J218" i="41"/>
  <c r="A219" i="41"/>
  <c r="D219" i="41" s="1"/>
  <c r="F220" i="6"/>
  <c r="C220" i="6"/>
  <c r="B219" i="41" s="1"/>
  <c r="B220" i="6"/>
  <c r="G220" i="6"/>
  <c r="D220" i="6"/>
  <c r="E220" i="6"/>
  <c r="C219" i="41" s="1"/>
  <c r="A220" i="14"/>
  <c r="H220" i="6"/>
  <c r="AU220" i="6" s="1"/>
  <c r="G219" i="41"/>
  <c r="I220" i="6"/>
  <c r="N220" i="6"/>
  <c r="U220" i="6"/>
  <c r="J220" i="6"/>
  <c r="AV220" i="6" s="1"/>
  <c r="V220" i="6"/>
  <c r="S220" i="6"/>
  <c r="O220" i="6"/>
  <c r="N219" i="41" s="1"/>
  <c r="Y220" i="6"/>
  <c r="R220" i="6"/>
  <c r="AA220" i="6"/>
  <c r="AR220" i="6"/>
  <c r="AB220" i="6"/>
  <c r="M220" i="6"/>
  <c r="M219" i="41" s="1"/>
  <c r="P219" i="41" s="1"/>
  <c r="AD220" i="6"/>
  <c r="AY220" i="6" s="1"/>
  <c r="BB220" i="6" s="1"/>
  <c r="AZ220" i="6"/>
  <c r="BC220" i="6" s="1"/>
  <c r="T220" i="6"/>
  <c r="L220" i="6"/>
  <c r="AQ220" i="6"/>
  <c r="AH220" i="6"/>
  <c r="K220" i="6"/>
  <c r="Z220" i="6"/>
  <c r="AF220" i="6"/>
  <c r="AE220" i="6"/>
  <c r="AG220" i="6"/>
  <c r="A221" i="6"/>
  <c r="F219" i="14"/>
  <c r="AF219" i="14"/>
  <c r="Q219" i="14"/>
  <c r="C219" i="14"/>
  <c r="Z219" i="14"/>
  <c r="V219" i="14"/>
  <c r="E219" i="14"/>
  <c r="U219" i="14"/>
  <c r="R219" i="14"/>
  <c r="T219" i="14"/>
  <c r="X219" i="14"/>
  <c r="L219" i="14"/>
  <c r="M219" i="14"/>
  <c r="S219" i="14"/>
  <c r="O219" i="14"/>
  <c r="AH219" i="14"/>
  <c r="P219" i="14"/>
  <c r="D219" i="14"/>
  <c r="K219" i="14"/>
  <c r="Y219" i="14"/>
  <c r="AJ219" i="14"/>
  <c r="H219" i="14"/>
  <c r="AE219" i="14"/>
  <c r="AD219" i="14"/>
  <c r="J219" i="14"/>
  <c r="AI219" i="14"/>
  <c r="I219" i="14"/>
  <c r="W219" i="14"/>
  <c r="G219" i="14"/>
  <c r="AA219" i="14"/>
  <c r="AG219" i="14"/>
  <c r="N219" i="14"/>
  <c r="AB219" i="14"/>
  <c r="AC219" i="14"/>
  <c r="X221" i="6" l="1"/>
  <c r="AX221" i="6" s="1"/>
  <c r="BA221" i="6" s="1"/>
  <c r="AJ221" i="6"/>
  <c r="Q221" i="6"/>
  <c r="AK221" i="6"/>
  <c r="AL221" i="6"/>
  <c r="AM221" i="6"/>
  <c r="AN221" i="6"/>
  <c r="AO221" i="6"/>
  <c r="C221" i="6"/>
  <c r="B220" i="41" s="1"/>
  <c r="E221" i="6"/>
  <c r="C220" i="41" s="1"/>
  <c r="G220" i="41"/>
  <c r="G221" i="6"/>
  <c r="A220" i="41"/>
  <c r="D220" i="41" s="1"/>
  <c r="F221" i="6"/>
  <c r="B221" i="6"/>
  <c r="A221" i="14"/>
  <c r="H221" i="6"/>
  <c r="AU221" i="6" s="1"/>
  <c r="D221" i="6"/>
  <c r="I221" i="6"/>
  <c r="J221" i="6"/>
  <c r="AV221" i="6" s="1"/>
  <c r="V221" i="6"/>
  <c r="R221" i="6"/>
  <c r="AR221" i="6"/>
  <c r="Z221" i="6"/>
  <c r="M221" i="6"/>
  <c r="M220" i="41" s="1"/>
  <c r="P220" i="41" s="1"/>
  <c r="AQ221" i="6"/>
  <c r="Y221" i="6"/>
  <c r="AB221" i="6"/>
  <c r="L221" i="6"/>
  <c r="AD221" i="6"/>
  <c r="AY221" i="6" s="1"/>
  <c r="BB221" i="6" s="1"/>
  <c r="K221" i="6"/>
  <c r="AZ221" i="6"/>
  <c r="BC221" i="6" s="1"/>
  <c r="U221" i="6"/>
  <c r="T221" i="6"/>
  <c r="O221" i="6"/>
  <c r="N220" i="41" s="1"/>
  <c r="AA221" i="6"/>
  <c r="S221" i="6"/>
  <c r="N221" i="6"/>
  <c r="AH221" i="6"/>
  <c r="AE221" i="6"/>
  <c r="AF221" i="6"/>
  <c r="AG221" i="6"/>
  <c r="A222" i="6"/>
  <c r="H219" i="41"/>
  <c r="I219" i="41"/>
  <c r="J219" i="41"/>
  <c r="AJ220" i="14"/>
  <c r="U220" i="14"/>
  <c r="Q220" i="14"/>
  <c r="K220" i="14"/>
  <c r="J220" i="14"/>
  <c r="AA220" i="14"/>
  <c r="L220" i="14"/>
  <c r="E220" i="14"/>
  <c r="AB220" i="14"/>
  <c r="AC220" i="14"/>
  <c r="V220" i="14"/>
  <c r="I220" i="14"/>
  <c r="AE220" i="14"/>
  <c r="M220" i="14"/>
  <c r="F220" i="14"/>
  <c r="T220" i="14"/>
  <c r="AH220" i="14"/>
  <c r="W220" i="14"/>
  <c r="D220" i="14"/>
  <c r="S220" i="14"/>
  <c r="Z220" i="14"/>
  <c r="N220" i="14"/>
  <c r="AD220" i="14"/>
  <c r="R220" i="14"/>
  <c r="C220" i="14"/>
  <c r="AI220" i="14"/>
  <c r="P220" i="14"/>
  <c r="G220" i="14"/>
  <c r="X220" i="14"/>
  <c r="H220" i="14"/>
  <c r="AG220" i="14"/>
  <c r="O220" i="14"/>
  <c r="Y220" i="14"/>
  <c r="AF220" i="14"/>
  <c r="AW220" i="6"/>
  <c r="BF220" i="6" s="1"/>
  <c r="BG220" i="6" s="1"/>
  <c r="BH220" i="6" s="1"/>
  <c r="O219" i="41"/>
  <c r="X222" i="6" l="1"/>
  <c r="AJ222" i="6"/>
  <c r="AZ222" i="6" s="1"/>
  <c r="BC222" i="6" s="1"/>
  <c r="Q222" i="6"/>
  <c r="AK222" i="6"/>
  <c r="AN222" i="6"/>
  <c r="AO222" i="6"/>
  <c r="AL222" i="6"/>
  <c r="AM222" i="6"/>
  <c r="P221" i="14"/>
  <c r="AB221" i="14"/>
  <c r="M221" i="14"/>
  <c r="AJ221" i="14"/>
  <c r="H221" i="14"/>
  <c r="K221" i="14"/>
  <c r="G221" i="14"/>
  <c r="J221" i="14"/>
  <c r="AI221" i="14"/>
  <c r="AE221" i="14"/>
  <c r="I221" i="14"/>
  <c r="AD221" i="14"/>
  <c r="AC221" i="14"/>
  <c r="AF221" i="14"/>
  <c r="W221" i="14"/>
  <c r="AG221" i="14"/>
  <c r="D221" i="14"/>
  <c r="F221" i="14"/>
  <c r="AA221" i="14"/>
  <c r="N221" i="14"/>
  <c r="Q221" i="14"/>
  <c r="X221" i="14"/>
  <c r="V221" i="14"/>
  <c r="C221" i="14"/>
  <c r="E221" i="14"/>
  <c r="Z221" i="14"/>
  <c r="T221" i="14"/>
  <c r="U221" i="14"/>
  <c r="O221" i="14"/>
  <c r="R221" i="14"/>
  <c r="S221" i="14"/>
  <c r="L221" i="14"/>
  <c r="AH221" i="14"/>
  <c r="Y221" i="14"/>
  <c r="O220" i="41"/>
  <c r="AW221" i="6"/>
  <c r="BF221" i="6" s="1"/>
  <c r="BG221" i="6" s="1"/>
  <c r="BH221" i="6" s="1"/>
  <c r="I220" i="41"/>
  <c r="H220" i="41"/>
  <c r="J220" i="41"/>
  <c r="A222" i="14"/>
  <c r="G222" i="6"/>
  <c r="D222" i="6"/>
  <c r="B222" i="6"/>
  <c r="C222" i="6"/>
  <c r="B221" i="41" s="1"/>
  <c r="E222" i="6"/>
  <c r="C221" i="41" s="1"/>
  <c r="F222" i="6"/>
  <c r="G221" i="41"/>
  <c r="A221" i="41"/>
  <c r="D221" i="41" s="1"/>
  <c r="H222" i="6"/>
  <c r="AU222" i="6" s="1"/>
  <c r="I222" i="6"/>
  <c r="U222" i="6"/>
  <c r="J222" i="6"/>
  <c r="AV222" i="6" s="1"/>
  <c r="V222" i="6"/>
  <c r="N222" i="6"/>
  <c r="R222" i="6"/>
  <c r="K222" i="6"/>
  <c r="O222" i="6"/>
  <c r="N221" i="41" s="1"/>
  <c r="AX222" i="6"/>
  <c r="BA222" i="6" s="1"/>
  <c r="AR222" i="6"/>
  <c r="AB222" i="6"/>
  <c r="M222" i="6"/>
  <c r="M221" i="41" s="1"/>
  <c r="P221" i="41" s="1"/>
  <c r="AD222" i="6"/>
  <c r="AY222" i="6" s="1"/>
  <c r="BB222" i="6" s="1"/>
  <c r="AQ222" i="6"/>
  <c r="T222" i="6"/>
  <c r="Y222" i="6"/>
  <c r="Z222" i="6"/>
  <c r="AH222" i="6"/>
  <c r="S222" i="6"/>
  <c r="L222" i="6"/>
  <c r="AA222" i="6"/>
  <c r="AF222" i="6"/>
  <c r="AE222" i="6"/>
  <c r="AG222" i="6"/>
  <c r="A223" i="6"/>
  <c r="Q223" i="6" l="1"/>
  <c r="X223" i="6"/>
  <c r="AJ223" i="6"/>
  <c r="AN223" i="6"/>
  <c r="AK223" i="6"/>
  <c r="AL223" i="6"/>
  <c r="AM223" i="6"/>
  <c r="AO223" i="6"/>
  <c r="H221" i="41"/>
  <c r="I221" i="41"/>
  <c r="J221" i="41"/>
  <c r="S222" i="14"/>
  <c r="W222" i="14"/>
  <c r="AB222" i="14"/>
  <c r="AH222" i="14"/>
  <c r="Y222" i="14"/>
  <c r="V222" i="14"/>
  <c r="N222" i="14"/>
  <c r="D222" i="14"/>
  <c r="P222" i="14"/>
  <c r="C222" i="14"/>
  <c r="Z222" i="14"/>
  <c r="AI222" i="14"/>
  <c r="H222" i="14"/>
  <c r="AD222" i="14"/>
  <c r="X222" i="14"/>
  <c r="J222" i="14"/>
  <c r="AF222" i="14"/>
  <c r="AG222" i="14"/>
  <c r="M222" i="14"/>
  <c r="O222" i="14"/>
  <c r="AC222" i="14"/>
  <c r="AJ222" i="14"/>
  <c r="Q222" i="14"/>
  <c r="U222" i="14"/>
  <c r="R222" i="14"/>
  <c r="F222" i="14"/>
  <c r="AA222" i="14"/>
  <c r="E222" i="14"/>
  <c r="L222" i="14"/>
  <c r="K222" i="14"/>
  <c r="AE222" i="14"/>
  <c r="I222" i="14"/>
  <c r="G222" i="14"/>
  <c r="T222" i="14"/>
  <c r="O221" i="41"/>
  <c r="AW222" i="6"/>
  <c r="BF222" i="6" s="1"/>
  <c r="BG222" i="6" s="1"/>
  <c r="BH222" i="6" s="1"/>
  <c r="G223" i="6"/>
  <c r="A223" i="14"/>
  <c r="H223" i="6"/>
  <c r="AU223" i="6" s="1"/>
  <c r="D223" i="6"/>
  <c r="E223" i="6"/>
  <c r="C222" i="41" s="1"/>
  <c r="C223" i="6"/>
  <c r="B222" i="41" s="1"/>
  <c r="B223" i="6"/>
  <c r="G222" i="41"/>
  <c r="F223" i="6"/>
  <c r="A222" i="41"/>
  <c r="D222" i="41" s="1"/>
  <c r="J223" i="6"/>
  <c r="AV223" i="6" s="1"/>
  <c r="I223" i="6"/>
  <c r="V223" i="6"/>
  <c r="U223" i="6"/>
  <c r="Z223" i="6"/>
  <c r="AX223" i="6"/>
  <c r="BA223" i="6" s="1"/>
  <c r="AQ223" i="6"/>
  <c r="AB223" i="6"/>
  <c r="AR223" i="6"/>
  <c r="N223" i="6"/>
  <c r="M223" i="6"/>
  <c r="M222" i="41" s="1"/>
  <c r="P222" i="41" s="1"/>
  <c r="AD223" i="6"/>
  <c r="AY223" i="6" s="1"/>
  <c r="BB223" i="6" s="1"/>
  <c r="L223" i="6"/>
  <c r="AZ223" i="6"/>
  <c r="BC223" i="6" s="1"/>
  <c r="S223" i="6"/>
  <c r="K223" i="6"/>
  <c r="Y223" i="6"/>
  <c r="AA223" i="6"/>
  <c r="R223" i="6"/>
  <c r="O223" i="6"/>
  <c r="N222" i="41" s="1"/>
  <c r="AH223" i="6"/>
  <c r="AG223" i="6"/>
  <c r="T223" i="6"/>
  <c r="AE223" i="6"/>
  <c r="AF223" i="6"/>
  <c r="A224" i="6"/>
  <c r="AJ224" i="6" l="1"/>
  <c r="Q224" i="6"/>
  <c r="X224" i="6"/>
  <c r="AL224" i="6"/>
  <c r="AM224" i="6"/>
  <c r="AN224" i="6"/>
  <c r="AO224" i="6"/>
  <c r="AK224" i="6"/>
  <c r="I222" i="41"/>
  <c r="H222" i="41"/>
  <c r="J222" i="41"/>
  <c r="O222" i="41"/>
  <c r="AW223" i="6"/>
  <c r="BF223" i="6" s="1"/>
  <c r="BG223" i="6" s="1"/>
  <c r="BH223" i="6" s="1"/>
  <c r="A224" i="14"/>
  <c r="E224" i="6"/>
  <c r="C223" i="41" s="1"/>
  <c r="G223" i="41"/>
  <c r="A223" i="41"/>
  <c r="D223" i="41" s="1"/>
  <c r="F224" i="6"/>
  <c r="G224" i="6"/>
  <c r="B224" i="6"/>
  <c r="C224" i="6"/>
  <c r="B223" i="41" s="1"/>
  <c r="H224" i="6"/>
  <c r="AU224" i="6" s="1"/>
  <c r="D224" i="6"/>
  <c r="N224" i="6"/>
  <c r="U224" i="6"/>
  <c r="V224" i="6"/>
  <c r="J224" i="6"/>
  <c r="AV224" i="6" s="1"/>
  <c r="I224" i="6"/>
  <c r="S224" i="6"/>
  <c r="O224" i="6"/>
  <c r="N223" i="41" s="1"/>
  <c r="R224" i="6"/>
  <c r="T224" i="6"/>
  <c r="M224" i="6"/>
  <c r="M223" i="41" s="1"/>
  <c r="P223" i="41" s="1"/>
  <c r="AR224" i="6"/>
  <c r="AA224" i="6"/>
  <c r="AB224" i="6"/>
  <c r="AZ224" i="6"/>
  <c r="BC224" i="6" s="1"/>
  <c r="AQ224" i="6"/>
  <c r="L224" i="6"/>
  <c r="Z224" i="6"/>
  <c r="AD224" i="6"/>
  <c r="AY224" i="6" s="1"/>
  <c r="BB224" i="6" s="1"/>
  <c r="Y224" i="6"/>
  <c r="AX224" i="6"/>
  <c r="BA224" i="6" s="1"/>
  <c r="K224" i="6"/>
  <c r="AH224" i="6"/>
  <c r="AF224" i="6"/>
  <c r="AE224" i="6"/>
  <c r="AG224" i="6"/>
  <c r="A225" i="6"/>
  <c r="AC223" i="14"/>
  <c r="T223" i="14"/>
  <c r="AG223" i="14"/>
  <c r="N223" i="14"/>
  <c r="AB223" i="14"/>
  <c r="F223" i="14"/>
  <c r="V223" i="14"/>
  <c r="Q223" i="14"/>
  <c r="C223" i="14"/>
  <c r="AD223" i="14"/>
  <c r="S223" i="14"/>
  <c r="E223" i="14"/>
  <c r="U223" i="14"/>
  <c r="Z223" i="14"/>
  <c r="Y223" i="14"/>
  <c r="X223" i="14"/>
  <c r="L223" i="14"/>
  <c r="G223" i="14"/>
  <c r="AJ223" i="14"/>
  <c r="O223" i="14"/>
  <c r="R223" i="14"/>
  <c r="AI223" i="14"/>
  <c r="P223" i="14"/>
  <c r="D223" i="14"/>
  <c r="M223" i="14"/>
  <c r="AF223" i="14"/>
  <c r="H223" i="14"/>
  <c r="AE223" i="14"/>
  <c r="AH223" i="14"/>
  <c r="I223" i="14"/>
  <c r="W223" i="14"/>
  <c r="K223" i="14"/>
  <c r="J223" i="14"/>
  <c r="AA223" i="14"/>
  <c r="AJ225" i="6" l="1"/>
  <c r="Q225" i="6"/>
  <c r="X225" i="6"/>
  <c r="AL225" i="6"/>
  <c r="AO225" i="6"/>
  <c r="AK225" i="6"/>
  <c r="AM225" i="6"/>
  <c r="AN225" i="6"/>
  <c r="A225" i="14"/>
  <c r="F225" i="6"/>
  <c r="C225" i="6"/>
  <c r="B224" i="41" s="1"/>
  <c r="G225" i="6"/>
  <c r="D225" i="6"/>
  <c r="G224" i="41"/>
  <c r="E225" i="6"/>
  <c r="C224" i="41" s="1"/>
  <c r="B225" i="6"/>
  <c r="A224" i="41"/>
  <c r="D224" i="41" s="1"/>
  <c r="H225" i="6"/>
  <c r="AU225" i="6" s="1"/>
  <c r="J225" i="6"/>
  <c r="AV225" i="6" s="1"/>
  <c r="I225" i="6"/>
  <c r="V225" i="6"/>
  <c r="N225" i="6"/>
  <c r="U225" i="6"/>
  <c r="K225" i="6"/>
  <c r="AA225" i="6"/>
  <c r="O225" i="6"/>
  <c r="N224" i="41" s="1"/>
  <c r="AB225" i="6"/>
  <c r="AD225" i="6"/>
  <c r="AY225" i="6" s="1"/>
  <c r="BB225" i="6" s="1"/>
  <c r="AX225" i="6"/>
  <c r="BA225" i="6" s="1"/>
  <c r="AZ225" i="6"/>
  <c r="BC225" i="6" s="1"/>
  <c r="AQ225" i="6"/>
  <c r="S225" i="6"/>
  <c r="T225" i="6"/>
  <c r="AR225" i="6"/>
  <c r="R225" i="6"/>
  <c r="Z225" i="6"/>
  <c r="L225" i="6"/>
  <c r="M225" i="6"/>
  <c r="M224" i="41" s="1"/>
  <c r="P224" i="41" s="1"/>
  <c r="Y225" i="6"/>
  <c r="AH225" i="6"/>
  <c r="AG225" i="6"/>
  <c r="AE225" i="6"/>
  <c r="AF225" i="6"/>
  <c r="A226" i="6"/>
  <c r="AF224" i="14"/>
  <c r="P224" i="14"/>
  <c r="G224" i="14"/>
  <c r="K224" i="14"/>
  <c r="Y224" i="14"/>
  <c r="AI224" i="14"/>
  <c r="H224" i="14"/>
  <c r="AG224" i="14"/>
  <c r="AD224" i="14"/>
  <c r="AA224" i="14"/>
  <c r="U224" i="14"/>
  <c r="Q224" i="14"/>
  <c r="D224" i="14"/>
  <c r="J224" i="14"/>
  <c r="S224" i="14"/>
  <c r="L224" i="14"/>
  <c r="E224" i="14"/>
  <c r="AB224" i="14"/>
  <c r="AC224" i="14"/>
  <c r="V224" i="14"/>
  <c r="I224" i="14"/>
  <c r="AE224" i="14"/>
  <c r="X224" i="14"/>
  <c r="F224" i="14"/>
  <c r="T224" i="14"/>
  <c r="AH224" i="14"/>
  <c r="W224" i="14"/>
  <c r="O224" i="14"/>
  <c r="Z224" i="14"/>
  <c r="N224" i="14"/>
  <c r="M224" i="14"/>
  <c r="R224" i="14"/>
  <c r="C224" i="14"/>
  <c r="AJ224" i="14"/>
  <c r="AW224" i="6"/>
  <c r="BF224" i="6" s="1"/>
  <c r="BG224" i="6" s="1"/>
  <c r="BH224" i="6" s="1"/>
  <c r="O223" i="41"/>
  <c r="H223" i="41"/>
  <c r="I223" i="41"/>
  <c r="J223" i="41"/>
  <c r="AJ226" i="6" l="1"/>
  <c r="Q226" i="6"/>
  <c r="X226" i="6"/>
  <c r="AX226" i="6" s="1"/>
  <c r="BA226" i="6" s="1"/>
  <c r="AO226" i="6"/>
  <c r="AK226" i="6"/>
  <c r="AL226" i="6"/>
  <c r="AM226" i="6"/>
  <c r="AN226" i="6"/>
  <c r="O224" i="41"/>
  <c r="AW225" i="6"/>
  <c r="BF225" i="6" s="1"/>
  <c r="BG225" i="6" s="1"/>
  <c r="BH225" i="6" s="1"/>
  <c r="H224" i="41"/>
  <c r="I224" i="41"/>
  <c r="J224" i="41"/>
  <c r="A225" i="41"/>
  <c r="D225" i="41" s="1"/>
  <c r="B226" i="6"/>
  <c r="A226" i="14"/>
  <c r="H226" i="6"/>
  <c r="AU226" i="6" s="1"/>
  <c r="D226" i="6"/>
  <c r="E226" i="6"/>
  <c r="C225" i="41" s="1"/>
  <c r="C226" i="6"/>
  <c r="B225" i="41" s="1"/>
  <c r="G226" i="6"/>
  <c r="F226" i="6"/>
  <c r="G225" i="41"/>
  <c r="N226" i="6"/>
  <c r="U226" i="6"/>
  <c r="I226" i="6"/>
  <c r="V226" i="6"/>
  <c r="L226" i="6"/>
  <c r="M226" i="6"/>
  <c r="M225" i="41" s="1"/>
  <c r="P225" i="41" s="1"/>
  <c r="AD226" i="6"/>
  <c r="AY226" i="6" s="1"/>
  <c r="BB226" i="6" s="1"/>
  <c r="Z226" i="6"/>
  <c r="K226" i="6"/>
  <c r="AZ226" i="6"/>
  <c r="BC226" i="6" s="1"/>
  <c r="S226" i="6"/>
  <c r="O226" i="6"/>
  <c r="N225" i="41" s="1"/>
  <c r="R226" i="6"/>
  <c r="Y226" i="6"/>
  <c r="AR226" i="6"/>
  <c r="J226" i="6"/>
  <c r="AV226" i="6" s="1"/>
  <c r="AA226" i="6"/>
  <c r="T226" i="6"/>
  <c r="AQ226" i="6"/>
  <c r="AB226" i="6"/>
  <c r="AH226" i="6"/>
  <c r="AF226" i="6"/>
  <c r="AE226" i="6"/>
  <c r="AG226" i="6"/>
  <c r="A227" i="6"/>
  <c r="F225" i="14"/>
  <c r="T225" i="14"/>
  <c r="Q225" i="14"/>
  <c r="M225" i="14"/>
  <c r="D225" i="14"/>
  <c r="Y225" i="14"/>
  <c r="S225" i="14"/>
  <c r="X225" i="14"/>
  <c r="AH225" i="14"/>
  <c r="P225" i="14"/>
  <c r="O225" i="14"/>
  <c r="K225" i="14"/>
  <c r="AJ225" i="14"/>
  <c r="H225" i="14"/>
  <c r="AE225" i="14"/>
  <c r="AB225" i="14"/>
  <c r="AF225" i="14"/>
  <c r="U225" i="14"/>
  <c r="W225" i="14"/>
  <c r="E225" i="14"/>
  <c r="AI225" i="14"/>
  <c r="L225" i="14"/>
  <c r="N225" i="14"/>
  <c r="AD225" i="14"/>
  <c r="J225" i="14"/>
  <c r="AA225" i="14"/>
  <c r="I225" i="14"/>
  <c r="C225" i="14"/>
  <c r="Z225" i="14"/>
  <c r="R225" i="14"/>
  <c r="G225" i="14"/>
  <c r="AC225" i="14"/>
  <c r="V225" i="14"/>
  <c r="AG225" i="14"/>
  <c r="X227" i="6" l="1"/>
  <c r="AX227" i="6" s="1"/>
  <c r="BA227" i="6" s="1"/>
  <c r="AJ227" i="6"/>
  <c r="Q227" i="6"/>
  <c r="AM227" i="6"/>
  <c r="AN227" i="6"/>
  <c r="AO227" i="6"/>
  <c r="AK227" i="6"/>
  <c r="AL227" i="6"/>
  <c r="F227" i="6"/>
  <c r="A227" i="14"/>
  <c r="B227" i="6"/>
  <c r="G226" i="41"/>
  <c r="G227" i="6"/>
  <c r="A226" i="41"/>
  <c r="D226" i="41" s="1"/>
  <c r="D227" i="6"/>
  <c r="C227" i="6"/>
  <c r="B226" i="41" s="1"/>
  <c r="H227" i="6"/>
  <c r="AU227" i="6" s="1"/>
  <c r="E227" i="6"/>
  <c r="C226" i="41" s="1"/>
  <c r="U227" i="6"/>
  <c r="I227" i="6"/>
  <c r="V227" i="6"/>
  <c r="J227" i="6"/>
  <c r="AV227" i="6" s="1"/>
  <c r="N227" i="6"/>
  <c r="L227" i="6"/>
  <c r="AQ227" i="6"/>
  <c r="T227" i="6"/>
  <c r="K227" i="6"/>
  <c r="AB227" i="6"/>
  <c r="AR227" i="6"/>
  <c r="S227" i="6"/>
  <c r="O227" i="6"/>
  <c r="N226" i="41" s="1"/>
  <c r="Y227" i="6"/>
  <c r="AD227" i="6"/>
  <c r="AY227" i="6" s="1"/>
  <c r="BB227" i="6" s="1"/>
  <c r="R227" i="6"/>
  <c r="Z227" i="6"/>
  <c r="AA227" i="6"/>
  <c r="AZ227" i="6"/>
  <c r="BC227" i="6" s="1"/>
  <c r="M227" i="6"/>
  <c r="M226" i="41" s="1"/>
  <c r="P226" i="41" s="1"/>
  <c r="AH227" i="6"/>
  <c r="AG227" i="6"/>
  <c r="AF227" i="6"/>
  <c r="AE227" i="6"/>
  <c r="A228" i="6"/>
  <c r="I225" i="41"/>
  <c r="H225" i="41"/>
  <c r="J225" i="41"/>
  <c r="AC226" i="14"/>
  <c r="AI226" i="14"/>
  <c r="P226" i="14"/>
  <c r="I226" i="14"/>
  <c r="M226" i="14"/>
  <c r="F226" i="14"/>
  <c r="AJ226" i="14"/>
  <c r="H226" i="14"/>
  <c r="AH226" i="14"/>
  <c r="AD226" i="14"/>
  <c r="AF226" i="14"/>
  <c r="AE226" i="14"/>
  <c r="Z226" i="14"/>
  <c r="D226" i="14"/>
  <c r="Y226" i="14"/>
  <c r="AA226" i="14"/>
  <c r="W226" i="14"/>
  <c r="R226" i="14"/>
  <c r="AB226" i="14"/>
  <c r="V226" i="14"/>
  <c r="N226" i="14"/>
  <c r="G226" i="14"/>
  <c r="X226" i="14"/>
  <c r="T226" i="14"/>
  <c r="C226" i="14"/>
  <c r="AG226" i="14"/>
  <c r="O226" i="14"/>
  <c r="S226" i="14"/>
  <c r="U226" i="14"/>
  <c r="Q226" i="14"/>
  <c r="K226" i="14"/>
  <c r="E226" i="14"/>
  <c r="J226" i="14"/>
  <c r="L226" i="14"/>
  <c r="O225" i="41"/>
  <c r="AW226" i="6"/>
  <c r="BF226" i="6" s="1"/>
  <c r="BG226" i="6" s="1"/>
  <c r="BH226" i="6" s="1"/>
  <c r="X228" i="6" l="1"/>
  <c r="AX228" i="6" s="1"/>
  <c r="BA228" i="6" s="1"/>
  <c r="AJ228" i="6"/>
  <c r="Q228" i="6"/>
  <c r="AM228" i="6"/>
  <c r="AK228" i="6"/>
  <c r="AL228" i="6"/>
  <c r="AN228" i="6"/>
  <c r="AO228" i="6"/>
  <c r="O226" i="41"/>
  <c r="AW227" i="6"/>
  <c r="BF227" i="6" s="1"/>
  <c r="BG227" i="6" s="1"/>
  <c r="BH227" i="6" s="1"/>
  <c r="H226" i="41"/>
  <c r="I226" i="41"/>
  <c r="J226" i="41"/>
  <c r="C228" i="6"/>
  <c r="B227" i="41" s="1"/>
  <c r="D228" i="6"/>
  <c r="A228" i="14"/>
  <c r="E228" i="6"/>
  <c r="C227" i="41" s="1"/>
  <c r="H228" i="6"/>
  <c r="AU228" i="6" s="1"/>
  <c r="G227" i="41"/>
  <c r="A227" i="41"/>
  <c r="D227" i="41" s="1"/>
  <c r="G228" i="6"/>
  <c r="F228" i="6"/>
  <c r="B228" i="6"/>
  <c r="N228" i="6"/>
  <c r="J228" i="6"/>
  <c r="AV228" i="6" s="1"/>
  <c r="I228" i="6"/>
  <c r="V228" i="6"/>
  <c r="U228" i="6"/>
  <c r="L228" i="6"/>
  <c r="Y228" i="6"/>
  <c r="AB228" i="6"/>
  <c r="K228" i="6"/>
  <c r="AD228" i="6"/>
  <c r="AY228" i="6" s="1"/>
  <c r="BB228" i="6" s="1"/>
  <c r="AZ228" i="6"/>
  <c r="BC228" i="6" s="1"/>
  <c r="S228" i="6"/>
  <c r="O228" i="6"/>
  <c r="N227" i="41" s="1"/>
  <c r="AA228" i="6"/>
  <c r="AQ228" i="6"/>
  <c r="R228" i="6"/>
  <c r="M228" i="6"/>
  <c r="M227" i="41" s="1"/>
  <c r="P227" i="41" s="1"/>
  <c r="AR228" i="6"/>
  <c r="T228" i="6"/>
  <c r="AH228" i="6"/>
  <c r="Z228" i="6"/>
  <c r="AF228" i="6"/>
  <c r="AE228" i="6"/>
  <c r="AG228" i="6"/>
  <c r="A229" i="6"/>
  <c r="H227" i="14"/>
  <c r="V227" i="14"/>
  <c r="E227" i="14"/>
  <c r="AI227" i="14"/>
  <c r="Q227" i="14"/>
  <c r="AA227" i="14"/>
  <c r="J227" i="14"/>
  <c r="T227" i="14"/>
  <c r="AB227" i="14"/>
  <c r="Y227" i="14"/>
  <c r="AC227" i="14"/>
  <c r="AH227" i="14"/>
  <c r="S227" i="14"/>
  <c r="U227" i="14"/>
  <c r="Z227" i="14"/>
  <c r="W227" i="14"/>
  <c r="F227" i="14"/>
  <c r="L227" i="14"/>
  <c r="AJ227" i="14"/>
  <c r="R227" i="14"/>
  <c r="AD227" i="14"/>
  <c r="N227" i="14"/>
  <c r="AG227" i="14"/>
  <c r="G227" i="14"/>
  <c r="I227" i="14"/>
  <c r="P227" i="14"/>
  <c r="AF227" i="14"/>
  <c r="D227" i="14"/>
  <c r="AE227" i="14"/>
  <c r="X227" i="14"/>
  <c r="O227" i="14"/>
  <c r="K227" i="14"/>
  <c r="C227" i="14"/>
  <c r="M227" i="14"/>
  <c r="X229" i="6" l="1"/>
  <c r="AX229" i="6" s="1"/>
  <c r="BA229" i="6" s="1"/>
  <c r="AJ229" i="6"/>
  <c r="AZ229" i="6" s="1"/>
  <c r="BC229" i="6" s="1"/>
  <c r="Q229" i="6"/>
  <c r="AK229" i="6"/>
  <c r="AL229" i="6"/>
  <c r="AM229" i="6"/>
  <c r="AN229" i="6"/>
  <c r="AO229" i="6"/>
  <c r="G228" i="41"/>
  <c r="H229" i="6"/>
  <c r="AU229" i="6" s="1"/>
  <c r="D229" i="6"/>
  <c r="A228" i="41"/>
  <c r="D228" i="41" s="1"/>
  <c r="E229" i="6"/>
  <c r="C228" i="41" s="1"/>
  <c r="C229" i="6"/>
  <c r="B228" i="41" s="1"/>
  <c r="G229" i="6"/>
  <c r="B229" i="6"/>
  <c r="A229" i="14"/>
  <c r="F229" i="6"/>
  <c r="N229" i="6"/>
  <c r="J229" i="6"/>
  <c r="AV229" i="6" s="1"/>
  <c r="I229" i="6"/>
  <c r="U229" i="6"/>
  <c r="K229" i="6"/>
  <c r="AD229" i="6"/>
  <c r="AY229" i="6" s="1"/>
  <c r="BB229" i="6" s="1"/>
  <c r="V229" i="6"/>
  <c r="O229" i="6"/>
  <c r="N228" i="41" s="1"/>
  <c r="T229" i="6"/>
  <c r="Z229" i="6"/>
  <c r="Y229" i="6"/>
  <c r="AA229" i="6"/>
  <c r="AQ229" i="6"/>
  <c r="S229" i="6"/>
  <c r="AR229" i="6"/>
  <c r="R229" i="6"/>
  <c r="L229" i="6"/>
  <c r="AH229" i="6"/>
  <c r="M229" i="6"/>
  <c r="M228" i="41" s="1"/>
  <c r="P228" i="41" s="1"/>
  <c r="AB229" i="6"/>
  <c r="AF229" i="6"/>
  <c r="AE229" i="6"/>
  <c r="AG229" i="6"/>
  <c r="A230" i="6"/>
  <c r="AC228" i="14"/>
  <c r="V228" i="14"/>
  <c r="K228" i="14"/>
  <c r="R228" i="14"/>
  <c r="F228" i="14"/>
  <c r="X228" i="14"/>
  <c r="M228" i="14"/>
  <c r="AE228" i="14"/>
  <c r="Y228" i="14"/>
  <c r="AJ228" i="14"/>
  <c r="S228" i="14"/>
  <c r="O228" i="14"/>
  <c r="U228" i="14"/>
  <c r="D228" i="14"/>
  <c r="AH228" i="14"/>
  <c r="L228" i="14"/>
  <c r="AD228" i="14"/>
  <c r="T228" i="14"/>
  <c r="AI228" i="14"/>
  <c r="C228" i="14"/>
  <c r="P228" i="14"/>
  <c r="AF228" i="14"/>
  <c r="N228" i="14"/>
  <c r="AB228" i="14"/>
  <c r="H228" i="14"/>
  <c r="AA228" i="14"/>
  <c r="Q228" i="14"/>
  <c r="E228" i="14"/>
  <c r="AG228" i="14"/>
  <c r="I228" i="14"/>
  <c r="G228" i="14"/>
  <c r="W228" i="14"/>
  <c r="J228" i="14"/>
  <c r="Z228" i="14"/>
  <c r="H227" i="41"/>
  <c r="I227" i="41"/>
  <c r="J227" i="41"/>
  <c r="AW228" i="6"/>
  <c r="BF228" i="6" s="1"/>
  <c r="BG228" i="6" s="1"/>
  <c r="BH228" i="6" s="1"/>
  <c r="O227" i="41"/>
  <c r="X230" i="6" l="1"/>
  <c r="AX230" i="6" s="1"/>
  <c r="BA230" i="6" s="1"/>
  <c r="AJ230" i="6"/>
  <c r="Q230" i="6"/>
  <c r="AK230" i="6"/>
  <c r="AN230" i="6"/>
  <c r="AO230" i="6"/>
  <c r="AL230" i="6"/>
  <c r="AM230" i="6"/>
  <c r="O228" i="41"/>
  <c r="AW229" i="6"/>
  <c r="BF229" i="6" s="1"/>
  <c r="BG229" i="6" s="1"/>
  <c r="BH229" i="6" s="1"/>
  <c r="A230" i="14"/>
  <c r="C230" i="6"/>
  <c r="B229" i="41" s="1"/>
  <c r="F230" i="6"/>
  <c r="H230" i="6"/>
  <c r="AU230" i="6" s="1"/>
  <c r="D230" i="6"/>
  <c r="E230" i="6"/>
  <c r="C229" i="41" s="1"/>
  <c r="B230" i="6"/>
  <c r="A229" i="41"/>
  <c r="D229" i="41" s="1"/>
  <c r="G229" i="41"/>
  <c r="G230" i="6"/>
  <c r="J230" i="6"/>
  <c r="AV230" i="6" s="1"/>
  <c r="I230" i="6"/>
  <c r="U230" i="6"/>
  <c r="V230" i="6"/>
  <c r="N230" i="6"/>
  <c r="AQ230" i="6"/>
  <c r="L230" i="6"/>
  <c r="AB230" i="6"/>
  <c r="S230" i="6"/>
  <c r="K230" i="6"/>
  <c r="AD230" i="6"/>
  <c r="AY230" i="6" s="1"/>
  <c r="BB230" i="6" s="1"/>
  <c r="R230" i="6"/>
  <c r="T230" i="6"/>
  <c r="O230" i="6"/>
  <c r="N229" i="41" s="1"/>
  <c r="M230" i="6"/>
  <c r="M229" i="41" s="1"/>
  <c r="P229" i="41" s="1"/>
  <c r="AZ230" i="6"/>
  <c r="BC230" i="6" s="1"/>
  <c r="Z230" i="6"/>
  <c r="Y230" i="6"/>
  <c r="AA230" i="6"/>
  <c r="AH230" i="6"/>
  <c r="AR230" i="6"/>
  <c r="AE230" i="6"/>
  <c r="AG230" i="6"/>
  <c r="AF230" i="6"/>
  <c r="A231" i="6"/>
  <c r="Y229" i="14"/>
  <c r="F229" i="14"/>
  <c r="AE229" i="14"/>
  <c r="AI229" i="14"/>
  <c r="U229" i="14"/>
  <c r="R229" i="14"/>
  <c r="S229" i="14"/>
  <c r="AF229" i="14"/>
  <c r="AA229" i="14"/>
  <c r="O229" i="14"/>
  <c r="AB229" i="14"/>
  <c r="G229" i="14"/>
  <c r="Z229" i="14"/>
  <c r="V229" i="14"/>
  <c r="I229" i="14"/>
  <c r="X229" i="14"/>
  <c r="P229" i="14"/>
  <c r="H229" i="14"/>
  <c r="Q229" i="14"/>
  <c r="L229" i="14"/>
  <c r="AD229" i="14"/>
  <c r="J229" i="14"/>
  <c r="K229" i="14"/>
  <c r="AH229" i="14"/>
  <c r="M229" i="14"/>
  <c r="E229" i="14"/>
  <c r="W229" i="14"/>
  <c r="AG229" i="14"/>
  <c r="C229" i="14"/>
  <c r="D229" i="14"/>
  <c r="AJ229" i="14"/>
  <c r="AC229" i="14"/>
  <c r="N229" i="14"/>
  <c r="T229" i="14"/>
  <c r="H228" i="41"/>
  <c r="I228" i="41"/>
  <c r="J228" i="41"/>
  <c r="Q231" i="6" l="1"/>
  <c r="X231" i="6"/>
  <c r="AJ231" i="6"/>
  <c r="AN231" i="6"/>
  <c r="AK231" i="6"/>
  <c r="AL231" i="6"/>
  <c r="AM231" i="6"/>
  <c r="AO231" i="6"/>
  <c r="O229" i="41"/>
  <c r="AW230" i="6"/>
  <c r="BF230" i="6" s="1"/>
  <c r="BG230" i="6" s="1"/>
  <c r="BH230" i="6" s="1"/>
  <c r="H231" i="6"/>
  <c r="AU231" i="6" s="1"/>
  <c r="C231" i="6"/>
  <c r="B230" i="41" s="1"/>
  <c r="B231" i="6"/>
  <c r="G230" i="41"/>
  <c r="G231" i="6"/>
  <c r="D231" i="6"/>
  <c r="A231" i="14"/>
  <c r="E231" i="6"/>
  <c r="C230" i="41" s="1"/>
  <c r="F231" i="6"/>
  <c r="A230" i="41"/>
  <c r="D230" i="41" s="1"/>
  <c r="J231" i="6"/>
  <c r="AV231" i="6" s="1"/>
  <c r="I231" i="6"/>
  <c r="N231" i="6"/>
  <c r="U231" i="6"/>
  <c r="V231" i="6"/>
  <c r="S231" i="6"/>
  <c r="T231" i="6"/>
  <c r="Z231" i="6"/>
  <c r="O231" i="6"/>
  <c r="N230" i="41" s="1"/>
  <c r="AZ231" i="6"/>
  <c r="BC231" i="6" s="1"/>
  <c r="R231" i="6"/>
  <c r="M231" i="6"/>
  <c r="M230" i="41" s="1"/>
  <c r="P230" i="41" s="1"/>
  <c r="AA231" i="6"/>
  <c r="AX231" i="6"/>
  <c r="BA231" i="6" s="1"/>
  <c r="AR231" i="6"/>
  <c r="Y231" i="6"/>
  <c r="AQ231" i="6"/>
  <c r="L231" i="6"/>
  <c r="AB231" i="6"/>
  <c r="K231" i="6"/>
  <c r="AH231" i="6"/>
  <c r="AD231" i="6"/>
  <c r="AY231" i="6" s="1"/>
  <c r="BB231" i="6" s="1"/>
  <c r="AF231" i="6"/>
  <c r="AE231" i="6"/>
  <c r="AG231" i="6"/>
  <c r="A232" i="6"/>
  <c r="H229" i="41"/>
  <c r="I229" i="41"/>
  <c r="J229" i="41"/>
  <c r="AA230" i="14"/>
  <c r="N230" i="14"/>
  <c r="G230" i="14"/>
  <c r="D230" i="14"/>
  <c r="Y230" i="14"/>
  <c r="T230" i="14"/>
  <c r="C230" i="14"/>
  <c r="AG230" i="14"/>
  <c r="AD230" i="14"/>
  <c r="J230" i="14"/>
  <c r="S230" i="14"/>
  <c r="U230" i="14"/>
  <c r="Q230" i="14"/>
  <c r="X230" i="14"/>
  <c r="AC230" i="14"/>
  <c r="V230" i="14"/>
  <c r="L230" i="14"/>
  <c r="E230" i="14"/>
  <c r="AI230" i="14"/>
  <c r="H230" i="14"/>
  <c r="AH230" i="14"/>
  <c r="M230" i="14"/>
  <c r="AF230" i="14"/>
  <c r="AE230" i="14"/>
  <c r="Z230" i="14"/>
  <c r="K230" i="14"/>
  <c r="AJ230" i="14"/>
  <c r="P230" i="14"/>
  <c r="W230" i="14"/>
  <c r="F230" i="14"/>
  <c r="I230" i="14"/>
  <c r="R230" i="14"/>
  <c r="O230" i="14"/>
  <c r="AB230" i="14"/>
  <c r="AJ232" i="6" l="1"/>
  <c r="AZ232" i="6" s="1"/>
  <c r="BC232" i="6" s="1"/>
  <c r="Q232" i="6"/>
  <c r="X232" i="6"/>
  <c r="AX232" i="6" s="1"/>
  <c r="BA232" i="6" s="1"/>
  <c r="AL232" i="6"/>
  <c r="AM232" i="6"/>
  <c r="AN232" i="6"/>
  <c r="AO232" i="6"/>
  <c r="AK232" i="6"/>
  <c r="O230" i="41"/>
  <c r="AW231" i="6"/>
  <c r="BF231" i="6" s="1"/>
  <c r="BG231" i="6" s="1"/>
  <c r="BH231" i="6" s="1"/>
  <c r="H230" i="41"/>
  <c r="I230" i="41"/>
  <c r="J230" i="41"/>
  <c r="A232" i="14"/>
  <c r="B232" i="6"/>
  <c r="G231" i="41"/>
  <c r="F232" i="6"/>
  <c r="C232" i="6"/>
  <c r="B231" i="41" s="1"/>
  <c r="A231" i="41"/>
  <c r="D231" i="41" s="1"/>
  <c r="D232" i="6"/>
  <c r="E232" i="6"/>
  <c r="C231" i="41" s="1"/>
  <c r="G232" i="6"/>
  <c r="H232" i="6"/>
  <c r="AU232" i="6" s="1"/>
  <c r="J232" i="6"/>
  <c r="AV232" i="6" s="1"/>
  <c r="U232" i="6"/>
  <c r="N232" i="6"/>
  <c r="AA232" i="6"/>
  <c r="AQ232" i="6"/>
  <c r="S232" i="6"/>
  <c r="AB232" i="6"/>
  <c r="V232" i="6"/>
  <c r="R232" i="6"/>
  <c r="Z232" i="6"/>
  <c r="AD232" i="6"/>
  <c r="AY232" i="6" s="1"/>
  <c r="BB232" i="6" s="1"/>
  <c r="T232" i="6"/>
  <c r="Y232" i="6"/>
  <c r="I232" i="6"/>
  <c r="L232" i="6"/>
  <c r="M232" i="6"/>
  <c r="M231" i="41" s="1"/>
  <c r="P231" i="41" s="1"/>
  <c r="K232" i="6"/>
  <c r="AR232" i="6"/>
  <c r="AH232" i="6"/>
  <c r="O232" i="6"/>
  <c r="N231" i="41" s="1"/>
  <c r="AG232" i="6"/>
  <c r="AF232" i="6"/>
  <c r="AE232" i="6"/>
  <c r="A233" i="6"/>
  <c r="Y231" i="14"/>
  <c r="AJ231" i="14"/>
  <c r="H231" i="14"/>
  <c r="U231" i="14"/>
  <c r="D231" i="14"/>
  <c r="AI231" i="14"/>
  <c r="AG231" i="14"/>
  <c r="L231" i="14"/>
  <c r="Z231" i="14"/>
  <c r="AF231" i="14"/>
  <c r="Q231" i="14"/>
  <c r="AB231" i="14"/>
  <c r="X231" i="14"/>
  <c r="J231" i="14"/>
  <c r="AA231" i="14"/>
  <c r="E231" i="14"/>
  <c r="F231" i="14"/>
  <c r="V231" i="14"/>
  <c r="W231" i="14"/>
  <c r="AH231" i="14"/>
  <c r="G231" i="14"/>
  <c r="S231" i="14"/>
  <c r="N231" i="14"/>
  <c r="M231" i="14"/>
  <c r="AD231" i="14"/>
  <c r="R231" i="14"/>
  <c r="AC231" i="14"/>
  <c r="T231" i="14"/>
  <c r="O231" i="14"/>
  <c r="P231" i="14"/>
  <c r="AE231" i="14"/>
  <c r="C231" i="14"/>
  <c r="K231" i="14"/>
  <c r="I231" i="14"/>
  <c r="AJ233" i="6" l="1"/>
  <c r="Q233" i="6"/>
  <c r="X233" i="6"/>
  <c r="AX233" i="6" s="1"/>
  <c r="BA233" i="6" s="1"/>
  <c r="AL233" i="6"/>
  <c r="AO233" i="6"/>
  <c r="AK233" i="6"/>
  <c r="AM233" i="6"/>
  <c r="AN233" i="6"/>
  <c r="D233" i="6"/>
  <c r="E233" i="6"/>
  <c r="C232" i="41" s="1"/>
  <c r="H233" i="6"/>
  <c r="AU233" i="6" s="1"/>
  <c r="A233" i="14"/>
  <c r="F233" i="6"/>
  <c r="G232" i="41"/>
  <c r="G233" i="6"/>
  <c r="A232" i="41"/>
  <c r="D232" i="41" s="1"/>
  <c r="C233" i="6"/>
  <c r="B232" i="41" s="1"/>
  <c r="B233" i="6"/>
  <c r="U233" i="6"/>
  <c r="N233" i="6"/>
  <c r="V233" i="6"/>
  <c r="J233" i="6"/>
  <c r="AV233" i="6" s="1"/>
  <c r="T233" i="6"/>
  <c r="I233" i="6"/>
  <c r="Z233" i="6"/>
  <c r="AQ233" i="6"/>
  <c r="AR233" i="6"/>
  <c r="Y233" i="6"/>
  <c r="AZ233" i="6"/>
  <c r="BC233" i="6" s="1"/>
  <c r="S233" i="6"/>
  <c r="L233" i="6"/>
  <c r="M233" i="6"/>
  <c r="M232" i="41" s="1"/>
  <c r="P232" i="41" s="1"/>
  <c r="R233" i="6"/>
  <c r="K233" i="6"/>
  <c r="AB233" i="6"/>
  <c r="AA233" i="6"/>
  <c r="AD233" i="6"/>
  <c r="AY233" i="6" s="1"/>
  <c r="BB233" i="6" s="1"/>
  <c r="AH233" i="6"/>
  <c r="AF233" i="6"/>
  <c r="AE233" i="6"/>
  <c r="O233" i="6"/>
  <c r="N232" i="41" s="1"/>
  <c r="AG233" i="6"/>
  <c r="A234" i="6"/>
  <c r="J232" i="14"/>
  <c r="AC232" i="14"/>
  <c r="P232" i="14"/>
  <c r="N232" i="14"/>
  <c r="O232" i="14"/>
  <c r="AI232" i="14"/>
  <c r="H232" i="14"/>
  <c r="C232" i="14"/>
  <c r="G232" i="14"/>
  <c r="AJ232" i="14"/>
  <c r="I232" i="14"/>
  <c r="AD232" i="14"/>
  <c r="D232" i="14"/>
  <c r="AF232" i="14"/>
  <c r="AG232" i="14"/>
  <c r="M232" i="14"/>
  <c r="AB232" i="14"/>
  <c r="Y232" i="14"/>
  <c r="AA232" i="14"/>
  <c r="Q232" i="14"/>
  <c r="U232" i="14"/>
  <c r="AH232" i="14"/>
  <c r="S232" i="14"/>
  <c r="E232" i="14"/>
  <c r="L232" i="14"/>
  <c r="X232" i="14"/>
  <c r="T232" i="14"/>
  <c r="AE232" i="14"/>
  <c r="Z232" i="14"/>
  <c r="K232" i="14"/>
  <c r="V232" i="14"/>
  <c r="W232" i="14"/>
  <c r="R232" i="14"/>
  <c r="F232" i="14"/>
  <c r="O231" i="41"/>
  <c r="AW232" i="6"/>
  <c r="BF232" i="6" s="1"/>
  <c r="BG232" i="6" s="1"/>
  <c r="BH232" i="6" s="1"/>
  <c r="I231" i="41"/>
  <c r="H231" i="41"/>
  <c r="J231" i="41"/>
  <c r="AJ234" i="6" l="1"/>
  <c r="Q234" i="6"/>
  <c r="X234" i="6"/>
  <c r="AX234" i="6" s="1"/>
  <c r="BA234" i="6" s="1"/>
  <c r="AO234" i="6"/>
  <c r="AK234" i="6"/>
  <c r="AL234" i="6"/>
  <c r="AM234" i="6"/>
  <c r="AN234" i="6"/>
  <c r="H232" i="41"/>
  <c r="I232" i="41"/>
  <c r="J232" i="41"/>
  <c r="F233" i="14"/>
  <c r="V233" i="14"/>
  <c r="AG233" i="14"/>
  <c r="N233" i="14"/>
  <c r="Z233" i="14"/>
  <c r="T233" i="14"/>
  <c r="Q233" i="14"/>
  <c r="C233" i="14"/>
  <c r="M233" i="14"/>
  <c r="S233" i="14"/>
  <c r="E233" i="14"/>
  <c r="R233" i="14"/>
  <c r="P233" i="14"/>
  <c r="X233" i="14"/>
  <c r="AH233" i="14"/>
  <c r="Y233" i="14"/>
  <c r="AJ233" i="14"/>
  <c r="H233" i="14"/>
  <c r="O233" i="14"/>
  <c r="K233" i="14"/>
  <c r="AF233" i="14"/>
  <c r="U233" i="14"/>
  <c r="D233" i="14"/>
  <c r="AD233" i="14"/>
  <c r="J233" i="14"/>
  <c r="AI233" i="14"/>
  <c r="L233" i="14"/>
  <c r="AE233" i="14"/>
  <c r="G233" i="14"/>
  <c r="AA233" i="14"/>
  <c r="I233" i="14"/>
  <c r="W233" i="14"/>
  <c r="AB233" i="14"/>
  <c r="AC233" i="14"/>
  <c r="O232" i="41"/>
  <c r="AW233" i="6"/>
  <c r="BF233" i="6" s="1"/>
  <c r="BG233" i="6" s="1"/>
  <c r="BH233" i="6" s="1"/>
  <c r="B234" i="6"/>
  <c r="C234" i="6"/>
  <c r="B233" i="41" s="1"/>
  <c r="H234" i="6"/>
  <c r="AU234" i="6" s="1"/>
  <c r="G234" i="6"/>
  <c r="D234" i="6"/>
  <c r="A234" i="14"/>
  <c r="E234" i="6"/>
  <c r="C233" i="41" s="1"/>
  <c r="G233" i="41"/>
  <c r="A233" i="41"/>
  <c r="D233" i="41" s="1"/>
  <c r="F234" i="6"/>
  <c r="J234" i="6"/>
  <c r="AV234" i="6" s="1"/>
  <c r="N234" i="6"/>
  <c r="I234" i="6"/>
  <c r="U234" i="6"/>
  <c r="V234" i="6"/>
  <c r="Z234" i="6"/>
  <c r="M234" i="6"/>
  <c r="M233" i="41" s="1"/>
  <c r="P233" i="41" s="1"/>
  <c r="AR234" i="6"/>
  <c r="S234" i="6"/>
  <c r="T234" i="6"/>
  <c r="L234" i="6"/>
  <c r="R234" i="6"/>
  <c r="K234" i="6"/>
  <c r="AB234" i="6"/>
  <c r="O234" i="6"/>
  <c r="N233" i="41" s="1"/>
  <c r="Y234" i="6"/>
  <c r="AD234" i="6"/>
  <c r="AY234" i="6" s="1"/>
  <c r="BB234" i="6" s="1"/>
  <c r="AA234" i="6"/>
  <c r="AZ234" i="6"/>
  <c r="BC234" i="6" s="1"/>
  <c r="AH234" i="6"/>
  <c r="AQ234" i="6"/>
  <c r="AF234" i="6"/>
  <c r="AE234" i="6"/>
  <c r="AG234" i="6"/>
  <c r="A235" i="6"/>
  <c r="X235" i="6" l="1"/>
  <c r="AJ235" i="6"/>
  <c r="Q235" i="6"/>
  <c r="AM235" i="6"/>
  <c r="AN235" i="6"/>
  <c r="AO235" i="6"/>
  <c r="AK235" i="6"/>
  <c r="AL235" i="6"/>
  <c r="I233" i="41"/>
  <c r="H233" i="41"/>
  <c r="J233" i="41"/>
  <c r="AW234" i="6"/>
  <c r="BF234" i="6" s="1"/>
  <c r="BG234" i="6" s="1"/>
  <c r="BH234" i="6" s="1"/>
  <c r="O233" i="41"/>
  <c r="AC234" i="14"/>
  <c r="V234" i="14"/>
  <c r="N234" i="14"/>
  <c r="G234" i="14"/>
  <c r="K234" i="14"/>
  <c r="F234" i="14"/>
  <c r="T234" i="14"/>
  <c r="C234" i="14"/>
  <c r="AG234" i="14"/>
  <c r="AB234" i="14"/>
  <c r="S234" i="14"/>
  <c r="U234" i="14"/>
  <c r="Q234" i="14"/>
  <c r="O234" i="14"/>
  <c r="L234" i="14"/>
  <c r="E234" i="14"/>
  <c r="AI234" i="14"/>
  <c r="P234" i="14"/>
  <c r="I234" i="14"/>
  <c r="AD234" i="14"/>
  <c r="Y234" i="14"/>
  <c r="AF234" i="14"/>
  <c r="H234" i="14"/>
  <c r="AH234" i="14"/>
  <c r="D234" i="14"/>
  <c r="AJ234" i="14"/>
  <c r="AE234" i="14"/>
  <c r="Z234" i="14"/>
  <c r="X234" i="14"/>
  <c r="W234" i="14"/>
  <c r="R234" i="14"/>
  <c r="M234" i="14"/>
  <c r="J234" i="14"/>
  <c r="AA234" i="14"/>
  <c r="A234" i="41"/>
  <c r="D234" i="41" s="1"/>
  <c r="H235" i="6"/>
  <c r="AU235" i="6" s="1"/>
  <c r="C235" i="6"/>
  <c r="B234" i="41" s="1"/>
  <c r="B235" i="6"/>
  <c r="G235" i="6"/>
  <c r="D235" i="6"/>
  <c r="A235" i="14"/>
  <c r="E235" i="6"/>
  <c r="C234" i="41" s="1"/>
  <c r="F235" i="6"/>
  <c r="G234" i="41"/>
  <c r="V235" i="6"/>
  <c r="I235" i="6"/>
  <c r="U235" i="6"/>
  <c r="J235" i="6"/>
  <c r="AV235" i="6" s="1"/>
  <c r="N235" i="6"/>
  <c r="K235" i="6"/>
  <c r="AZ235" i="6"/>
  <c r="BC235" i="6" s="1"/>
  <c r="AQ235" i="6"/>
  <c r="O235" i="6"/>
  <c r="N234" i="41" s="1"/>
  <c r="AR235" i="6"/>
  <c r="S235" i="6"/>
  <c r="AA235" i="6"/>
  <c r="R235" i="6"/>
  <c r="T235" i="6"/>
  <c r="AX235" i="6"/>
  <c r="BA235" i="6" s="1"/>
  <c r="AB235" i="6"/>
  <c r="Z235" i="6"/>
  <c r="M235" i="6"/>
  <c r="M234" i="41" s="1"/>
  <c r="P234" i="41" s="1"/>
  <c r="Y235" i="6"/>
  <c r="AD235" i="6"/>
  <c r="AY235" i="6" s="1"/>
  <c r="BB235" i="6" s="1"/>
  <c r="L235" i="6"/>
  <c r="AH235" i="6"/>
  <c r="AE235" i="6"/>
  <c r="AG235" i="6"/>
  <c r="AF235" i="6"/>
  <c r="A236" i="6"/>
  <c r="X236" i="6" l="1"/>
  <c r="AX236" i="6" s="1"/>
  <c r="BA236" i="6" s="1"/>
  <c r="AJ236" i="6"/>
  <c r="Q236" i="6"/>
  <c r="AM236" i="6"/>
  <c r="AK236" i="6"/>
  <c r="AL236" i="6"/>
  <c r="AN236" i="6"/>
  <c r="AO236" i="6"/>
  <c r="AW235" i="6"/>
  <c r="BF235" i="6" s="1"/>
  <c r="BG235" i="6" s="1"/>
  <c r="BH235" i="6" s="1"/>
  <c r="O234" i="41"/>
  <c r="AF235" i="14"/>
  <c r="H235" i="14"/>
  <c r="U235" i="14"/>
  <c r="G235" i="14"/>
  <c r="J235" i="14"/>
  <c r="AA235" i="14"/>
  <c r="AG235" i="14"/>
  <c r="L235" i="14"/>
  <c r="Z235" i="14"/>
  <c r="AC235" i="14"/>
  <c r="V235" i="14"/>
  <c r="Q235" i="14"/>
  <c r="AB235" i="14"/>
  <c r="AD235" i="14"/>
  <c r="F235" i="14"/>
  <c r="T235" i="14"/>
  <c r="E235" i="14"/>
  <c r="K235" i="14"/>
  <c r="X235" i="14"/>
  <c r="S235" i="14"/>
  <c r="AE235" i="14"/>
  <c r="I235" i="14"/>
  <c r="R235" i="14"/>
  <c r="W235" i="14"/>
  <c r="O235" i="14"/>
  <c r="D235" i="14"/>
  <c r="Y235" i="14"/>
  <c r="AJ235" i="14"/>
  <c r="N235" i="14"/>
  <c r="AH235" i="14"/>
  <c r="P235" i="14"/>
  <c r="C235" i="14"/>
  <c r="M235" i="14"/>
  <c r="AI235" i="14"/>
  <c r="A236" i="14"/>
  <c r="E236" i="6"/>
  <c r="C235" i="41" s="1"/>
  <c r="G235" i="41"/>
  <c r="A235" i="41"/>
  <c r="D235" i="41" s="1"/>
  <c r="F236" i="6"/>
  <c r="C236" i="6"/>
  <c r="B235" i="41" s="1"/>
  <c r="H236" i="6"/>
  <c r="AU236" i="6" s="1"/>
  <c r="B236" i="6"/>
  <c r="G236" i="6"/>
  <c r="D236" i="6"/>
  <c r="I236" i="6"/>
  <c r="J236" i="6"/>
  <c r="AV236" i="6" s="1"/>
  <c r="V236" i="6"/>
  <c r="U236" i="6"/>
  <c r="N236" i="6"/>
  <c r="AZ236" i="6"/>
  <c r="BC236" i="6" s="1"/>
  <c r="AQ236" i="6"/>
  <c r="L236" i="6"/>
  <c r="AA236" i="6"/>
  <c r="AR236" i="6"/>
  <c r="K236" i="6"/>
  <c r="Z236" i="6"/>
  <c r="O236" i="6"/>
  <c r="N235" i="41" s="1"/>
  <c r="S236" i="6"/>
  <c r="R236" i="6"/>
  <c r="T236" i="6"/>
  <c r="Y236" i="6"/>
  <c r="AB236" i="6"/>
  <c r="M236" i="6"/>
  <c r="M235" i="41" s="1"/>
  <c r="P235" i="41" s="1"/>
  <c r="AH236" i="6"/>
  <c r="AD236" i="6"/>
  <c r="AY236" i="6" s="1"/>
  <c r="BB236" i="6" s="1"/>
  <c r="AF236" i="6"/>
  <c r="AE236" i="6"/>
  <c r="AG236" i="6"/>
  <c r="A237" i="6"/>
  <c r="I234" i="41"/>
  <c r="H234" i="41"/>
  <c r="J234" i="41"/>
  <c r="X237" i="6" l="1"/>
  <c r="AJ237" i="6"/>
  <c r="Q237" i="6"/>
  <c r="AK237" i="6"/>
  <c r="AL237" i="6"/>
  <c r="AM237" i="6"/>
  <c r="AN237" i="6"/>
  <c r="AO237" i="6"/>
  <c r="H235" i="41"/>
  <c r="I235" i="41"/>
  <c r="J235" i="41"/>
  <c r="S236" i="14"/>
  <c r="W236" i="14"/>
  <c r="K236" i="14"/>
  <c r="Y236" i="14"/>
  <c r="P236" i="14"/>
  <c r="N236" i="14"/>
  <c r="AB236" i="14"/>
  <c r="AI236" i="14"/>
  <c r="H236" i="14"/>
  <c r="C236" i="14"/>
  <c r="D236" i="14"/>
  <c r="J236" i="14"/>
  <c r="AF236" i="14"/>
  <c r="I236" i="14"/>
  <c r="AD236" i="14"/>
  <c r="Z236" i="14"/>
  <c r="AC236" i="14"/>
  <c r="AJ236" i="14"/>
  <c r="AG236" i="14"/>
  <c r="M236" i="14"/>
  <c r="X236" i="14"/>
  <c r="F236" i="14"/>
  <c r="AA236" i="14"/>
  <c r="Q236" i="14"/>
  <c r="U236" i="14"/>
  <c r="R236" i="14"/>
  <c r="V236" i="14"/>
  <c r="E236" i="14"/>
  <c r="L236" i="14"/>
  <c r="G236" i="14"/>
  <c r="AE236" i="14"/>
  <c r="AH236" i="14"/>
  <c r="O236" i="14"/>
  <c r="T236" i="14"/>
  <c r="C237" i="6"/>
  <c r="B236" i="41" s="1"/>
  <c r="H237" i="6"/>
  <c r="AU237" i="6" s="1"/>
  <c r="B237" i="6"/>
  <c r="G237" i="6"/>
  <c r="D237" i="6"/>
  <c r="A237" i="14"/>
  <c r="E237" i="6"/>
  <c r="C236" i="41" s="1"/>
  <c r="G236" i="41"/>
  <c r="F237" i="6"/>
  <c r="A236" i="41"/>
  <c r="D236" i="41" s="1"/>
  <c r="I237" i="6"/>
  <c r="J237" i="6"/>
  <c r="AV237" i="6" s="1"/>
  <c r="N237" i="6"/>
  <c r="U237" i="6"/>
  <c r="R237" i="6"/>
  <c r="Y237" i="6"/>
  <c r="AR237" i="6"/>
  <c r="AA237" i="6"/>
  <c r="Z237" i="6"/>
  <c r="AX237" i="6"/>
  <c r="BA237" i="6" s="1"/>
  <c r="AQ237" i="6"/>
  <c r="M237" i="6"/>
  <c r="M236" i="41" s="1"/>
  <c r="P236" i="41" s="1"/>
  <c r="V237" i="6"/>
  <c r="L237" i="6"/>
  <c r="AZ237" i="6"/>
  <c r="BC237" i="6" s="1"/>
  <c r="K237" i="6"/>
  <c r="AB237" i="6"/>
  <c r="S237" i="6"/>
  <c r="AD237" i="6"/>
  <c r="AY237" i="6" s="1"/>
  <c r="BB237" i="6" s="1"/>
  <c r="O237" i="6"/>
  <c r="N236" i="41" s="1"/>
  <c r="T237" i="6"/>
  <c r="AH237" i="6"/>
  <c r="AG237" i="6"/>
  <c r="AE237" i="6"/>
  <c r="AF237" i="6"/>
  <c r="A238" i="6"/>
  <c r="AW236" i="6"/>
  <c r="BF236" i="6" s="1"/>
  <c r="BG236" i="6" s="1"/>
  <c r="BH236" i="6" s="1"/>
  <c r="O235" i="41"/>
  <c r="X238" i="6" l="1"/>
  <c r="AJ238" i="6"/>
  <c r="Q238" i="6"/>
  <c r="AK238" i="6"/>
  <c r="AN238" i="6"/>
  <c r="AO238" i="6"/>
  <c r="AL238" i="6"/>
  <c r="AM238" i="6"/>
  <c r="H236" i="41"/>
  <c r="I236" i="41"/>
  <c r="J236" i="41"/>
  <c r="C238" i="6"/>
  <c r="B237" i="41" s="1"/>
  <c r="H238" i="6"/>
  <c r="AU238" i="6" s="1"/>
  <c r="B238" i="6"/>
  <c r="F238" i="6"/>
  <c r="G238" i="6"/>
  <c r="A238" i="14"/>
  <c r="D238" i="6"/>
  <c r="E238" i="6"/>
  <c r="C237" i="41" s="1"/>
  <c r="G237" i="41"/>
  <c r="A237" i="41"/>
  <c r="D237" i="41" s="1"/>
  <c r="J238" i="6"/>
  <c r="AV238" i="6" s="1"/>
  <c r="V238" i="6"/>
  <c r="N238" i="6"/>
  <c r="U238" i="6"/>
  <c r="I238" i="6"/>
  <c r="S238" i="6"/>
  <c r="Y238" i="6"/>
  <c r="AB238" i="6"/>
  <c r="AR238" i="6"/>
  <c r="R238" i="6"/>
  <c r="AX238" i="6"/>
  <c r="BA238" i="6" s="1"/>
  <c r="AD238" i="6"/>
  <c r="AY238" i="6" s="1"/>
  <c r="BB238" i="6" s="1"/>
  <c r="T238" i="6"/>
  <c r="Z238" i="6"/>
  <c r="AZ238" i="6"/>
  <c r="BC238" i="6" s="1"/>
  <c r="L238" i="6"/>
  <c r="K238" i="6"/>
  <c r="O238" i="6"/>
  <c r="N237" i="41" s="1"/>
  <c r="AA238" i="6"/>
  <c r="AQ238" i="6"/>
  <c r="AH238" i="6"/>
  <c r="M238" i="6"/>
  <c r="M237" i="41" s="1"/>
  <c r="P237" i="41" s="1"/>
  <c r="AF238" i="6"/>
  <c r="AE238" i="6"/>
  <c r="AG238" i="6"/>
  <c r="A239" i="6"/>
  <c r="O236" i="41"/>
  <c r="AW237" i="6"/>
  <c r="BF237" i="6" s="1"/>
  <c r="BG237" i="6" s="1"/>
  <c r="BH237" i="6" s="1"/>
  <c r="V237" i="14"/>
  <c r="AG237" i="14"/>
  <c r="N237" i="14"/>
  <c r="AB237" i="14"/>
  <c r="T237" i="14"/>
  <c r="Q237" i="14"/>
  <c r="C237" i="14"/>
  <c r="K237" i="14"/>
  <c r="S237" i="14"/>
  <c r="E237" i="14"/>
  <c r="Z237" i="14"/>
  <c r="Y237" i="14"/>
  <c r="P237" i="14"/>
  <c r="X237" i="14"/>
  <c r="R237" i="14"/>
  <c r="AJ237" i="14"/>
  <c r="H237" i="14"/>
  <c r="O237" i="14"/>
  <c r="M237" i="14"/>
  <c r="J237" i="14"/>
  <c r="AF237" i="14"/>
  <c r="U237" i="14"/>
  <c r="D237" i="14"/>
  <c r="AD237" i="14"/>
  <c r="AC237" i="14"/>
  <c r="AI237" i="14"/>
  <c r="L237" i="14"/>
  <c r="AE237" i="14"/>
  <c r="G237" i="14"/>
  <c r="W237" i="14"/>
  <c r="AH237" i="14"/>
  <c r="F237" i="14"/>
  <c r="AA237" i="14"/>
  <c r="I237" i="14"/>
  <c r="Q239" i="6" l="1"/>
  <c r="X239" i="6"/>
  <c r="AJ239" i="6"/>
  <c r="AZ239" i="6" s="1"/>
  <c r="BC239" i="6" s="1"/>
  <c r="AN239" i="6"/>
  <c r="AK239" i="6"/>
  <c r="AL239" i="6"/>
  <c r="AM239" i="6"/>
  <c r="AO239" i="6"/>
  <c r="AW238" i="6"/>
  <c r="BF238" i="6" s="1"/>
  <c r="BG238" i="6" s="1"/>
  <c r="BH238" i="6" s="1"/>
  <c r="O237" i="41"/>
  <c r="G238" i="41"/>
  <c r="F239" i="6"/>
  <c r="A238" i="41"/>
  <c r="D238" i="41" s="1"/>
  <c r="C239" i="6"/>
  <c r="B238" i="41" s="1"/>
  <c r="H239" i="6"/>
  <c r="AU239" i="6" s="1"/>
  <c r="B239" i="6"/>
  <c r="G239" i="6"/>
  <c r="D239" i="6"/>
  <c r="A239" i="14"/>
  <c r="E239" i="6"/>
  <c r="C238" i="41" s="1"/>
  <c r="N239" i="6"/>
  <c r="I239" i="6"/>
  <c r="V239" i="6"/>
  <c r="J239" i="6"/>
  <c r="AV239" i="6" s="1"/>
  <c r="U239" i="6"/>
  <c r="Y239" i="6"/>
  <c r="AR239" i="6"/>
  <c r="AB239" i="6"/>
  <c r="AQ239" i="6"/>
  <c r="S239" i="6"/>
  <c r="T239" i="6"/>
  <c r="R239" i="6"/>
  <c r="L239" i="6"/>
  <c r="AA239" i="6"/>
  <c r="K239" i="6"/>
  <c r="O239" i="6"/>
  <c r="N238" i="41" s="1"/>
  <c r="AX239" i="6"/>
  <c r="BA239" i="6" s="1"/>
  <c r="AD239" i="6"/>
  <c r="AY239" i="6" s="1"/>
  <c r="BB239" i="6" s="1"/>
  <c r="Z239" i="6"/>
  <c r="M239" i="6"/>
  <c r="M238" i="41" s="1"/>
  <c r="P238" i="41" s="1"/>
  <c r="AH239" i="6"/>
  <c r="AG239" i="6"/>
  <c r="AF239" i="6"/>
  <c r="AE239" i="6"/>
  <c r="A240" i="6"/>
  <c r="I237" i="41"/>
  <c r="H237" i="41"/>
  <c r="J237" i="41"/>
  <c r="AC238" i="14"/>
  <c r="AJ238" i="14"/>
  <c r="W238" i="14"/>
  <c r="R238" i="14"/>
  <c r="D238" i="14"/>
  <c r="F238" i="14"/>
  <c r="AA238" i="14"/>
  <c r="N238" i="14"/>
  <c r="G238" i="14"/>
  <c r="AB238" i="14"/>
  <c r="T238" i="14"/>
  <c r="C238" i="14"/>
  <c r="AG238" i="14"/>
  <c r="X238" i="14"/>
  <c r="S238" i="14"/>
  <c r="U238" i="14"/>
  <c r="Q238" i="14"/>
  <c r="M238" i="14"/>
  <c r="V238" i="14"/>
  <c r="L238" i="14"/>
  <c r="E238" i="14"/>
  <c r="Y238" i="14"/>
  <c r="P238" i="14"/>
  <c r="I238" i="14"/>
  <c r="O238" i="14"/>
  <c r="AI238" i="14"/>
  <c r="H238" i="14"/>
  <c r="AH238" i="14"/>
  <c r="K238" i="14"/>
  <c r="AD238" i="14"/>
  <c r="J238" i="14"/>
  <c r="AF238" i="14"/>
  <c r="AE238" i="14"/>
  <c r="Z238" i="14"/>
  <c r="AJ240" i="6" l="1"/>
  <c r="AZ240" i="6" s="1"/>
  <c r="BC240" i="6" s="1"/>
  <c r="Q240" i="6"/>
  <c r="X240" i="6"/>
  <c r="AX240" i="6" s="1"/>
  <c r="BA240" i="6" s="1"/>
  <c r="AL240" i="6"/>
  <c r="AM240" i="6"/>
  <c r="AN240" i="6"/>
  <c r="AO240" i="6"/>
  <c r="AK240" i="6"/>
  <c r="AW239" i="6"/>
  <c r="BF239" i="6" s="1"/>
  <c r="BG239" i="6" s="1"/>
  <c r="BH239" i="6" s="1"/>
  <c r="O238" i="41"/>
  <c r="A240" i="14"/>
  <c r="E240" i="6"/>
  <c r="C239" i="41" s="1"/>
  <c r="G239" i="41"/>
  <c r="F240" i="6"/>
  <c r="A239" i="41"/>
  <c r="D239" i="41" s="1"/>
  <c r="H240" i="6"/>
  <c r="AU240" i="6" s="1"/>
  <c r="C240" i="6"/>
  <c r="B239" i="41" s="1"/>
  <c r="B240" i="6"/>
  <c r="G240" i="6"/>
  <c r="D240" i="6"/>
  <c r="J240" i="6"/>
  <c r="AV240" i="6" s="1"/>
  <c r="U240" i="6"/>
  <c r="I240" i="6"/>
  <c r="N240" i="6"/>
  <c r="AB240" i="6"/>
  <c r="T240" i="6"/>
  <c r="AA240" i="6"/>
  <c r="AD240" i="6"/>
  <c r="AY240" i="6" s="1"/>
  <c r="BB240" i="6" s="1"/>
  <c r="S240" i="6"/>
  <c r="V240" i="6"/>
  <c r="R240" i="6"/>
  <c r="Z240" i="6"/>
  <c r="L240" i="6"/>
  <c r="K240" i="6"/>
  <c r="AR240" i="6"/>
  <c r="M240" i="6"/>
  <c r="M239" i="41" s="1"/>
  <c r="P239" i="41" s="1"/>
  <c r="AH240" i="6"/>
  <c r="Y240" i="6"/>
  <c r="AQ240" i="6"/>
  <c r="AF240" i="6"/>
  <c r="AE240" i="6"/>
  <c r="AG240" i="6"/>
  <c r="O240" i="6"/>
  <c r="N239" i="41" s="1"/>
  <c r="A241" i="6"/>
  <c r="AI239" i="14"/>
  <c r="H239" i="14"/>
  <c r="U239" i="14"/>
  <c r="R239" i="14"/>
  <c r="J239" i="14"/>
  <c r="AF239" i="14"/>
  <c r="AG239" i="14"/>
  <c r="L239" i="14"/>
  <c r="AH239" i="14"/>
  <c r="AC239" i="14"/>
  <c r="AA239" i="14"/>
  <c r="Q239" i="14"/>
  <c r="AB239" i="14"/>
  <c r="M239" i="14"/>
  <c r="F239" i="14"/>
  <c r="T239" i="14"/>
  <c r="E239" i="14"/>
  <c r="K239" i="14"/>
  <c r="Z239" i="14"/>
  <c r="V239" i="14"/>
  <c r="AE239" i="14"/>
  <c r="I239" i="14"/>
  <c r="O239" i="14"/>
  <c r="S239" i="14"/>
  <c r="W239" i="14"/>
  <c r="AD239" i="14"/>
  <c r="G239" i="14"/>
  <c r="N239" i="14"/>
  <c r="D239" i="14"/>
  <c r="Y239" i="14"/>
  <c r="AJ239" i="14"/>
  <c r="P239" i="14"/>
  <c r="C239" i="14"/>
  <c r="X239" i="14"/>
  <c r="I238" i="41"/>
  <c r="H238" i="41"/>
  <c r="J238" i="41"/>
  <c r="AJ241" i="6" l="1"/>
  <c r="Q241" i="6"/>
  <c r="X241" i="6"/>
  <c r="AL241" i="6"/>
  <c r="AO241" i="6"/>
  <c r="AK241" i="6"/>
  <c r="AM241" i="6"/>
  <c r="AN241" i="6"/>
  <c r="H239" i="41"/>
  <c r="I239" i="41"/>
  <c r="J239" i="41"/>
  <c r="C241" i="6"/>
  <c r="B240" i="41" s="1"/>
  <c r="B241" i="6"/>
  <c r="D241" i="6"/>
  <c r="E241" i="6"/>
  <c r="C240" i="41" s="1"/>
  <c r="H241" i="6"/>
  <c r="AU241" i="6" s="1"/>
  <c r="F241" i="6"/>
  <c r="G240" i="41"/>
  <c r="A241" i="14"/>
  <c r="G241" i="6"/>
  <c r="A240" i="41"/>
  <c r="D240" i="41" s="1"/>
  <c r="I241" i="6"/>
  <c r="J241" i="6"/>
  <c r="AV241" i="6" s="1"/>
  <c r="N241" i="6"/>
  <c r="V241" i="6"/>
  <c r="U241" i="6"/>
  <c r="M241" i="6"/>
  <c r="M240" i="41" s="1"/>
  <c r="P240" i="41" s="1"/>
  <c r="AQ241" i="6"/>
  <c r="T241" i="6"/>
  <c r="AB241" i="6"/>
  <c r="AR241" i="6"/>
  <c r="S241" i="6"/>
  <c r="R241" i="6"/>
  <c r="L241" i="6"/>
  <c r="Y241" i="6"/>
  <c r="K241" i="6"/>
  <c r="O241" i="6"/>
  <c r="N240" i="41" s="1"/>
  <c r="AA241" i="6"/>
  <c r="AX241" i="6"/>
  <c r="BA241" i="6" s="1"/>
  <c r="AZ241" i="6"/>
  <c r="BC241" i="6" s="1"/>
  <c r="Z241" i="6"/>
  <c r="AD241" i="6"/>
  <c r="AY241" i="6" s="1"/>
  <c r="BB241" i="6" s="1"/>
  <c r="AH241" i="6"/>
  <c r="AG241" i="6"/>
  <c r="AF241" i="6"/>
  <c r="AE241" i="6"/>
  <c r="A242" i="6"/>
  <c r="W240" i="14"/>
  <c r="AH240" i="14"/>
  <c r="Y240" i="14"/>
  <c r="AI240" i="14"/>
  <c r="P240" i="14"/>
  <c r="N240" i="14"/>
  <c r="K240" i="14"/>
  <c r="AJ240" i="14"/>
  <c r="H240" i="14"/>
  <c r="C240" i="14"/>
  <c r="G240" i="14"/>
  <c r="AF240" i="14"/>
  <c r="I240" i="14"/>
  <c r="AD240" i="14"/>
  <c r="Z240" i="14"/>
  <c r="J240" i="14"/>
  <c r="AA240" i="14"/>
  <c r="AG240" i="14"/>
  <c r="M240" i="14"/>
  <c r="AB240" i="14"/>
  <c r="AC240" i="14"/>
  <c r="S240" i="14"/>
  <c r="Q240" i="14"/>
  <c r="U240" i="14"/>
  <c r="X240" i="14"/>
  <c r="F240" i="14"/>
  <c r="V240" i="14"/>
  <c r="E240" i="14"/>
  <c r="L240" i="14"/>
  <c r="R240" i="14"/>
  <c r="T240" i="14"/>
  <c r="AE240" i="14"/>
  <c r="O240" i="14"/>
  <c r="D240" i="14"/>
  <c r="O239" i="41"/>
  <c r="AW240" i="6"/>
  <c r="BF240" i="6" s="1"/>
  <c r="BG240" i="6" s="1"/>
  <c r="BH240" i="6" s="1"/>
  <c r="AJ242" i="6" l="1"/>
  <c r="Q242" i="6"/>
  <c r="X242" i="6"/>
  <c r="AO242" i="6"/>
  <c r="AK242" i="6"/>
  <c r="AL242" i="6"/>
  <c r="AM242" i="6"/>
  <c r="AN242" i="6"/>
  <c r="B242" i="6"/>
  <c r="C242" i="6"/>
  <c r="B241" i="41" s="1"/>
  <c r="H242" i="6"/>
  <c r="AU242" i="6" s="1"/>
  <c r="G242" i="6"/>
  <c r="D242" i="6"/>
  <c r="A242" i="14"/>
  <c r="E242" i="6"/>
  <c r="C241" i="41" s="1"/>
  <c r="G241" i="41"/>
  <c r="F242" i="6"/>
  <c r="A241" i="41"/>
  <c r="D241" i="41" s="1"/>
  <c r="J242" i="6"/>
  <c r="AV242" i="6" s="1"/>
  <c r="I242" i="6"/>
  <c r="V242" i="6"/>
  <c r="U242" i="6"/>
  <c r="R242" i="6"/>
  <c r="T242" i="6"/>
  <c r="K242" i="6"/>
  <c r="AB242" i="6"/>
  <c r="O242" i="6"/>
  <c r="N241" i="41" s="1"/>
  <c r="AD242" i="6"/>
  <c r="AY242" i="6" s="1"/>
  <c r="BB242" i="6" s="1"/>
  <c r="Z242" i="6"/>
  <c r="AA242" i="6"/>
  <c r="AZ242" i="6"/>
  <c r="BC242" i="6" s="1"/>
  <c r="AQ242" i="6"/>
  <c r="M242" i="6"/>
  <c r="M241" i="41" s="1"/>
  <c r="P241" i="41" s="1"/>
  <c r="Y242" i="6"/>
  <c r="AR242" i="6"/>
  <c r="N242" i="6"/>
  <c r="S242" i="6"/>
  <c r="L242" i="6"/>
  <c r="AX242" i="6"/>
  <c r="BA242" i="6" s="1"/>
  <c r="AH242" i="6"/>
  <c r="AF242" i="6"/>
  <c r="AE242" i="6"/>
  <c r="AG242" i="6"/>
  <c r="A243" i="6"/>
  <c r="AC241" i="14"/>
  <c r="AA241" i="14"/>
  <c r="I241" i="14"/>
  <c r="W241" i="14"/>
  <c r="AD241" i="14"/>
  <c r="F241" i="14"/>
  <c r="V241" i="14"/>
  <c r="AG241" i="14"/>
  <c r="N241" i="14"/>
  <c r="M241" i="14"/>
  <c r="T241" i="14"/>
  <c r="Q241" i="14"/>
  <c r="C241" i="14"/>
  <c r="G241" i="14"/>
  <c r="S241" i="14"/>
  <c r="E241" i="14"/>
  <c r="AH241" i="14"/>
  <c r="P241" i="14"/>
  <c r="X241" i="14"/>
  <c r="K241" i="14"/>
  <c r="Y241" i="14"/>
  <c r="AJ241" i="14"/>
  <c r="H241" i="14"/>
  <c r="O241" i="14"/>
  <c r="AB241" i="14"/>
  <c r="AI241" i="14"/>
  <c r="U241" i="14"/>
  <c r="D241" i="14"/>
  <c r="Z241" i="14"/>
  <c r="J241" i="14"/>
  <c r="AF241" i="14"/>
  <c r="L241" i="14"/>
  <c r="AE241" i="14"/>
  <c r="R241" i="14"/>
  <c r="I240" i="41"/>
  <c r="H240" i="41"/>
  <c r="J240" i="41"/>
  <c r="O240" i="41"/>
  <c r="AW241" i="6"/>
  <c r="BF241" i="6" s="1"/>
  <c r="BG241" i="6" s="1"/>
  <c r="BH241" i="6" s="1"/>
  <c r="X243" i="6" l="1"/>
  <c r="AX243" i="6" s="1"/>
  <c r="BA243" i="6" s="1"/>
  <c r="AJ243" i="6"/>
  <c r="Q243" i="6"/>
  <c r="AM243" i="6"/>
  <c r="AN243" i="6"/>
  <c r="AO243" i="6"/>
  <c r="AK243" i="6"/>
  <c r="AL243" i="6"/>
  <c r="I241" i="41"/>
  <c r="H241" i="41"/>
  <c r="J241" i="41"/>
  <c r="J242" i="14"/>
  <c r="AA242" i="14"/>
  <c r="W242" i="14"/>
  <c r="R242" i="14"/>
  <c r="AD242" i="14"/>
  <c r="AC242" i="14"/>
  <c r="V242" i="14"/>
  <c r="N242" i="14"/>
  <c r="G242" i="14"/>
  <c r="D242" i="14"/>
  <c r="F242" i="14"/>
  <c r="T242" i="14"/>
  <c r="C242" i="14"/>
  <c r="AG242" i="14"/>
  <c r="AB242" i="14"/>
  <c r="S242" i="14"/>
  <c r="U242" i="14"/>
  <c r="Q242" i="14"/>
  <c r="K242" i="14"/>
  <c r="L242" i="14"/>
  <c r="E242" i="14"/>
  <c r="AI242" i="14"/>
  <c r="P242" i="14"/>
  <c r="I242" i="14"/>
  <c r="X242" i="14"/>
  <c r="Y242" i="14"/>
  <c r="AF242" i="14"/>
  <c r="H242" i="14"/>
  <c r="AH242" i="14"/>
  <c r="O242" i="14"/>
  <c r="AJ242" i="14"/>
  <c r="AE242" i="14"/>
  <c r="Z242" i="14"/>
  <c r="M242" i="14"/>
  <c r="AW242" i="6"/>
  <c r="BF242" i="6" s="1"/>
  <c r="BG242" i="6" s="1"/>
  <c r="BH242" i="6" s="1"/>
  <c r="O241" i="41"/>
  <c r="G242" i="41"/>
  <c r="F243" i="6"/>
  <c r="A242" i="41"/>
  <c r="D242" i="41" s="1"/>
  <c r="C243" i="6"/>
  <c r="B242" i="41" s="1"/>
  <c r="H243" i="6"/>
  <c r="AU243" i="6" s="1"/>
  <c r="B243" i="6"/>
  <c r="G243" i="6"/>
  <c r="D243" i="6"/>
  <c r="A243" i="14"/>
  <c r="E243" i="6"/>
  <c r="C242" i="41" s="1"/>
  <c r="I243" i="6"/>
  <c r="V243" i="6"/>
  <c r="J243" i="6"/>
  <c r="AV243" i="6" s="1"/>
  <c r="U243" i="6"/>
  <c r="N243" i="6"/>
  <c r="O243" i="6"/>
  <c r="N242" i="41" s="1"/>
  <c r="S243" i="6"/>
  <c r="R243" i="6"/>
  <c r="T243" i="6"/>
  <c r="AA243" i="6"/>
  <c r="AD243" i="6"/>
  <c r="AY243" i="6" s="1"/>
  <c r="BB243" i="6" s="1"/>
  <c r="AQ243" i="6"/>
  <c r="M243" i="6"/>
  <c r="M242" i="41" s="1"/>
  <c r="P242" i="41" s="1"/>
  <c r="Z243" i="6"/>
  <c r="AZ243" i="6"/>
  <c r="BC243" i="6" s="1"/>
  <c r="AR243" i="6"/>
  <c r="L243" i="6"/>
  <c r="Y243" i="6"/>
  <c r="AH243" i="6"/>
  <c r="AB243" i="6"/>
  <c r="AF243" i="6"/>
  <c r="AE243" i="6"/>
  <c r="AG243" i="6"/>
  <c r="K243" i="6"/>
  <c r="A244" i="6"/>
  <c r="X244" i="6" l="1"/>
  <c r="AX244" i="6" s="1"/>
  <c r="BA244" i="6" s="1"/>
  <c r="AJ244" i="6"/>
  <c r="AZ244" i="6" s="1"/>
  <c r="BC244" i="6" s="1"/>
  <c r="Q244" i="6"/>
  <c r="AM244" i="6"/>
  <c r="AK244" i="6"/>
  <c r="AL244" i="6"/>
  <c r="AN244" i="6"/>
  <c r="AO244" i="6"/>
  <c r="AF243" i="14"/>
  <c r="H243" i="14"/>
  <c r="U243" i="14"/>
  <c r="D243" i="14"/>
  <c r="J243" i="14"/>
  <c r="AI243" i="14"/>
  <c r="AG243" i="14"/>
  <c r="L243" i="14"/>
  <c r="Z243" i="14"/>
  <c r="AC243" i="14"/>
  <c r="AA243" i="14"/>
  <c r="Q243" i="14"/>
  <c r="AB243" i="14"/>
  <c r="X243" i="14"/>
  <c r="F243" i="14"/>
  <c r="V243" i="14"/>
  <c r="E243" i="14"/>
  <c r="K243" i="14"/>
  <c r="R243" i="14"/>
  <c r="T243" i="14"/>
  <c r="AE243" i="14"/>
  <c r="I243" i="14"/>
  <c r="M243" i="14"/>
  <c r="S243" i="14"/>
  <c r="W243" i="14"/>
  <c r="O243" i="14"/>
  <c r="AH243" i="14"/>
  <c r="N243" i="14"/>
  <c r="G243" i="14"/>
  <c r="AJ243" i="14"/>
  <c r="P243" i="14"/>
  <c r="C243" i="14"/>
  <c r="AD243" i="14"/>
  <c r="Y243" i="14"/>
  <c r="I242" i="41"/>
  <c r="H242" i="41"/>
  <c r="J242" i="41"/>
  <c r="O242" i="41"/>
  <c r="AW243" i="6"/>
  <c r="BF243" i="6" s="1"/>
  <c r="BG243" i="6" s="1"/>
  <c r="BH243" i="6" s="1"/>
  <c r="A244" i="14"/>
  <c r="E244" i="6"/>
  <c r="C243" i="41" s="1"/>
  <c r="G243" i="41"/>
  <c r="F244" i="6"/>
  <c r="A243" i="41"/>
  <c r="D243" i="41" s="1"/>
  <c r="C244" i="6"/>
  <c r="B243" i="41" s="1"/>
  <c r="H244" i="6"/>
  <c r="AU244" i="6" s="1"/>
  <c r="B244" i="6"/>
  <c r="G244" i="6"/>
  <c r="D244" i="6"/>
  <c r="J244" i="6"/>
  <c r="AV244" i="6" s="1"/>
  <c r="I244" i="6"/>
  <c r="V244" i="6"/>
  <c r="U244" i="6"/>
  <c r="O244" i="6"/>
  <c r="N243" i="41" s="1"/>
  <c r="AB244" i="6"/>
  <c r="AD244" i="6"/>
  <c r="AY244" i="6" s="1"/>
  <c r="BB244" i="6" s="1"/>
  <c r="S244" i="6"/>
  <c r="N244" i="6"/>
  <c r="R244" i="6"/>
  <c r="M244" i="6"/>
  <c r="M243" i="41" s="1"/>
  <c r="P243" i="41" s="1"/>
  <c r="Y244" i="6"/>
  <c r="AR244" i="6"/>
  <c r="T244" i="6"/>
  <c r="L244" i="6"/>
  <c r="Z244" i="6"/>
  <c r="K244" i="6"/>
  <c r="AH244" i="6"/>
  <c r="AQ244" i="6"/>
  <c r="AA244" i="6"/>
  <c r="AG244" i="6"/>
  <c r="AE244" i="6"/>
  <c r="AF244" i="6"/>
  <c r="A245" i="6"/>
  <c r="X245" i="6" l="1"/>
  <c r="AJ245" i="6"/>
  <c r="Q245" i="6"/>
  <c r="AK245" i="6"/>
  <c r="AL245" i="6"/>
  <c r="AM245" i="6"/>
  <c r="AN245" i="6"/>
  <c r="AO245" i="6"/>
  <c r="W244" i="14"/>
  <c r="D244" i="14"/>
  <c r="Y244" i="14"/>
  <c r="AI244" i="14"/>
  <c r="P244" i="14"/>
  <c r="N244" i="14"/>
  <c r="X244" i="14"/>
  <c r="AF244" i="14"/>
  <c r="H244" i="14"/>
  <c r="C244" i="14"/>
  <c r="R244" i="14"/>
  <c r="J244" i="14"/>
  <c r="AA244" i="14"/>
  <c r="I244" i="14"/>
  <c r="AD244" i="14"/>
  <c r="AH244" i="14"/>
  <c r="AC244" i="14"/>
  <c r="AJ244" i="14"/>
  <c r="AG244" i="14"/>
  <c r="M244" i="14"/>
  <c r="K244" i="14"/>
  <c r="F244" i="14"/>
  <c r="V244" i="14"/>
  <c r="Q244" i="14"/>
  <c r="U244" i="14"/>
  <c r="Z244" i="14"/>
  <c r="T244" i="14"/>
  <c r="E244" i="14"/>
  <c r="L244" i="14"/>
  <c r="O244" i="14"/>
  <c r="S244" i="14"/>
  <c r="AE244" i="14"/>
  <c r="AB244" i="14"/>
  <c r="G244" i="14"/>
  <c r="O243" i="41"/>
  <c r="AW244" i="6"/>
  <c r="BF244" i="6" s="1"/>
  <c r="BG244" i="6" s="1"/>
  <c r="BH244" i="6" s="1"/>
  <c r="H243" i="41"/>
  <c r="I243" i="41"/>
  <c r="J243" i="41"/>
  <c r="C245" i="6"/>
  <c r="B244" i="41" s="1"/>
  <c r="H245" i="6"/>
  <c r="AU245" i="6" s="1"/>
  <c r="B245" i="6"/>
  <c r="G245" i="6"/>
  <c r="D245" i="6"/>
  <c r="A245" i="14"/>
  <c r="E245" i="6"/>
  <c r="C244" i="41" s="1"/>
  <c r="G244" i="41"/>
  <c r="F245" i="6"/>
  <c r="A244" i="41"/>
  <c r="D244" i="41" s="1"/>
  <c r="I245" i="6"/>
  <c r="J245" i="6"/>
  <c r="AV245" i="6" s="1"/>
  <c r="U245" i="6"/>
  <c r="R245" i="6"/>
  <c r="T245" i="6"/>
  <c r="L245" i="6"/>
  <c r="Z245" i="6"/>
  <c r="K245" i="6"/>
  <c r="Y245" i="6"/>
  <c r="AR245" i="6"/>
  <c r="O245" i="6"/>
  <c r="N244" i="41" s="1"/>
  <c r="AQ245" i="6"/>
  <c r="N245" i="6"/>
  <c r="AX245" i="6"/>
  <c r="BA245" i="6" s="1"/>
  <c r="AB245" i="6"/>
  <c r="M245" i="6"/>
  <c r="M244" i="41" s="1"/>
  <c r="P244" i="41" s="1"/>
  <c r="AD245" i="6"/>
  <c r="AY245" i="6" s="1"/>
  <c r="BB245" i="6" s="1"/>
  <c r="S245" i="6"/>
  <c r="AA245" i="6"/>
  <c r="V245" i="6"/>
  <c r="AH245" i="6"/>
  <c r="AF245" i="6"/>
  <c r="AZ245" i="6"/>
  <c r="BC245" i="6" s="1"/>
  <c r="AE245" i="6"/>
  <c r="AG245" i="6"/>
  <c r="A246" i="6"/>
  <c r="X246" i="6" l="1"/>
  <c r="AX246" i="6" s="1"/>
  <c r="BA246" i="6" s="1"/>
  <c r="AJ246" i="6"/>
  <c r="Q246" i="6"/>
  <c r="AK246" i="6"/>
  <c r="AN246" i="6"/>
  <c r="AO246" i="6"/>
  <c r="AL246" i="6"/>
  <c r="AM246" i="6"/>
  <c r="H244" i="41"/>
  <c r="I244" i="41"/>
  <c r="J244" i="41"/>
  <c r="V245" i="14"/>
  <c r="AG245" i="14"/>
  <c r="N245" i="14"/>
  <c r="R245" i="14"/>
  <c r="T245" i="14"/>
  <c r="Q245" i="14"/>
  <c r="C245" i="14"/>
  <c r="AB245" i="14"/>
  <c r="S245" i="14"/>
  <c r="E245" i="14"/>
  <c r="M245" i="14"/>
  <c r="Y245" i="14"/>
  <c r="P245" i="14"/>
  <c r="X245" i="14"/>
  <c r="AH245" i="14"/>
  <c r="AJ245" i="14"/>
  <c r="H245" i="14"/>
  <c r="O245" i="14"/>
  <c r="K245" i="14"/>
  <c r="J245" i="14"/>
  <c r="AI245" i="14"/>
  <c r="U245" i="14"/>
  <c r="D245" i="14"/>
  <c r="AD245" i="14"/>
  <c r="AC245" i="14"/>
  <c r="AF245" i="14"/>
  <c r="L245" i="14"/>
  <c r="AE245" i="14"/>
  <c r="G245" i="14"/>
  <c r="AA245" i="14"/>
  <c r="I245" i="14"/>
  <c r="W245" i="14"/>
  <c r="Z245" i="14"/>
  <c r="F245" i="14"/>
  <c r="O244" i="41"/>
  <c r="AW245" i="6"/>
  <c r="BF245" i="6" s="1"/>
  <c r="BG245" i="6" s="1"/>
  <c r="BH245" i="6" s="1"/>
  <c r="C246" i="6"/>
  <c r="B245" i="41" s="1"/>
  <c r="H246" i="6"/>
  <c r="AU246" i="6" s="1"/>
  <c r="B246" i="6"/>
  <c r="F246" i="6"/>
  <c r="G246" i="6"/>
  <c r="A246" i="14"/>
  <c r="D246" i="6"/>
  <c r="E246" i="6"/>
  <c r="C245" i="41" s="1"/>
  <c r="G245" i="41"/>
  <c r="A245" i="41"/>
  <c r="D245" i="41" s="1"/>
  <c r="I246" i="6"/>
  <c r="J246" i="6"/>
  <c r="AV246" i="6" s="1"/>
  <c r="U246" i="6"/>
  <c r="N246" i="6"/>
  <c r="V246" i="6"/>
  <c r="K246" i="6"/>
  <c r="AB246" i="6"/>
  <c r="S246" i="6"/>
  <c r="O246" i="6"/>
  <c r="N245" i="41" s="1"/>
  <c r="AA246" i="6"/>
  <c r="AD246" i="6"/>
  <c r="AY246" i="6" s="1"/>
  <c r="BB246" i="6" s="1"/>
  <c r="AQ246" i="6"/>
  <c r="R246" i="6"/>
  <c r="Y246" i="6"/>
  <c r="T246" i="6"/>
  <c r="Z246" i="6"/>
  <c r="AZ246" i="6"/>
  <c r="BC246" i="6" s="1"/>
  <c r="M246" i="6"/>
  <c r="M245" i="41" s="1"/>
  <c r="P245" i="41" s="1"/>
  <c r="L246" i="6"/>
  <c r="AH246" i="6"/>
  <c r="AR246" i="6"/>
  <c r="AG246" i="6"/>
  <c r="AF246" i="6"/>
  <c r="AE246" i="6"/>
  <c r="A247" i="6"/>
  <c r="Q247" i="6" l="1"/>
  <c r="X247" i="6"/>
  <c r="AJ247" i="6"/>
  <c r="AN247" i="6"/>
  <c r="AK247" i="6"/>
  <c r="AL247" i="6"/>
  <c r="AM247" i="6"/>
  <c r="AO247" i="6"/>
  <c r="I245" i="41"/>
  <c r="H245" i="41"/>
  <c r="J245" i="41"/>
  <c r="AC246" i="14"/>
  <c r="AA246" i="14"/>
  <c r="W246" i="14"/>
  <c r="R246" i="14"/>
  <c r="O246" i="14"/>
  <c r="F246" i="14"/>
  <c r="T246" i="14"/>
  <c r="N246" i="14"/>
  <c r="G246" i="14"/>
  <c r="AD246" i="14"/>
  <c r="S246" i="14"/>
  <c r="C246" i="14"/>
  <c r="AG246" i="14"/>
  <c r="M246" i="14"/>
  <c r="V246" i="14"/>
  <c r="U246" i="14"/>
  <c r="Q246" i="14"/>
  <c r="D246" i="14"/>
  <c r="L246" i="14"/>
  <c r="E246" i="14"/>
  <c r="Y246" i="14"/>
  <c r="AI246" i="14"/>
  <c r="P246" i="14"/>
  <c r="I246" i="14"/>
  <c r="K246" i="14"/>
  <c r="AJ246" i="14"/>
  <c r="H246" i="14"/>
  <c r="AH246" i="14"/>
  <c r="AB246" i="14"/>
  <c r="AE246" i="14"/>
  <c r="Z246" i="14"/>
  <c r="X246" i="14"/>
  <c r="J246" i="14"/>
  <c r="AF246" i="14"/>
  <c r="AW246" i="6"/>
  <c r="BF246" i="6" s="1"/>
  <c r="BG246" i="6" s="1"/>
  <c r="BH246" i="6" s="1"/>
  <c r="O245" i="41"/>
  <c r="G246" i="41"/>
  <c r="G247" i="6"/>
  <c r="A246" i="41"/>
  <c r="D246" i="41" s="1"/>
  <c r="C247" i="6"/>
  <c r="B246" i="41" s="1"/>
  <c r="H247" i="6"/>
  <c r="AU247" i="6" s="1"/>
  <c r="B247" i="6"/>
  <c r="F247" i="6"/>
  <c r="D247" i="6"/>
  <c r="A247" i="14"/>
  <c r="E247" i="6"/>
  <c r="C246" i="41" s="1"/>
  <c r="I247" i="6"/>
  <c r="J247" i="6"/>
  <c r="AV247" i="6" s="1"/>
  <c r="N247" i="6"/>
  <c r="V247" i="6"/>
  <c r="U247" i="6"/>
  <c r="K247" i="6"/>
  <c r="AD247" i="6"/>
  <c r="AY247" i="6" s="1"/>
  <c r="BB247" i="6" s="1"/>
  <c r="O247" i="6"/>
  <c r="N246" i="41" s="1"/>
  <c r="AR247" i="6"/>
  <c r="Z247" i="6"/>
  <c r="M247" i="6"/>
  <c r="M246" i="41" s="1"/>
  <c r="P246" i="41" s="1"/>
  <c r="T247" i="6"/>
  <c r="S247" i="6"/>
  <c r="AA247" i="6"/>
  <c r="AZ247" i="6"/>
  <c r="BC247" i="6" s="1"/>
  <c r="R247" i="6"/>
  <c r="Y247" i="6"/>
  <c r="AX247" i="6"/>
  <c r="BA247" i="6" s="1"/>
  <c r="AQ247" i="6"/>
  <c r="AH247" i="6"/>
  <c r="L247" i="6"/>
  <c r="AB247" i="6"/>
  <c r="AF247" i="6"/>
  <c r="AE247" i="6"/>
  <c r="AG247" i="6"/>
  <c r="A248" i="6"/>
  <c r="AJ248" i="6" l="1"/>
  <c r="Q248" i="6"/>
  <c r="X248" i="6"/>
  <c r="AL248" i="6"/>
  <c r="AM248" i="6"/>
  <c r="AN248" i="6"/>
  <c r="AO248" i="6"/>
  <c r="AK248" i="6"/>
  <c r="AI247" i="14"/>
  <c r="H247" i="14"/>
  <c r="U247" i="14"/>
  <c r="AH247" i="14"/>
  <c r="J247" i="14"/>
  <c r="AF247" i="14"/>
  <c r="AG247" i="14"/>
  <c r="L247" i="14"/>
  <c r="M247" i="14"/>
  <c r="AC247" i="14"/>
  <c r="AA247" i="14"/>
  <c r="Q247" i="14"/>
  <c r="AB247" i="14"/>
  <c r="AD247" i="14"/>
  <c r="F247" i="14"/>
  <c r="T247" i="14"/>
  <c r="E247" i="14"/>
  <c r="K247" i="14"/>
  <c r="D247" i="14"/>
  <c r="V247" i="14"/>
  <c r="AE247" i="14"/>
  <c r="I247" i="14"/>
  <c r="G247" i="14"/>
  <c r="S247" i="14"/>
  <c r="W247" i="14"/>
  <c r="X247" i="14"/>
  <c r="Z247" i="14"/>
  <c r="N247" i="14"/>
  <c r="R247" i="14"/>
  <c r="C247" i="14"/>
  <c r="O247" i="14"/>
  <c r="Y247" i="14"/>
  <c r="AJ247" i="14"/>
  <c r="P247" i="14"/>
  <c r="I246" i="41"/>
  <c r="H246" i="41"/>
  <c r="J246" i="41"/>
  <c r="O246" i="41"/>
  <c r="AW247" i="6"/>
  <c r="BF247" i="6" s="1"/>
  <c r="BG247" i="6" s="1"/>
  <c r="BH247" i="6" s="1"/>
  <c r="A248" i="14"/>
  <c r="E248" i="6"/>
  <c r="C247" i="41" s="1"/>
  <c r="G247" i="41"/>
  <c r="A247" i="41"/>
  <c r="D247" i="41" s="1"/>
  <c r="F248" i="6"/>
  <c r="C248" i="6"/>
  <c r="B247" i="41" s="1"/>
  <c r="H248" i="6"/>
  <c r="AU248" i="6" s="1"/>
  <c r="B248" i="6"/>
  <c r="G248" i="6"/>
  <c r="D248" i="6"/>
  <c r="V248" i="6"/>
  <c r="I248" i="6"/>
  <c r="U248" i="6"/>
  <c r="J248" i="6"/>
  <c r="AV248" i="6" s="1"/>
  <c r="N248" i="6"/>
  <c r="AR248" i="6"/>
  <c r="L248" i="6"/>
  <c r="AB248" i="6"/>
  <c r="K248" i="6"/>
  <c r="AD248" i="6"/>
  <c r="AY248" i="6" s="1"/>
  <c r="BB248" i="6" s="1"/>
  <c r="AQ248" i="6"/>
  <c r="T248" i="6"/>
  <c r="S248" i="6"/>
  <c r="Y248" i="6"/>
  <c r="AZ248" i="6"/>
  <c r="BC248" i="6" s="1"/>
  <c r="R248" i="6"/>
  <c r="AA248" i="6"/>
  <c r="Z248" i="6"/>
  <c r="O248" i="6"/>
  <c r="N247" i="41" s="1"/>
  <c r="AH248" i="6"/>
  <c r="M248" i="6"/>
  <c r="M247" i="41" s="1"/>
  <c r="P247" i="41" s="1"/>
  <c r="AX248" i="6"/>
  <c r="BA248" i="6" s="1"/>
  <c r="AF248" i="6"/>
  <c r="AG248" i="6"/>
  <c r="AE248" i="6"/>
  <c r="A249" i="6"/>
  <c r="AJ249" i="6" l="1"/>
  <c r="AZ249" i="6" s="1"/>
  <c r="BC249" i="6" s="1"/>
  <c r="Q249" i="6"/>
  <c r="X249" i="6"/>
  <c r="AL249" i="6"/>
  <c r="AO249" i="6"/>
  <c r="AK249" i="6"/>
  <c r="AM249" i="6"/>
  <c r="AN249" i="6"/>
  <c r="T248" i="14"/>
  <c r="W248" i="14"/>
  <c r="G248" i="14"/>
  <c r="Y248" i="14"/>
  <c r="P248" i="14"/>
  <c r="N248" i="14"/>
  <c r="AB248" i="14"/>
  <c r="AI248" i="14"/>
  <c r="H248" i="14"/>
  <c r="C248" i="14"/>
  <c r="D248" i="14"/>
  <c r="J248" i="14"/>
  <c r="AJ248" i="14"/>
  <c r="I248" i="14"/>
  <c r="AD248" i="14"/>
  <c r="Z248" i="14"/>
  <c r="AC248" i="14"/>
  <c r="AF248" i="14"/>
  <c r="AG248" i="14"/>
  <c r="M248" i="14"/>
  <c r="AH248" i="14"/>
  <c r="F248" i="14"/>
  <c r="AA248" i="14"/>
  <c r="Q248" i="14"/>
  <c r="U248" i="14"/>
  <c r="X248" i="14"/>
  <c r="S248" i="14"/>
  <c r="E248" i="14"/>
  <c r="L248" i="14"/>
  <c r="R248" i="14"/>
  <c r="O248" i="14"/>
  <c r="K248" i="14"/>
  <c r="V248" i="14"/>
  <c r="AE248" i="14"/>
  <c r="AW248" i="6"/>
  <c r="BF248" i="6" s="1"/>
  <c r="BG248" i="6" s="1"/>
  <c r="BH248" i="6" s="1"/>
  <c r="O247" i="41"/>
  <c r="H247" i="41"/>
  <c r="I247" i="41"/>
  <c r="J247" i="41"/>
  <c r="C249" i="6"/>
  <c r="B248" i="41" s="1"/>
  <c r="H249" i="6"/>
  <c r="AU249" i="6" s="1"/>
  <c r="B249" i="6"/>
  <c r="G249" i="6"/>
  <c r="F249" i="6"/>
  <c r="A249" i="14"/>
  <c r="D249" i="6"/>
  <c r="E249" i="6"/>
  <c r="C248" i="41" s="1"/>
  <c r="G248" i="41"/>
  <c r="A248" i="41"/>
  <c r="D248" i="41" s="1"/>
  <c r="N249" i="6"/>
  <c r="U249" i="6"/>
  <c r="I249" i="6"/>
  <c r="V249" i="6"/>
  <c r="J249" i="6"/>
  <c r="AV249" i="6" s="1"/>
  <c r="O249" i="6"/>
  <c r="N248" i="41" s="1"/>
  <c r="AR249" i="6"/>
  <c r="AQ249" i="6"/>
  <c r="T249" i="6"/>
  <c r="M249" i="6"/>
  <c r="M248" i="41" s="1"/>
  <c r="P248" i="41" s="1"/>
  <c r="S249" i="6"/>
  <c r="R249" i="6"/>
  <c r="Z249" i="6"/>
  <c r="L249" i="6"/>
  <c r="AB249" i="6"/>
  <c r="AH249" i="6"/>
  <c r="K249" i="6"/>
  <c r="AD249" i="6"/>
  <c r="AY249" i="6" s="1"/>
  <c r="BB249" i="6" s="1"/>
  <c r="Y249" i="6"/>
  <c r="AA249" i="6"/>
  <c r="AX249" i="6"/>
  <c r="BA249" i="6" s="1"/>
  <c r="AF249" i="6"/>
  <c r="AE249" i="6"/>
  <c r="AG249" i="6"/>
  <c r="A250" i="6"/>
  <c r="AJ250" i="6" l="1"/>
  <c r="Q250" i="6"/>
  <c r="X250" i="6"/>
  <c r="AO250" i="6"/>
  <c r="AK250" i="6"/>
  <c r="AL250" i="6"/>
  <c r="AM250" i="6"/>
  <c r="AN250" i="6"/>
  <c r="C250" i="6"/>
  <c r="B249" i="41" s="1"/>
  <c r="H250" i="6"/>
  <c r="AU250" i="6" s="1"/>
  <c r="B250" i="6"/>
  <c r="G250" i="6"/>
  <c r="D250" i="6"/>
  <c r="A250" i="14"/>
  <c r="E250" i="6"/>
  <c r="C249" i="41" s="1"/>
  <c r="G249" i="41"/>
  <c r="F250" i="6"/>
  <c r="A249" i="41"/>
  <c r="D249" i="41" s="1"/>
  <c r="I250" i="6"/>
  <c r="J250" i="6"/>
  <c r="AV250" i="6" s="1"/>
  <c r="V250" i="6"/>
  <c r="N250" i="6"/>
  <c r="U250" i="6"/>
  <c r="Z250" i="6"/>
  <c r="Y250" i="6"/>
  <c r="T250" i="6"/>
  <c r="AX250" i="6"/>
  <c r="BA250" i="6" s="1"/>
  <c r="AB250" i="6"/>
  <c r="S250" i="6"/>
  <c r="L250" i="6"/>
  <c r="R250" i="6"/>
  <c r="K250" i="6"/>
  <c r="AZ250" i="6"/>
  <c r="BC250" i="6" s="1"/>
  <c r="O250" i="6"/>
  <c r="N249" i="41" s="1"/>
  <c r="AR250" i="6"/>
  <c r="AQ250" i="6"/>
  <c r="M250" i="6"/>
  <c r="M249" i="41" s="1"/>
  <c r="P249" i="41" s="1"/>
  <c r="AD250" i="6"/>
  <c r="AY250" i="6" s="1"/>
  <c r="BB250" i="6" s="1"/>
  <c r="AH250" i="6"/>
  <c r="AA250" i="6"/>
  <c r="AF250" i="6"/>
  <c r="AE250" i="6"/>
  <c r="AG250" i="6"/>
  <c r="A251" i="6"/>
  <c r="H248" i="41"/>
  <c r="I248" i="41"/>
  <c r="J248" i="41"/>
  <c r="O248" i="41"/>
  <c r="AW249" i="6"/>
  <c r="BF249" i="6" s="1"/>
  <c r="BG249" i="6" s="1"/>
  <c r="BH249" i="6" s="1"/>
  <c r="V249" i="14"/>
  <c r="AG249" i="14"/>
  <c r="N249" i="14"/>
  <c r="AD249" i="14"/>
  <c r="T249" i="14"/>
  <c r="Q249" i="14"/>
  <c r="C249" i="14"/>
  <c r="Z249" i="14"/>
  <c r="S249" i="14"/>
  <c r="E249" i="14"/>
  <c r="AB249" i="14"/>
  <c r="Y249" i="14"/>
  <c r="P249" i="14"/>
  <c r="X249" i="14"/>
  <c r="R249" i="14"/>
  <c r="AJ249" i="14"/>
  <c r="H249" i="14"/>
  <c r="O249" i="14"/>
  <c r="AH249" i="14"/>
  <c r="J249" i="14"/>
  <c r="AI249" i="14"/>
  <c r="U249" i="14"/>
  <c r="D249" i="14"/>
  <c r="K249" i="14"/>
  <c r="AC249" i="14"/>
  <c r="AF249" i="14"/>
  <c r="L249" i="14"/>
  <c r="AE249" i="14"/>
  <c r="M249" i="14"/>
  <c r="G249" i="14"/>
  <c r="F249" i="14"/>
  <c r="AA249" i="14"/>
  <c r="I249" i="14"/>
  <c r="W249" i="14"/>
  <c r="X251" i="6" l="1"/>
  <c r="AJ251" i="6"/>
  <c r="AZ251" i="6" s="1"/>
  <c r="BC251" i="6" s="1"/>
  <c r="Q251" i="6"/>
  <c r="AM251" i="6"/>
  <c r="AN251" i="6"/>
  <c r="AO251" i="6"/>
  <c r="AK251" i="6"/>
  <c r="AL251" i="6"/>
  <c r="I249" i="41"/>
  <c r="H249" i="41"/>
  <c r="J249" i="41"/>
  <c r="AC250" i="14"/>
  <c r="AA250" i="14"/>
  <c r="AE250" i="14"/>
  <c r="Z250" i="14"/>
  <c r="AD250" i="14"/>
  <c r="F250" i="14"/>
  <c r="V250" i="14"/>
  <c r="W250" i="14"/>
  <c r="R250" i="14"/>
  <c r="D250" i="14"/>
  <c r="T250" i="14"/>
  <c r="N250" i="14"/>
  <c r="G250" i="14"/>
  <c r="X250" i="14"/>
  <c r="S250" i="14"/>
  <c r="C250" i="14"/>
  <c r="AG250" i="14"/>
  <c r="AB250" i="14"/>
  <c r="U250" i="14"/>
  <c r="Q250" i="14"/>
  <c r="O250" i="14"/>
  <c r="Y250" i="14"/>
  <c r="AI250" i="14"/>
  <c r="L250" i="14"/>
  <c r="E250" i="14"/>
  <c r="AF250" i="14"/>
  <c r="P250" i="14"/>
  <c r="I250" i="14"/>
  <c r="M250" i="14"/>
  <c r="J250" i="14"/>
  <c r="AJ250" i="14"/>
  <c r="H250" i="14"/>
  <c r="AH250" i="14"/>
  <c r="K250" i="14"/>
  <c r="AW250" i="6"/>
  <c r="BF250" i="6" s="1"/>
  <c r="BG250" i="6" s="1"/>
  <c r="BH250" i="6" s="1"/>
  <c r="O249" i="41"/>
  <c r="G250" i="41"/>
  <c r="A250" i="41"/>
  <c r="D250" i="41" s="1"/>
  <c r="F251" i="6"/>
  <c r="C251" i="6"/>
  <c r="B250" i="41" s="1"/>
  <c r="H251" i="6"/>
  <c r="AU251" i="6" s="1"/>
  <c r="B251" i="6"/>
  <c r="G251" i="6"/>
  <c r="D251" i="6"/>
  <c r="A251" i="14"/>
  <c r="E251" i="6"/>
  <c r="C250" i="41" s="1"/>
  <c r="I251" i="6"/>
  <c r="J251" i="6"/>
  <c r="AV251" i="6" s="1"/>
  <c r="V251" i="6"/>
  <c r="U251" i="6"/>
  <c r="N251" i="6"/>
  <c r="Z251" i="6"/>
  <c r="AA251" i="6"/>
  <c r="AR251" i="6"/>
  <c r="AQ251" i="6"/>
  <c r="S251" i="6"/>
  <c r="R251" i="6"/>
  <c r="L251" i="6"/>
  <c r="Y251" i="6"/>
  <c r="K251" i="6"/>
  <c r="M251" i="6"/>
  <c r="M250" i="41" s="1"/>
  <c r="P250" i="41" s="1"/>
  <c r="T251" i="6"/>
  <c r="O251" i="6"/>
  <c r="N250" i="41" s="1"/>
  <c r="AB251" i="6"/>
  <c r="AX251" i="6"/>
  <c r="BA251" i="6" s="1"/>
  <c r="AD251" i="6"/>
  <c r="AY251" i="6" s="1"/>
  <c r="BB251" i="6" s="1"/>
  <c r="AE251" i="6"/>
  <c r="AF251" i="6"/>
  <c r="AG251" i="6"/>
  <c r="AH251" i="6"/>
  <c r="A252" i="6"/>
  <c r="X252" i="6" l="1"/>
  <c r="AJ252" i="6"/>
  <c r="Q252" i="6"/>
  <c r="AM252" i="6"/>
  <c r="AK252" i="6"/>
  <c r="AL252" i="6"/>
  <c r="AN252" i="6"/>
  <c r="AO252" i="6"/>
  <c r="Y251" i="14"/>
  <c r="AJ251" i="14"/>
  <c r="P251" i="14"/>
  <c r="C251" i="14"/>
  <c r="X251" i="14"/>
  <c r="AI251" i="14"/>
  <c r="H251" i="14"/>
  <c r="U251" i="14"/>
  <c r="O251" i="14"/>
  <c r="J251" i="14"/>
  <c r="AF251" i="14"/>
  <c r="AG251" i="14"/>
  <c r="L251" i="14"/>
  <c r="M251" i="14"/>
  <c r="AC251" i="14"/>
  <c r="AA251" i="14"/>
  <c r="Q251" i="14"/>
  <c r="AB251" i="14"/>
  <c r="D251" i="14"/>
  <c r="F251" i="14"/>
  <c r="V251" i="14"/>
  <c r="E251" i="14"/>
  <c r="K251" i="14"/>
  <c r="AH251" i="14"/>
  <c r="T251" i="14"/>
  <c r="AE251" i="14"/>
  <c r="I251" i="14"/>
  <c r="AD251" i="14"/>
  <c r="S251" i="14"/>
  <c r="W251" i="14"/>
  <c r="G251" i="14"/>
  <c r="R251" i="14"/>
  <c r="N251" i="14"/>
  <c r="Z251" i="14"/>
  <c r="I250" i="41"/>
  <c r="H250" i="41"/>
  <c r="J250" i="41"/>
  <c r="O250" i="41"/>
  <c r="AW251" i="6"/>
  <c r="BF251" i="6" s="1"/>
  <c r="BG251" i="6" s="1"/>
  <c r="BH251" i="6" s="1"/>
  <c r="D252" i="6"/>
  <c r="C252" i="6"/>
  <c r="B251" i="41" s="1"/>
  <c r="E252" i="6"/>
  <c r="C251" i="41" s="1"/>
  <c r="G252" i="6"/>
  <c r="G251" i="41"/>
  <c r="F252" i="6"/>
  <c r="A251" i="41"/>
  <c r="D251" i="41" s="1"/>
  <c r="B252" i="6"/>
  <c r="A252" i="14"/>
  <c r="H252" i="6"/>
  <c r="AU252" i="6" s="1"/>
  <c r="V252" i="6"/>
  <c r="N252" i="6"/>
  <c r="U252" i="6"/>
  <c r="I252" i="6"/>
  <c r="R252" i="6"/>
  <c r="AA252" i="6"/>
  <c r="Z252" i="6"/>
  <c r="L252" i="6"/>
  <c r="Y252" i="6"/>
  <c r="AX252" i="6"/>
  <c r="BA252" i="6" s="1"/>
  <c r="AB252" i="6"/>
  <c r="J252" i="6"/>
  <c r="AV252" i="6" s="1"/>
  <c r="T252" i="6"/>
  <c r="O252" i="6"/>
  <c r="N251" i="41" s="1"/>
  <c r="AZ252" i="6"/>
  <c r="BC252" i="6" s="1"/>
  <c r="AQ252" i="6"/>
  <c r="M252" i="6"/>
  <c r="M251" i="41" s="1"/>
  <c r="P251" i="41" s="1"/>
  <c r="AR252" i="6"/>
  <c r="K252" i="6"/>
  <c r="S252" i="6"/>
  <c r="AD252" i="6"/>
  <c r="AY252" i="6" s="1"/>
  <c r="BB252" i="6" s="1"/>
  <c r="AF252" i="6"/>
  <c r="AE252" i="6"/>
  <c r="AH252" i="6"/>
  <c r="AG252" i="6"/>
  <c r="A253" i="6"/>
  <c r="X253" i="6" l="1"/>
  <c r="AJ253" i="6"/>
  <c r="Q253" i="6"/>
  <c r="AK253" i="6"/>
  <c r="AL253" i="6"/>
  <c r="AM253" i="6"/>
  <c r="AN253" i="6"/>
  <c r="AO253" i="6"/>
  <c r="Y252" i="14"/>
  <c r="T252" i="14"/>
  <c r="AE252" i="14"/>
  <c r="X252" i="14"/>
  <c r="G252" i="14"/>
  <c r="S252" i="14"/>
  <c r="W252" i="14"/>
  <c r="R252" i="14"/>
  <c r="P252" i="14"/>
  <c r="N252" i="14"/>
  <c r="O252" i="14"/>
  <c r="AI252" i="14"/>
  <c r="H252" i="14"/>
  <c r="C252" i="14"/>
  <c r="AH252" i="14"/>
  <c r="J252" i="14"/>
  <c r="AJ252" i="14"/>
  <c r="I252" i="14"/>
  <c r="AD252" i="14"/>
  <c r="K252" i="14"/>
  <c r="AC252" i="14"/>
  <c r="AF252" i="14"/>
  <c r="AG252" i="14"/>
  <c r="M252" i="14"/>
  <c r="AB252" i="14"/>
  <c r="F252" i="14"/>
  <c r="AA252" i="14"/>
  <c r="Q252" i="14"/>
  <c r="U252" i="14"/>
  <c r="D252" i="14"/>
  <c r="V252" i="14"/>
  <c r="E252" i="14"/>
  <c r="L252" i="14"/>
  <c r="Z252" i="14"/>
  <c r="AW252" i="6"/>
  <c r="BF252" i="6" s="1"/>
  <c r="BG252" i="6" s="1"/>
  <c r="BH252" i="6" s="1"/>
  <c r="O251" i="41"/>
  <c r="H251" i="41"/>
  <c r="I251" i="41"/>
  <c r="J251" i="41"/>
  <c r="C253" i="6"/>
  <c r="B252" i="41" s="1"/>
  <c r="H253" i="6"/>
  <c r="AU253" i="6" s="1"/>
  <c r="B253" i="6"/>
  <c r="G253" i="6"/>
  <c r="D253" i="6"/>
  <c r="A253" i="14"/>
  <c r="E253" i="6"/>
  <c r="C252" i="41" s="1"/>
  <c r="G252" i="41"/>
  <c r="F253" i="6"/>
  <c r="A252" i="41"/>
  <c r="D252" i="41" s="1"/>
  <c r="N253" i="6"/>
  <c r="V253" i="6"/>
  <c r="I253" i="6"/>
  <c r="J253" i="6"/>
  <c r="AV253" i="6" s="1"/>
  <c r="O253" i="6"/>
  <c r="N252" i="41" s="1"/>
  <c r="AD253" i="6"/>
  <c r="AY253" i="6" s="1"/>
  <c r="BB253" i="6" s="1"/>
  <c r="Z253" i="6"/>
  <c r="AX253" i="6"/>
  <c r="BA253" i="6" s="1"/>
  <c r="AB253" i="6"/>
  <c r="U253" i="6"/>
  <c r="T253" i="6"/>
  <c r="Y253" i="6"/>
  <c r="AQ253" i="6"/>
  <c r="S253" i="6"/>
  <c r="AZ253" i="6"/>
  <c r="BC253" i="6" s="1"/>
  <c r="AR253" i="6"/>
  <c r="R253" i="6"/>
  <c r="L253" i="6"/>
  <c r="AA253" i="6"/>
  <c r="K253" i="6"/>
  <c r="AE253" i="6"/>
  <c r="AG253" i="6"/>
  <c r="AH253" i="6"/>
  <c r="AF253" i="6"/>
  <c r="M253" i="6"/>
  <c r="M252" i="41" s="1"/>
  <c r="P252" i="41" s="1"/>
  <c r="A254" i="6"/>
  <c r="X254" i="6" l="1"/>
  <c r="AJ254" i="6"/>
  <c r="Q254" i="6"/>
  <c r="AK254" i="6"/>
  <c r="AN254" i="6"/>
  <c r="AO254" i="6"/>
  <c r="AM254" i="6"/>
  <c r="AL254" i="6"/>
  <c r="I252" i="41"/>
  <c r="H252" i="41"/>
  <c r="J252" i="41"/>
  <c r="O252" i="41"/>
  <c r="AW253" i="6"/>
  <c r="BF253" i="6" s="1"/>
  <c r="BG253" i="6" s="1"/>
  <c r="BH253" i="6" s="1"/>
  <c r="F253" i="14"/>
  <c r="AA253" i="14"/>
  <c r="I253" i="14"/>
  <c r="W253" i="14"/>
  <c r="K253" i="14"/>
  <c r="V253" i="14"/>
  <c r="AG253" i="14"/>
  <c r="N253" i="14"/>
  <c r="AH253" i="14"/>
  <c r="T253" i="14"/>
  <c r="Q253" i="14"/>
  <c r="C253" i="14"/>
  <c r="R253" i="14"/>
  <c r="S253" i="14"/>
  <c r="E253" i="14"/>
  <c r="M253" i="14"/>
  <c r="Y253" i="14"/>
  <c r="P253" i="14"/>
  <c r="X253" i="14"/>
  <c r="AD253" i="14"/>
  <c r="AJ253" i="14"/>
  <c r="H253" i="14"/>
  <c r="O253" i="14"/>
  <c r="G253" i="14"/>
  <c r="J253" i="14"/>
  <c r="AI253" i="14"/>
  <c r="U253" i="14"/>
  <c r="D253" i="14"/>
  <c r="AB253" i="14"/>
  <c r="AF253" i="14"/>
  <c r="L253" i="14"/>
  <c r="AE253" i="14"/>
  <c r="Z253" i="14"/>
  <c r="AC253" i="14"/>
  <c r="A253" i="41"/>
  <c r="D253" i="41" s="1"/>
  <c r="A254" i="14"/>
  <c r="H254" i="6"/>
  <c r="AU254" i="6" s="1"/>
  <c r="B254" i="6"/>
  <c r="G254" i="6"/>
  <c r="C254" i="6"/>
  <c r="B253" i="41" s="1"/>
  <c r="D254" i="6"/>
  <c r="F254" i="6"/>
  <c r="E254" i="6"/>
  <c r="C253" i="41" s="1"/>
  <c r="G253" i="41"/>
  <c r="U254" i="6"/>
  <c r="N254" i="6"/>
  <c r="V254" i="6"/>
  <c r="I254" i="6"/>
  <c r="J254" i="6"/>
  <c r="AV254" i="6" s="1"/>
  <c r="R254" i="6"/>
  <c r="L254" i="6"/>
  <c r="AB254" i="6"/>
  <c r="AR254" i="6"/>
  <c r="K254" i="6"/>
  <c r="AD254" i="6"/>
  <c r="AY254" i="6" s="1"/>
  <c r="BB254" i="6" s="1"/>
  <c r="O254" i="6"/>
  <c r="N253" i="41" s="1"/>
  <c r="Y254" i="6"/>
  <c r="AA254" i="6"/>
  <c r="AX254" i="6"/>
  <c r="BA254" i="6" s="1"/>
  <c r="S254" i="6"/>
  <c r="T254" i="6"/>
  <c r="Z254" i="6"/>
  <c r="M254" i="6"/>
  <c r="M253" i="41" s="1"/>
  <c r="P253" i="41" s="1"/>
  <c r="AZ254" i="6"/>
  <c r="BC254" i="6" s="1"/>
  <c r="AH254" i="6"/>
  <c r="AQ254" i="6"/>
  <c r="AF254" i="6"/>
  <c r="AE254" i="6"/>
  <c r="AG254" i="6"/>
  <c r="A255" i="6"/>
  <c r="Q255" i="6" l="1"/>
  <c r="X255" i="6"/>
  <c r="AJ255" i="6"/>
  <c r="AN255" i="6"/>
  <c r="AK255" i="6"/>
  <c r="AL255" i="6"/>
  <c r="AM255" i="6"/>
  <c r="AO255" i="6"/>
  <c r="O253" i="41"/>
  <c r="AW254" i="6"/>
  <c r="BF254" i="6" s="1"/>
  <c r="BG254" i="6" s="1"/>
  <c r="BH254" i="6" s="1"/>
  <c r="G254" i="41"/>
  <c r="F255" i="6"/>
  <c r="A254" i="41"/>
  <c r="D254" i="41" s="1"/>
  <c r="H255" i="6"/>
  <c r="AU255" i="6" s="1"/>
  <c r="C255" i="6"/>
  <c r="B254" i="41" s="1"/>
  <c r="B255" i="6"/>
  <c r="G255" i="6"/>
  <c r="D255" i="6"/>
  <c r="A255" i="14"/>
  <c r="E255" i="6"/>
  <c r="C254" i="41" s="1"/>
  <c r="J255" i="6"/>
  <c r="AV255" i="6" s="1"/>
  <c r="U255" i="6"/>
  <c r="V255" i="6"/>
  <c r="I255" i="6"/>
  <c r="L255" i="6"/>
  <c r="M255" i="6"/>
  <c r="M254" i="41" s="1"/>
  <c r="P254" i="41" s="1"/>
  <c r="T255" i="6"/>
  <c r="S255" i="6"/>
  <c r="O255" i="6"/>
  <c r="N254" i="41" s="1"/>
  <c r="AA255" i="6"/>
  <c r="N255" i="6"/>
  <c r="R255" i="6"/>
  <c r="AB255" i="6"/>
  <c r="AR255" i="6"/>
  <c r="AX255" i="6"/>
  <c r="BA255" i="6" s="1"/>
  <c r="AD255" i="6"/>
  <c r="AY255" i="6" s="1"/>
  <c r="BB255" i="6" s="1"/>
  <c r="K255" i="6"/>
  <c r="AZ255" i="6"/>
  <c r="BC255" i="6" s="1"/>
  <c r="Y255" i="6"/>
  <c r="AQ255" i="6"/>
  <c r="AH255" i="6"/>
  <c r="Z255" i="6"/>
  <c r="AG255" i="6"/>
  <c r="AE255" i="6"/>
  <c r="AF255" i="6"/>
  <c r="A256" i="6"/>
  <c r="I253" i="41"/>
  <c r="H253" i="41"/>
  <c r="J253" i="41"/>
  <c r="J254" i="14"/>
  <c r="AJ254" i="14"/>
  <c r="AB254" i="14"/>
  <c r="U254" i="14"/>
  <c r="X254" i="14"/>
  <c r="AC254" i="14"/>
  <c r="AA254" i="14"/>
  <c r="AG254" i="14"/>
  <c r="L254" i="14"/>
  <c r="O254" i="14"/>
  <c r="F254" i="14"/>
  <c r="T254" i="14"/>
  <c r="AE254" i="14"/>
  <c r="I254" i="14"/>
  <c r="K254" i="14"/>
  <c r="S254" i="14"/>
  <c r="W254" i="14"/>
  <c r="AH254" i="14"/>
  <c r="M254" i="14"/>
  <c r="Y254" i="14"/>
  <c r="V254" i="14"/>
  <c r="AD254" i="14"/>
  <c r="R254" i="14"/>
  <c r="D254" i="14"/>
  <c r="Z254" i="14"/>
  <c r="G254" i="14"/>
  <c r="AI254" i="14"/>
  <c r="P254" i="14"/>
  <c r="N254" i="14"/>
  <c r="Q254" i="14"/>
  <c r="H254" i="14"/>
  <c r="C254" i="14"/>
  <c r="E254" i="14"/>
  <c r="AF254" i="14"/>
  <c r="AJ256" i="6" l="1"/>
  <c r="Q256" i="6"/>
  <c r="X256" i="6"/>
  <c r="AL256" i="6"/>
  <c r="AM256" i="6"/>
  <c r="AN256" i="6"/>
  <c r="AO256" i="6"/>
  <c r="AK256" i="6"/>
  <c r="AW255" i="6"/>
  <c r="BF255" i="6" s="1"/>
  <c r="BG255" i="6" s="1"/>
  <c r="BH255" i="6" s="1"/>
  <c r="O254" i="41"/>
  <c r="D256" i="6"/>
  <c r="C256" i="6"/>
  <c r="B255" i="41" s="1"/>
  <c r="E256" i="6"/>
  <c r="C255" i="41" s="1"/>
  <c r="G256" i="6"/>
  <c r="G255" i="41"/>
  <c r="F256" i="6"/>
  <c r="A255" i="41"/>
  <c r="D255" i="41" s="1"/>
  <c r="A256" i="14"/>
  <c r="H256" i="6"/>
  <c r="AU256" i="6" s="1"/>
  <c r="B256" i="6"/>
  <c r="I256" i="6"/>
  <c r="J256" i="6"/>
  <c r="AV256" i="6" s="1"/>
  <c r="V256" i="6"/>
  <c r="N256" i="6"/>
  <c r="K256" i="6"/>
  <c r="AR256" i="6"/>
  <c r="O256" i="6"/>
  <c r="N255" i="41" s="1"/>
  <c r="M256" i="6"/>
  <c r="M255" i="41" s="1"/>
  <c r="P255" i="41" s="1"/>
  <c r="AX256" i="6"/>
  <c r="BA256" i="6" s="1"/>
  <c r="AD256" i="6"/>
  <c r="AY256" i="6" s="1"/>
  <c r="BB256" i="6" s="1"/>
  <c r="U256" i="6"/>
  <c r="S256" i="6"/>
  <c r="AA256" i="6"/>
  <c r="R256" i="6"/>
  <c r="Z256" i="6"/>
  <c r="T256" i="6"/>
  <c r="AB256" i="6"/>
  <c r="AZ256" i="6"/>
  <c r="BC256" i="6" s="1"/>
  <c r="L256" i="6"/>
  <c r="AQ256" i="6"/>
  <c r="AH256" i="6"/>
  <c r="Y256" i="6"/>
  <c r="AF256" i="6"/>
  <c r="AE256" i="6"/>
  <c r="AG256" i="6"/>
  <c r="A257" i="6"/>
  <c r="Y255" i="14"/>
  <c r="AJ255" i="14"/>
  <c r="P255" i="14"/>
  <c r="G255" i="14"/>
  <c r="AE255" i="14"/>
  <c r="AI255" i="14"/>
  <c r="H255" i="14"/>
  <c r="AG255" i="14"/>
  <c r="K255" i="14"/>
  <c r="AF255" i="14"/>
  <c r="AD255" i="14"/>
  <c r="Q255" i="14"/>
  <c r="AB255" i="14"/>
  <c r="J255" i="14"/>
  <c r="AA255" i="14"/>
  <c r="M255" i="14"/>
  <c r="E255" i="14"/>
  <c r="W255" i="14"/>
  <c r="AC255" i="14"/>
  <c r="T255" i="14"/>
  <c r="I255" i="14"/>
  <c r="X255" i="14"/>
  <c r="U255" i="14"/>
  <c r="F255" i="14"/>
  <c r="V255" i="14"/>
  <c r="AH255" i="14"/>
  <c r="O255" i="14"/>
  <c r="C255" i="14"/>
  <c r="S255" i="14"/>
  <c r="Z255" i="14"/>
  <c r="D255" i="14"/>
  <c r="L255" i="14"/>
  <c r="R255" i="14"/>
  <c r="N255" i="14"/>
  <c r="I254" i="41"/>
  <c r="H254" i="41"/>
  <c r="J254" i="41"/>
  <c r="AJ257" i="6" l="1"/>
  <c r="AZ257" i="6" s="1"/>
  <c r="BC257" i="6" s="1"/>
  <c r="Q257" i="6"/>
  <c r="X257" i="6"/>
  <c r="AX257" i="6" s="1"/>
  <c r="BA257" i="6" s="1"/>
  <c r="AL257" i="6"/>
  <c r="AO257" i="6"/>
  <c r="AK257" i="6"/>
  <c r="AM257" i="6"/>
  <c r="AN257" i="6"/>
  <c r="H255" i="41"/>
  <c r="I255" i="41"/>
  <c r="J255" i="41"/>
  <c r="C257" i="6"/>
  <c r="B256" i="41" s="1"/>
  <c r="H257" i="6"/>
  <c r="AU257" i="6" s="1"/>
  <c r="F257" i="6"/>
  <c r="B257" i="6"/>
  <c r="A257" i="14"/>
  <c r="G257" i="6"/>
  <c r="D257" i="6"/>
  <c r="G256" i="41"/>
  <c r="E257" i="6"/>
  <c r="C256" i="41" s="1"/>
  <c r="A256" i="41"/>
  <c r="D256" i="41" s="1"/>
  <c r="I257" i="6"/>
  <c r="J257" i="6"/>
  <c r="AV257" i="6" s="1"/>
  <c r="V257" i="6"/>
  <c r="U257" i="6"/>
  <c r="R257" i="6"/>
  <c r="K257" i="6"/>
  <c r="O257" i="6"/>
  <c r="N256" i="41" s="1"/>
  <c r="AR257" i="6"/>
  <c r="T257" i="6"/>
  <c r="Y257" i="6"/>
  <c r="AD257" i="6"/>
  <c r="AY257" i="6" s="1"/>
  <c r="BB257" i="6" s="1"/>
  <c r="Z257" i="6"/>
  <c r="M257" i="6"/>
  <c r="M256" i="41" s="1"/>
  <c r="P256" i="41" s="1"/>
  <c r="S257" i="6"/>
  <c r="AH257" i="6"/>
  <c r="AB257" i="6"/>
  <c r="L257" i="6"/>
  <c r="N257" i="6"/>
  <c r="AQ257" i="6"/>
  <c r="AA257" i="6"/>
  <c r="AE257" i="6"/>
  <c r="AG257" i="6"/>
  <c r="AF257" i="6"/>
  <c r="A258" i="6"/>
  <c r="Y256" i="14"/>
  <c r="V256" i="14"/>
  <c r="L256" i="14"/>
  <c r="AD256" i="14"/>
  <c r="E256" i="14"/>
  <c r="AB256" i="14"/>
  <c r="C256" i="14"/>
  <c r="AI256" i="14"/>
  <c r="P256" i="14"/>
  <c r="K256" i="14"/>
  <c r="W256" i="14"/>
  <c r="AJ256" i="14"/>
  <c r="H256" i="14"/>
  <c r="I256" i="14"/>
  <c r="Q256" i="14"/>
  <c r="J256" i="14"/>
  <c r="AF256" i="14"/>
  <c r="X256" i="14"/>
  <c r="AH256" i="14"/>
  <c r="N256" i="14"/>
  <c r="AC256" i="14"/>
  <c r="AA256" i="14"/>
  <c r="O256" i="14"/>
  <c r="Z256" i="14"/>
  <c r="AG256" i="14"/>
  <c r="F256" i="14"/>
  <c r="S256" i="14"/>
  <c r="D256" i="14"/>
  <c r="R256" i="14"/>
  <c r="M256" i="14"/>
  <c r="G256" i="14"/>
  <c r="AE256" i="14"/>
  <c r="T256" i="14"/>
  <c r="U256" i="14"/>
  <c r="AW256" i="6"/>
  <c r="BF256" i="6" s="1"/>
  <c r="BG256" i="6" s="1"/>
  <c r="BH256" i="6" s="1"/>
  <c r="O255" i="41"/>
  <c r="AJ258" i="6" l="1"/>
  <c r="Q258" i="6"/>
  <c r="X258" i="6"/>
  <c r="AO258" i="6"/>
  <c r="AK258" i="6"/>
  <c r="AL258" i="6"/>
  <c r="AM258" i="6"/>
  <c r="AN258" i="6"/>
  <c r="AW257" i="6"/>
  <c r="BF257" i="6" s="1"/>
  <c r="BG257" i="6" s="1"/>
  <c r="BH257" i="6" s="1"/>
  <c r="O256" i="41"/>
  <c r="F257" i="14"/>
  <c r="T257" i="14"/>
  <c r="G257" i="14"/>
  <c r="L257" i="14"/>
  <c r="X257" i="14"/>
  <c r="S257" i="14"/>
  <c r="AE257" i="14"/>
  <c r="AB257" i="14"/>
  <c r="I257" i="14"/>
  <c r="W257" i="14"/>
  <c r="K257" i="14"/>
  <c r="AJ257" i="14"/>
  <c r="P257" i="14"/>
  <c r="N257" i="14"/>
  <c r="O257" i="14"/>
  <c r="Y257" i="14"/>
  <c r="AI257" i="14"/>
  <c r="H257" i="14"/>
  <c r="C257" i="14"/>
  <c r="E257" i="14"/>
  <c r="AF257" i="14"/>
  <c r="AH257" i="14"/>
  <c r="AD257" i="14"/>
  <c r="D257" i="14"/>
  <c r="J257" i="14"/>
  <c r="AA257" i="14"/>
  <c r="Z257" i="14"/>
  <c r="M257" i="14"/>
  <c r="AG257" i="14"/>
  <c r="Q257" i="14"/>
  <c r="AC257" i="14"/>
  <c r="V257" i="14"/>
  <c r="R257" i="14"/>
  <c r="U257" i="14"/>
  <c r="G257" i="41"/>
  <c r="G258" i="6"/>
  <c r="A257" i="41"/>
  <c r="D257" i="41" s="1"/>
  <c r="A258" i="14"/>
  <c r="H258" i="6"/>
  <c r="AU258" i="6" s="1"/>
  <c r="D258" i="6"/>
  <c r="B258" i="6"/>
  <c r="C258" i="6"/>
  <c r="B257" i="41" s="1"/>
  <c r="E258" i="6"/>
  <c r="C257" i="41" s="1"/>
  <c r="F258" i="6"/>
  <c r="I258" i="6"/>
  <c r="U258" i="6"/>
  <c r="Z258" i="6"/>
  <c r="Y258" i="6"/>
  <c r="N258" i="6"/>
  <c r="M258" i="6"/>
  <c r="M257" i="41" s="1"/>
  <c r="P257" i="41" s="1"/>
  <c r="AR258" i="6"/>
  <c r="J258" i="6"/>
  <c r="AV258" i="6" s="1"/>
  <c r="V258" i="6"/>
  <c r="S258" i="6"/>
  <c r="L258" i="6"/>
  <c r="AA258" i="6"/>
  <c r="AB258" i="6"/>
  <c r="R258" i="6"/>
  <c r="T258" i="6"/>
  <c r="K258" i="6"/>
  <c r="AD258" i="6"/>
  <c r="AY258" i="6" s="1"/>
  <c r="BB258" i="6" s="1"/>
  <c r="O258" i="6"/>
  <c r="N257" i="41" s="1"/>
  <c r="AZ258" i="6"/>
  <c r="BC258" i="6" s="1"/>
  <c r="AX258" i="6"/>
  <c r="BA258" i="6" s="1"/>
  <c r="AQ258" i="6"/>
  <c r="AH258" i="6"/>
  <c r="AF258" i="6"/>
  <c r="AE258" i="6"/>
  <c r="AG258" i="6"/>
  <c r="A259" i="6"/>
  <c r="I256" i="41"/>
  <c r="H256" i="41"/>
  <c r="J256" i="41"/>
  <c r="X259" i="6" l="1"/>
  <c r="AX259" i="6" s="1"/>
  <c r="BA259" i="6" s="1"/>
  <c r="AJ259" i="6"/>
  <c r="AZ259" i="6" s="1"/>
  <c r="BC259" i="6" s="1"/>
  <c r="Q259" i="6"/>
  <c r="AM259" i="6"/>
  <c r="AN259" i="6"/>
  <c r="AO259" i="6"/>
  <c r="AK259" i="6"/>
  <c r="AL259" i="6"/>
  <c r="F259" i="6"/>
  <c r="G258" i="41"/>
  <c r="G259" i="6"/>
  <c r="A258" i="41"/>
  <c r="D258" i="41" s="1"/>
  <c r="C259" i="6"/>
  <c r="B258" i="41" s="1"/>
  <c r="H259" i="6"/>
  <c r="AU259" i="6" s="1"/>
  <c r="D259" i="6"/>
  <c r="B259" i="6"/>
  <c r="A259" i="14"/>
  <c r="E259" i="6"/>
  <c r="C258" i="41" s="1"/>
  <c r="I259" i="6"/>
  <c r="V259" i="6"/>
  <c r="J259" i="6"/>
  <c r="AV259" i="6" s="1"/>
  <c r="N259" i="6"/>
  <c r="U259" i="6"/>
  <c r="L259" i="6"/>
  <c r="AB259" i="6"/>
  <c r="K259" i="6"/>
  <c r="AD259" i="6"/>
  <c r="AY259" i="6" s="1"/>
  <c r="BB259" i="6" s="1"/>
  <c r="O259" i="6"/>
  <c r="N258" i="41" s="1"/>
  <c r="AQ259" i="6"/>
  <c r="S259" i="6"/>
  <c r="R259" i="6"/>
  <c r="Z259" i="6"/>
  <c r="Y259" i="6"/>
  <c r="AA259" i="6"/>
  <c r="AR259" i="6"/>
  <c r="AH259" i="6"/>
  <c r="M259" i="6"/>
  <c r="M258" i="41" s="1"/>
  <c r="P258" i="41" s="1"/>
  <c r="T259" i="6"/>
  <c r="AG259" i="6"/>
  <c r="AE259" i="6"/>
  <c r="AF259" i="6"/>
  <c r="A260" i="6"/>
  <c r="I257" i="41"/>
  <c r="H257" i="41"/>
  <c r="J257" i="41"/>
  <c r="J258" i="14"/>
  <c r="AA258" i="14"/>
  <c r="K258" i="14"/>
  <c r="W258" i="14"/>
  <c r="R258" i="14"/>
  <c r="AC258" i="14"/>
  <c r="V258" i="14"/>
  <c r="AG258" i="14"/>
  <c r="N258" i="14"/>
  <c r="L258" i="14"/>
  <c r="F258" i="14"/>
  <c r="T258" i="14"/>
  <c r="Q258" i="14"/>
  <c r="C258" i="14"/>
  <c r="G258" i="14"/>
  <c r="S258" i="14"/>
  <c r="E258" i="14"/>
  <c r="AD258" i="14"/>
  <c r="Z258" i="14"/>
  <c r="Y258" i="14"/>
  <c r="X258" i="14"/>
  <c r="M258" i="14"/>
  <c r="AI258" i="14"/>
  <c r="P258" i="14"/>
  <c r="O258" i="14"/>
  <c r="AH258" i="14"/>
  <c r="AJ258" i="14"/>
  <c r="H258" i="14"/>
  <c r="D258" i="14"/>
  <c r="I258" i="14"/>
  <c r="AF258" i="14"/>
  <c r="AB258" i="14"/>
  <c r="AE258" i="14"/>
  <c r="U258" i="14"/>
  <c r="O257" i="41"/>
  <c r="AW258" i="6"/>
  <c r="BF258" i="6" s="1"/>
  <c r="BG258" i="6" s="1"/>
  <c r="BH258" i="6" s="1"/>
  <c r="X260" i="6" l="1"/>
  <c r="AX260" i="6" s="1"/>
  <c r="BA260" i="6" s="1"/>
  <c r="AJ260" i="6"/>
  <c r="AZ260" i="6" s="1"/>
  <c r="BC260" i="6" s="1"/>
  <c r="Q260" i="6"/>
  <c r="AM260" i="6"/>
  <c r="AK260" i="6"/>
  <c r="AL260" i="6"/>
  <c r="AN260" i="6"/>
  <c r="AO260" i="6"/>
  <c r="D260" i="6"/>
  <c r="C260" i="6"/>
  <c r="B259" i="41" s="1"/>
  <c r="E260" i="6"/>
  <c r="C259" i="41" s="1"/>
  <c r="G260" i="6"/>
  <c r="F260" i="6"/>
  <c r="G259" i="41"/>
  <c r="A259" i="41"/>
  <c r="D259" i="41" s="1"/>
  <c r="H260" i="6"/>
  <c r="AU260" i="6" s="1"/>
  <c r="B260" i="6"/>
  <c r="A260" i="14"/>
  <c r="J260" i="6"/>
  <c r="AV260" i="6" s="1"/>
  <c r="I260" i="6"/>
  <c r="N260" i="6"/>
  <c r="V260" i="6"/>
  <c r="U260" i="6"/>
  <c r="S260" i="6"/>
  <c r="Y260" i="6"/>
  <c r="AR260" i="6"/>
  <c r="R260" i="6"/>
  <c r="T260" i="6"/>
  <c r="K260" i="6"/>
  <c r="AB260" i="6"/>
  <c r="O260" i="6"/>
  <c r="N259" i="41" s="1"/>
  <c r="AD260" i="6"/>
  <c r="AY260" i="6" s="1"/>
  <c r="BB260" i="6" s="1"/>
  <c r="AA260" i="6"/>
  <c r="AQ260" i="6"/>
  <c r="M260" i="6"/>
  <c r="M259" i="41" s="1"/>
  <c r="P259" i="41" s="1"/>
  <c r="AH260" i="6"/>
  <c r="L260" i="6"/>
  <c r="AF260" i="6"/>
  <c r="Z260" i="6"/>
  <c r="AE260" i="6"/>
  <c r="AG260" i="6"/>
  <c r="A261" i="6"/>
  <c r="I258" i="41"/>
  <c r="H258" i="41"/>
  <c r="J258" i="41"/>
  <c r="AW259" i="6"/>
  <c r="BF259" i="6" s="1"/>
  <c r="BG259" i="6" s="1"/>
  <c r="BH259" i="6" s="1"/>
  <c r="O258" i="41"/>
  <c r="Y259" i="14"/>
  <c r="AF259" i="14"/>
  <c r="H259" i="14"/>
  <c r="AG259" i="14"/>
  <c r="AE259" i="14"/>
  <c r="AI259" i="14"/>
  <c r="AD259" i="14"/>
  <c r="Q259" i="14"/>
  <c r="K259" i="14"/>
  <c r="J259" i="14"/>
  <c r="AA259" i="14"/>
  <c r="M259" i="14"/>
  <c r="E259" i="14"/>
  <c r="C259" i="14"/>
  <c r="AC259" i="14"/>
  <c r="V259" i="14"/>
  <c r="I259" i="14"/>
  <c r="X259" i="14"/>
  <c r="AB259" i="14"/>
  <c r="F259" i="14"/>
  <c r="T259" i="14"/>
  <c r="AH259" i="14"/>
  <c r="O259" i="14"/>
  <c r="N259" i="14"/>
  <c r="S259" i="14"/>
  <c r="Z259" i="14"/>
  <c r="D259" i="14"/>
  <c r="U259" i="14"/>
  <c r="R259" i="14"/>
  <c r="W259" i="14"/>
  <c r="AJ259" i="14"/>
  <c r="P259" i="14"/>
  <c r="G259" i="14"/>
  <c r="L259" i="14"/>
  <c r="X261" i="6" l="1"/>
  <c r="AX261" i="6" s="1"/>
  <c r="BA261" i="6" s="1"/>
  <c r="AJ261" i="6"/>
  <c r="Q261" i="6"/>
  <c r="AK261" i="6"/>
  <c r="AL261" i="6"/>
  <c r="AM261" i="6"/>
  <c r="AN261" i="6"/>
  <c r="AO261" i="6"/>
  <c r="H259" i="41"/>
  <c r="I259" i="41"/>
  <c r="J259" i="41"/>
  <c r="O259" i="41"/>
  <c r="AW260" i="6"/>
  <c r="BF260" i="6" s="1"/>
  <c r="BG260" i="6" s="1"/>
  <c r="BH260" i="6" s="1"/>
  <c r="Y260" i="14"/>
  <c r="T260" i="14"/>
  <c r="L260" i="14"/>
  <c r="N260" i="14"/>
  <c r="Q260" i="14"/>
  <c r="S260" i="14"/>
  <c r="AB260" i="14"/>
  <c r="AE260" i="14"/>
  <c r="P260" i="14"/>
  <c r="K260" i="14"/>
  <c r="E260" i="14"/>
  <c r="AI260" i="14"/>
  <c r="H260" i="14"/>
  <c r="I260" i="14"/>
  <c r="W260" i="14"/>
  <c r="J260" i="14"/>
  <c r="AF260" i="14"/>
  <c r="X260" i="14"/>
  <c r="AH260" i="14"/>
  <c r="AD260" i="14"/>
  <c r="AC260" i="14"/>
  <c r="AJ260" i="14"/>
  <c r="O260" i="14"/>
  <c r="Z260" i="14"/>
  <c r="M260" i="14"/>
  <c r="F260" i="14"/>
  <c r="AA260" i="14"/>
  <c r="D260" i="14"/>
  <c r="R260" i="14"/>
  <c r="C260" i="14"/>
  <c r="V260" i="14"/>
  <c r="U260" i="14"/>
  <c r="G260" i="14"/>
  <c r="AG260" i="14"/>
  <c r="C261" i="6"/>
  <c r="B260" i="41" s="1"/>
  <c r="H261" i="6"/>
  <c r="AU261" i="6" s="1"/>
  <c r="B261" i="6"/>
  <c r="G261" i="6"/>
  <c r="D261" i="6"/>
  <c r="A261" i="14"/>
  <c r="E261" i="6"/>
  <c r="C260" i="41" s="1"/>
  <c r="G260" i="41"/>
  <c r="F261" i="6"/>
  <c r="A260" i="41"/>
  <c r="D260" i="41" s="1"/>
  <c r="I261" i="6"/>
  <c r="N261" i="6"/>
  <c r="U261" i="6"/>
  <c r="Z261" i="6"/>
  <c r="AB261" i="6"/>
  <c r="S261" i="6"/>
  <c r="L261" i="6"/>
  <c r="M261" i="6"/>
  <c r="M260" i="41" s="1"/>
  <c r="P260" i="41" s="1"/>
  <c r="AD261" i="6"/>
  <c r="AY261" i="6" s="1"/>
  <c r="BB261" i="6" s="1"/>
  <c r="AQ261" i="6"/>
  <c r="R261" i="6"/>
  <c r="T261" i="6"/>
  <c r="K261" i="6"/>
  <c r="AA261" i="6"/>
  <c r="J261" i="6"/>
  <c r="AV261" i="6" s="1"/>
  <c r="V261" i="6"/>
  <c r="Y261" i="6"/>
  <c r="AH261" i="6"/>
  <c r="AZ261" i="6"/>
  <c r="BC261" i="6" s="1"/>
  <c r="AR261" i="6"/>
  <c r="O261" i="6"/>
  <c r="N260" i="41" s="1"/>
  <c r="AF261" i="6"/>
  <c r="AE261" i="6"/>
  <c r="AG261" i="6"/>
  <c r="A262" i="6"/>
  <c r="X262" i="6" l="1"/>
  <c r="AX262" i="6" s="1"/>
  <c r="BA262" i="6" s="1"/>
  <c r="AJ262" i="6"/>
  <c r="Q262" i="6"/>
  <c r="AK262" i="6"/>
  <c r="AN262" i="6"/>
  <c r="AO262" i="6"/>
  <c r="AL262" i="6"/>
  <c r="AM262" i="6"/>
  <c r="F261" i="14"/>
  <c r="V261" i="14"/>
  <c r="Z261" i="14"/>
  <c r="M261" i="14"/>
  <c r="O261" i="14"/>
  <c r="T261" i="14"/>
  <c r="R261" i="14"/>
  <c r="U261" i="14"/>
  <c r="AG261" i="14"/>
  <c r="S261" i="14"/>
  <c r="G261" i="14"/>
  <c r="L261" i="14"/>
  <c r="I261" i="14"/>
  <c r="AE261" i="14"/>
  <c r="AB261" i="14"/>
  <c r="E261" i="14"/>
  <c r="Y261" i="14"/>
  <c r="AJ261" i="14"/>
  <c r="W261" i="14"/>
  <c r="K261" i="14"/>
  <c r="AI261" i="14"/>
  <c r="P261" i="14"/>
  <c r="N261" i="14"/>
  <c r="D261" i="14"/>
  <c r="J261" i="14"/>
  <c r="AF261" i="14"/>
  <c r="H261" i="14"/>
  <c r="C261" i="14"/>
  <c r="X261" i="14"/>
  <c r="AA261" i="14"/>
  <c r="AH261" i="14"/>
  <c r="AD261" i="14"/>
  <c r="Q261" i="14"/>
  <c r="AC261" i="14"/>
  <c r="AW261" i="6"/>
  <c r="BF261" i="6" s="1"/>
  <c r="BG261" i="6" s="1"/>
  <c r="BH261" i="6" s="1"/>
  <c r="O260" i="41"/>
  <c r="A261" i="41"/>
  <c r="D261" i="41" s="1"/>
  <c r="A262" i="14"/>
  <c r="H262" i="6"/>
  <c r="AU262" i="6" s="1"/>
  <c r="B262" i="6"/>
  <c r="G262" i="6"/>
  <c r="C262" i="6"/>
  <c r="B261" i="41" s="1"/>
  <c r="D262" i="6"/>
  <c r="G261" i="41"/>
  <c r="F262" i="6"/>
  <c r="E262" i="6"/>
  <c r="C261" i="41" s="1"/>
  <c r="I262" i="6"/>
  <c r="U262" i="6"/>
  <c r="J262" i="6"/>
  <c r="AV262" i="6" s="1"/>
  <c r="V262" i="6"/>
  <c r="N262" i="6"/>
  <c r="AB262" i="6"/>
  <c r="AQ262" i="6"/>
  <c r="L262" i="6"/>
  <c r="AA262" i="6"/>
  <c r="AD262" i="6"/>
  <c r="AY262" i="6" s="1"/>
  <c r="BB262" i="6" s="1"/>
  <c r="K262" i="6"/>
  <c r="S262" i="6"/>
  <c r="T262" i="6"/>
  <c r="R262" i="6"/>
  <c r="M262" i="6"/>
  <c r="M261" i="41" s="1"/>
  <c r="P261" i="41" s="1"/>
  <c r="Y262" i="6"/>
  <c r="AZ262" i="6"/>
  <c r="BC262" i="6" s="1"/>
  <c r="Z262" i="6"/>
  <c r="O262" i="6"/>
  <c r="N261" i="41" s="1"/>
  <c r="AH262" i="6"/>
  <c r="AF262" i="6"/>
  <c r="AE262" i="6"/>
  <c r="AG262" i="6"/>
  <c r="AR262" i="6"/>
  <c r="A263" i="6"/>
  <c r="I260" i="41"/>
  <c r="H260" i="41"/>
  <c r="J260" i="41"/>
  <c r="Q263" i="6" l="1"/>
  <c r="X263" i="6"/>
  <c r="AJ263" i="6"/>
  <c r="AN263" i="6"/>
  <c r="AK263" i="6"/>
  <c r="AL263" i="6"/>
  <c r="AM263" i="6"/>
  <c r="AO263" i="6"/>
  <c r="A263" i="14"/>
  <c r="E263" i="6"/>
  <c r="C262" i="41" s="1"/>
  <c r="G262" i="41"/>
  <c r="F263" i="6"/>
  <c r="A262" i="41"/>
  <c r="D262" i="41" s="1"/>
  <c r="C263" i="6"/>
  <c r="B262" i="41" s="1"/>
  <c r="H263" i="6"/>
  <c r="AU263" i="6" s="1"/>
  <c r="B263" i="6"/>
  <c r="G263" i="6"/>
  <c r="D263" i="6"/>
  <c r="N263" i="6"/>
  <c r="U263" i="6"/>
  <c r="V263" i="6"/>
  <c r="I263" i="6"/>
  <c r="O263" i="6"/>
  <c r="N262" i="41" s="1"/>
  <c r="AB263" i="6"/>
  <c r="Z263" i="6"/>
  <c r="Y263" i="6"/>
  <c r="AA263" i="6"/>
  <c r="AD263" i="6"/>
  <c r="AY263" i="6" s="1"/>
  <c r="BB263" i="6" s="1"/>
  <c r="J263" i="6"/>
  <c r="AV263" i="6" s="1"/>
  <c r="S263" i="6"/>
  <c r="T263" i="6"/>
  <c r="AQ263" i="6"/>
  <c r="R263" i="6"/>
  <c r="AX263" i="6"/>
  <c r="BA263" i="6" s="1"/>
  <c r="L263" i="6"/>
  <c r="AZ263" i="6"/>
  <c r="BC263" i="6" s="1"/>
  <c r="AH263" i="6"/>
  <c r="M263" i="6"/>
  <c r="M262" i="41" s="1"/>
  <c r="P262" i="41" s="1"/>
  <c r="AR263" i="6"/>
  <c r="AF263" i="6"/>
  <c r="K263" i="6"/>
  <c r="AE263" i="6"/>
  <c r="AG263" i="6"/>
  <c r="A264" i="6"/>
  <c r="AI262" i="14"/>
  <c r="H262" i="14"/>
  <c r="D262" i="14"/>
  <c r="G262" i="14"/>
  <c r="J262" i="14"/>
  <c r="AF262" i="14"/>
  <c r="AB262" i="14"/>
  <c r="AE262" i="14"/>
  <c r="Z262" i="14"/>
  <c r="AC262" i="14"/>
  <c r="AJ262" i="14"/>
  <c r="K262" i="14"/>
  <c r="W262" i="14"/>
  <c r="U262" i="14"/>
  <c r="F262" i="14"/>
  <c r="AA262" i="14"/>
  <c r="AG262" i="14"/>
  <c r="N262" i="14"/>
  <c r="I262" i="14"/>
  <c r="T262" i="14"/>
  <c r="Q262" i="14"/>
  <c r="C262" i="14"/>
  <c r="AH262" i="14"/>
  <c r="Y262" i="14"/>
  <c r="S262" i="14"/>
  <c r="E262" i="14"/>
  <c r="AD262" i="14"/>
  <c r="R262" i="14"/>
  <c r="V262" i="14"/>
  <c r="X262" i="14"/>
  <c r="M262" i="14"/>
  <c r="P262" i="14"/>
  <c r="O262" i="14"/>
  <c r="L262" i="14"/>
  <c r="AW262" i="6"/>
  <c r="BF262" i="6" s="1"/>
  <c r="BG262" i="6" s="1"/>
  <c r="BH262" i="6" s="1"/>
  <c r="O261" i="41"/>
  <c r="I261" i="41"/>
  <c r="H261" i="41"/>
  <c r="J261" i="41"/>
  <c r="AJ264" i="6" l="1"/>
  <c r="AZ264" i="6" s="1"/>
  <c r="BC264" i="6" s="1"/>
  <c r="Q264" i="6"/>
  <c r="X264" i="6"/>
  <c r="AX264" i="6" s="1"/>
  <c r="BA264" i="6" s="1"/>
  <c r="AL264" i="6"/>
  <c r="AM264" i="6"/>
  <c r="AN264" i="6"/>
  <c r="AO264" i="6"/>
  <c r="AK264" i="6"/>
  <c r="AW263" i="6"/>
  <c r="BF263" i="6" s="1"/>
  <c r="BG263" i="6" s="1"/>
  <c r="BH263" i="6" s="1"/>
  <c r="O262" i="41"/>
  <c r="H262" i="41"/>
  <c r="I262" i="41"/>
  <c r="J262" i="41"/>
  <c r="A264" i="14"/>
  <c r="F264" i="6"/>
  <c r="G264" i="6"/>
  <c r="B264" i="6"/>
  <c r="C264" i="6"/>
  <c r="B263" i="41" s="1"/>
  <c r="H264" i="6"/>
  <c r="AU264" i="6" s="1"/>
  <c r="G263" i="41"/>
  <c r="D264" i="6"/>
  <c r="A263" i="41"/>
  <c r="D263" i="41" s="1"/>
  <c r="E264" i="6"/>
  <c r="C263" i="41" s="1"/>
  <c r="J264" i="6"/>
  <c r="AV264" i="6" s="1"/>
  <c r="V264" i="6"/>
  <c r="U264" i="6"/>
  <c r="N264" i="6"/>
  <c r="I264" i="6"/>
  <c r="AD264" i="6"/>
  <c r="AY264" i="6" s="1"/>
  <c r="BB264" i="6" s="1"/>
  <c r="L264" i="6"/>
  <c r="AA264" i="6"/>
  <c r="S264" i="6"/>
  <c r="K264" i="6"/>
  <c r="AR264" i="6"/>
  <c r="R264" i="6"/>
  <c r="T264" i="6"/>
  <c r="O264" i="6"/>
  <c r="N263" i="41" s="1"/>
  <c r="M264" i="6"/>
  <c r="M263" i="41" s="1"/>
  <c r="P263" i="41" s="1"/>
  <c r="AB264" i="6"/>
  <c r="Z264" i="6"/>
  <c r="AH264" i="6"/>
  <c r="Y264" i="6"/>
  <c r="AQ264" i="6"/>
  <c r="AG264" i="6"/>
  <c r="AE264" i="6"/>
  <c r="AF264" i="6"/>
  <c r="A265" i="6"/>
  <c r="V263" i="14"/>
  <c r="Z263" i="14"/>
  <c r="D263" i="14"/>
  <c r="L263" i="14"/>
  <c r="Y263" i="14"/>
  <c r="S263" i="14"/>
  <c r="R263" i="14"/>
  <c r="AE263" i="14"/>
  <c r="P263" i="14"/>
  <c r="G263" i="14"/>
  <c r="K263" i="14"/>
  <c r="J263" i="14"/>
  <c r="AJ263" i="14"/>
  <c r="H263" i="14"/>
  <c r="AG263" i="14"/>
  <c r="AB263" i="14"/>
  <c r="AC263" i="14"/>
  <c r="AI263" i="14"/>
  <c r="AD263" i="14"/>
  <c r="Q263" i="14"/>
  <c r="U263" i="14"/>
  <c r="F263" i="14"/>
  <c r="AF263" i="14"/>
  <c r="M263" i="14"/>
  <c r="E263" i="14"/>
  <c r="N263" i="14"/>
  <c r="AA263" i="14"/>
  <c r="I263" i="14"/>
  <c r="X263" i="14"/>
  <c r="W263" i="14"/>
  <c r="T263" i="14"/>
  <c r="AH263" i="14"/>
  <c r="O263" i="14"/>
  <c r="C263" i="14"/>
  <c r="AJ265" i="6" l="1"/>
  <c r="AZ265" i="6" s="1"/>
  <c r="BC265" i="6" s="1"/>
  <c r="Q265" i="6"/>
  <c r="X265" i="6"/>
  <c r="AX265" i="6" s="1"/>
  <c r="BA265" i="6" s="1"/>
  <c r="AL265" i="6"/>
  <c r="AO265" i="6"/>
  <c r="AK265" i="6"/>
  <c r="AM265" i="6"/>
  <c r="AN265" i="6"/>
  <c r="G264" i="41"/>
  <c r="E265" i="6"/>
  <c r="C264" i="41" s="1"/>
  <c r="A264" i="41"/>
  <c r="D264" i="41" s="1"/>
  <c r="C265" i="6"/>
  <c r="B264" i="41" s="1"/>
  <c r="H265" i="6"/>
  <c r="AU265" i="6" s="1"/>
  <c r="A265" i="14"/>
  <c r="F265" i="6"/>
  <c r="B265" i="6"/>
  <c r="G265" i="6"/>
  <c r="D265" i="6"/>
  <c r="J265" i="6"/>
  <c r="AV265" i="6" s="1"/>
  <c r="N265" i="6"/>
  <c r="I265" i="6"/>
  <c r="U265" i="6"/>
  <c r="V265" i="6"/>
  <c r="M265" i="6"/>
  <c r="M264" i="41" s="1"/>
  <c r="P264" i="41" s="1"/>
  <c r="AB265" i="6"/>
  <c r="AD265" i="6"/>
  <c r="AY265" i="6" s="1"/>
  <c r="BB265" i="6" s="1"/>
  <c r="S265" i="6"/>
  <c r="L265" i="6"/>
  <c r="R265" i="6"/>
  <c r="Z265" i="6"/>
  <c r="K265" i="6"/>
  <c r="AQ265" i="6"/>
  <c r="T265" i="6"/>
  <c r="O265" i="6"/>
  <c r="N264" i="41" s="1"/>
  <c r="Y265" i="6"/>
  <c r="AR265" i="6"/>
  <c r="AH265" i="6"/>
  <c r="AA265" i="6"/>
  <c r="AF265" i="6"/>
  <c r="AE265" i="6"/>
  <c r="AG265" i="6"/>
  <c r="A266" i="6"/>
  <c r="F264" i="14"/>
  <c r="S264" i="14"/>
  <c r="U264" i="14"/>
  <c r="G264" i="14"/>
  <c r="C264" i="14"/>
  <c r="V264" i="14"/>
  <c r="L264" i="14"/>
  <c r="W264" i="14"/>
  <c r="N264" i="14"/>
  <c r="Y264" i="14"/>
  <c r="T264" i="14"/>
  <c r="AB264" i="14"/>
  <c r="Q264" i="14"/>
  <c r="P264" i="14"/>
  <c r="K264" i="14"/>
  <c r="AG264" i="14"/>
  <c r="AI264" i="14"/>
  <c r="H264" i="14"/>
  <c r="I264" i="14"/>
  <c r="M264" i="14"/>
  <c r="AJ264" i="14"/>
  <c r="X264" i="14"/>
  <c r="AH264" i="14"/>
  <c r="AE264" i="14"/>
  <c r="J264" i="14"/>
  <c r="AF264" i="14"/>
  <c r="O264" i="14"/>
  <c r="Z264" i="14"/>
  <c r="E264" i="14"/>
  <c r="AA264" i="14"/>
  <c r="D264" i="14"/>
  <c r="R264" i="14"/>
  <c r="AD264" i="14"/>
  <c r="AC264" i="14"/>
  <c r="O263" i="41"/>
  <c r="AW264" i="6"/>
  <c r="BF264" i="6" s="1"/>
  <c r="BG264" i="6" s="1"/>
  <c r="BH264" i="6" s="1"/>
  <c r="H263" i="41"/>
  <c r="I263" i="41"/>
  <c r="J263" i="41"/>
  <c r="AJ266" i="6" l="1"/>
  <c r="AZ266" i="6" s="1"/>
  <c r="BC266" i="6" s="1"/>
  <c r="Q266" i="6"/>
  <c r="X266" i="6"/>
  <c r="AO266" i="6"/>
  <c r="AK266" i="6"/>
  <c r="AL266" i="6"/>
  <c r="AM266" i="6"/>
  <c r="AN266" i="6"/>
  <c r="J265" i="14"/>
  <c r="AF265" i="14"/>
  <c r="AH265" i="14"/>
  <c r="AD265" i="14"/>
  <c r="X265" i="14"/>
  <c r="AC265" i="14"/>
  <c r="AI265" i="14"/>
  <c r="Z265" i="14"/>
  <c r="M265" i="14"/>
  <c r="AG265" i="14"/>
  <c r="F265" i="14"/>
  <c r="AA265" i="14"/>
  <c r="R265" i="14"/>
  <c r="U265" i="14"/>
  <c r="Q265" i="14"/>
  <c r="V265" i="14"/>
  <c r="G265" i="14"/>
  <c r="L265" i="14"/>
  <c r="D265" i="14"/>
  <c r="T265" i="14"/>
  <c r="AE265" i="14"/>
  <c r="AB265" i="14"/>
  <c r="I265" i="14"/>
  <c r="S265" i="14"/>
  <c r="W265" i="14"/>
  <c r="K265" i="14"/>
  <c r="Y265" i="14"/>
  <c r="P265" i="14"/>
  <c r="N265" i="14"/>
  <c r="O265" i="14"/>
  <c r="AJ265" i="14"/>
  <c r="H265" i="14"/>
  <c r="C265" i="14"/>
  <c r="E265" i="14"/>
  <c r="O264" i="41"/>
  <c r="AW265" i="6"/>
  <c r="BF265" i="6" s="1"/>
  <c r="BG265" i="6" s="1"/>
  <c r="BH265" i="6" s="1"/>
  <c r="C266" i="6"/>
  <c r="B265" i="41" s="1"/>
  <c r="D266" i="6"/>
  <c r="B266" i="6"/>
  <c r="E266" i="6"/>
  <c r="C265" i="41" s="1"/>
  <c r="G265" i="41"/>
  <c r="A265" i="41"/>
  <c r="D265" i="41" s="1"/>
  <c r="F266" i="6"/>
  <c r="A266" i="14"/>
  <c r="G266" i="6"/>
  <c r="H266" i="6"/>
  <c r="AU266" i="6" s="1"/>
  <c r="J266" i="6"/>
  <c r="AV266" i="6" s="1"/>
  <c r="I266" i="6"/>
  <c r="N266" i="6"/>
  <c r="V266" i="6"/>
  <c r="U266" i="6"/>
  <c r="Z266" i="6"/>
  <c r="L266" i="6"/>
  <c r="AX266" i="6"/>
  <c r="BA266" i="6" s="1"/>
  <c r="K266" i="6"/>
  <c r="AB266" i="6"/>
  <c r="AR266" i="6"/>
  <c r="S266" i="6"/>
  <c r="M266" i="6"/>
  <c r="M265" i="41" s="1"/>
  <c r="P265" i="41" s="1"/>
  <c r="AQ266" i="6"/>
  <c r="R266" i="6"/>
  <c r="T266" i="6"/>
  <c r="O266" i="6"/>
  <c r="N265" i="41" s="1"/>
  <c r="AH266" i="6"/>
  <c r="Y266" i="6"/>
  <c r="AA266" i="6"/>
  <c r="AD266" i="6"/>
  <c r="AY266" i="6" s="1"/>
  <c r="BB266" i="6" s="1"/>
  <c r="AG266" i="6"/>
  <c r="AF266" i="6"/>
  <c r="AE266" i="6"/>
  <c r="A267" i="6"/>
  <c r="H264" i="41"/>
  <c r="I264" i="41"/>
  <c r="J264" i="41"/>
  <c r="X267" i="6" l="1"/>
  <c r="AJ267" i="6"/>
  <c r="Q267" i="6"/>
  <c r="AM267" i="6"/>
  <c r="AN267" i="6"/>
  <c r="AO267" i="6"/>
  <c r="AL267" i="6"/>
  <c r="AK267" i="6"/>
  <c r="S266" i="14"/>
  <c r="X266" i="14"/>
  <c r="M266" i="14"/>
  <c r="P266" i="14"/>
  <c r="O266" i="14"/>
  <c r="U266" i="14"/>
  <c r="AI266" i="14"/>
  <c r="H266" i="14"/>
  <c r="D266" i="14"/>
  <c r="R266" i="14"/>
  <c r="J266" i="14"/>
  <c r="AF266" i="14"/>
  <c r="AB266" i="14"/>
  <c r="AE266" i="14"/>
  <c r="L266" i="14"/>
  <c r="AC266" i="14"/>
  <c r="AJ266" i="14"/>
  <c r="K266" i="14"/>
  <c r="W266" i="14"/>
  <c r="AH266" i="14"/>
  <c r="F266" i="14"/>
  <c r="AA266" i="14"/>
  <c r="AG266" i="14"/>
  <c r="N266" i="14"/>
  <c r="I266" i="14"/>
  <c r="V266" i="14"/>
  <c r="Q266" i="14"/>
  <c r="C266" i="14"/>
  <c r="G266" i="14"/>
  <c r="T266" i="14"/>
  <c r="E266" i="14"/>
  <c r="AD266" i="14"/>
  <c r="Y266" i="14"/>
  <c r="Z266" i="14"/>
  <c r="C267" i="6"/>
  <c r="B266" i="41" s="1"/>
  <c r="H267" i="6"/>
  <c r="AU267" i="6" s="1"/>
  <c r="D267" i="6"/>
  <c r="B267" i="6"/>
  <c r="A267" i="14"/>
  <c r="E267" i="6"/>
  <c r="C266" i="41" s="1"/>
  <c r="G266" i="41"/>
  <c r="A266" i="41"/>
  <c r="D266" i="41" s="1"/>
  <c r="F267" i="6"/>
  <c r="G267" i="6"/>
  <c r="V267" i="6"/>
  <c r="U267" i="6"/>
  <c r="N267" i="6"/>
  <c r="I267" i="6"/>
  <c r="J267" i="6"/>
  <c r="AV267" i="6" s="1"/>
  <c r="R267" i="6"/>
  <c r="Z267" i="6"/>
  <c r="AA267" i="6"/>
  <c r="AZ267" i="6"/>
  <c r="BC267" i="6" s="1"/>
  <c r="AX267" i="6"/>
  <c r="BA267" i="6" s="1"/>
  <c r="T267" i="6"/>
  <c r="AB267" i="6"/>
  <c r="L267" i="6"/>
  <c r="M267" i="6"/>
  <c r="M266" i="41" s="1"/>
  <c r="P266" i="41" s="1"/>
  <c r="AQ267" i="6"/>
  <c r="K267" i="6"/>
  <c r="AR267" i="6"/>
  <c r="O267" i="6"/>
  <c r="N266" i="41" s="1"/>
  <c r="AD267" i="6"/>
  <c r="AY267" i="6" s="1"/>
  <c r="BB267" i="6" s="1"/>
  <c r="S267" i="6"/>
  <c r="Y267" i="6"/>
  <c r="AH267" i="6"/>
  <c r="AF267" i="6"/>
  <c r="AE267" i="6"/>
  <c r="AG267" i="6"/>
  <c r="A268" i="6"/>
  <c r="O265" i="41"/>
  <c r="AW266" i="6"/>
  <c r="BF266" i="6" s="1"/>
  <c r="BG266" i="6" s="1"/>
  <c r="BH266" i="6" s="1"/>
  <c r="I265" i="41"/>
  <c r="H265" i="41"/>
  <c r="J265" i="41"/>
  <c r="X268" i="6" l="1"/>
  <c r="AX268" i="6" s="1"/>
  <c r="BA268" i="6" s="1"/>
  <c r="AJ268" i="6"/>
  <c r="Q268" i="6"/>
  <c r="AM268" i="6"/>
  <c r="AK268" i="6"/>
  <c r="AL268" i="6"/>
  <c r="AN268" i="6"/>
  <c r="AO268" i="6"/>
  <c r="F267" i="14"/>
  <c r="T267" i="14"/>
  <c r="AH267" i="14"/>
  <c r="O267" i="14"/>
  <c r="N267" i="14"/>
  <c r="S267" i="14"/>
  <c r="Z267" i="14"/>
  <c r="D267" i="14"/>
  <c r="K267" i="14"/>
  <c r="R267" i="14"/>
  <c r="L267" i="14"/>
  <c r="AJ267" i="14"/>
  <c r="P267" i="14"/>
  <c r="G267" i="14"/>
  <c r="C267" i="14"/>
  <c r="Y267" i="14"/>
  <c r="AI267" i="14"/>
  <c r="H267" i="14"/>
  <c r="AG267" i="14"/>
  <c r="AB267" i="14"/>
  <c r="AF267" i="14"/>
  <c r="AD267" i="14"/>
  <c r="Q267" i="14"/>
  <c r="W267" i="14"/>
  <c r="J267" i="14"/>
  <c r="AA267" i="14"/>
  <c r="M267" i="14"/>
  <c r="E267" i="14"/>
  <c r="AE267" i="14"/>
  <c r="I267" i="14"/>
  <c r="X267" i="14"/>
  <c r="U267" i="14"/>
  <c r="AC267" i="14"/>
  <c r="V267" i="14"/>
  <c r="G267" i="41"/>
  <c r="A267" i="41"/>
  <c r="D267" i="41" s="1"/>
  <c r="A268" i="14"/>
  <c r="B268" i="6"/>
  <c r="C268" i="6"/>
  <c r="B267" i="41" s="1"/>
  <c r="H268" i="6"/>
  <c r="AU268" i="6" s="1"/>
  <c r="D268" i="6"/>
  <c r="F268" i="6"/>
  <c r="E268" i="6"/>
  <c r="C267" i="41" s="1"/>
  <c r="G268" i="6"/>
  <c r="I268" i="6"/>
  <c r="J268" i="6"/>
  <c r="AV268" i="6" s="1"/>
  <c r="N268" i="6"/>
  <c r="V268" i="6"/>
  <c r="U268" i="6"/>
  <c r="AR268" i="6"/>
  <c r="Z268" i="6"/>
  <c r="Y268" i="6"/>
  <c r="S268" i="6"/>
  <c r="T268" i="6"/>
  <c r="R268" i="6"/>
  <c r="K268" i="6"/>
  <c r="AB268" i="6"/>
  <c r="O268" i="6"/>
  <c r="N267" i="41" s="1"/>
  <c r="M268" i="6"/>
  <c r="M267" i="41" s="1"/>
  <c r="P267" i="41" s="1"/>
  <c r="AD268" i="6"/>
  <c r="AY268" i="6" s="1"/>
  <c r="BB268" i="6" s="1"/>
  <c r="AA268" i="6"/>
  <c r="L268" i="6"/>
  <c r="AZ268" i="6"/>
  <c r="BC268" i="6" s="1"/>
  <c r="AH268" i="6"/>
  <c r="AQ268" i="6"/>
  <c r="AF268" i="6"/>
  <c r="AE268" i="6"/>
  <c r="AG268" i="6"/>
  <c r="A269" i="6"/>
  <c r="O266" i="41"/>
  <c r="AW267" i="6"/>
  <c r="BF267" i="6" s="1"/>
  <c r="BG267" i="6" s="1"/>
  <c r="BH267" i="6" s="1"/>
  <c r="I266" i="41"/>
  <c r="H266" i="41"/>
  <c r="J266" i="41"/>
  <c r="X269" i="6" l="1"/>
  <c r="AJ269" i="6"/>
  <c r="Q269" i="6"/>
  <c r="AK269" i="6"/>
  <c r="AL269" i="6"/>
  <c r="AM269" i="6"/>
  <c r="AN269" i="6"/>
  <c r="AO269" i="6"/>
  <c r="AJ268" i="14"/>
  <c r="H268" i="14"/>
  <c r="I268" i="14"/>
  <c r="N268" i="14"/>
  <c r="AF268" i="14"/>
  <c r="X268" i="14"/>
  <c r="AH268" i="14"/>
  <c r="M268" i="14"/>
  <c r="J268" i="14"/>
  <c r="AA268" i="14"/>
  <c r="O268" i="14"/>
  <c r="Z268" i="14"/>
  <c r="AD268" i="14"/>
  <c r="AC268" i="14"/>
  <c r="V268" i="14"/>
  <c r="D268" i="14"/>
  <c r="R268" i="14"/>
  <c r="AG268" i="14"/>
  <c r="Y268" i="14"/>
  <c r="F268" i="14"/>
  <c r="T268" i="14"/>
  <c r="U268" i="14"/>
  <c r="G268" i="14"/>
  <c r="W268" i="14"/>
  <c r="S268" i="14"/>
  <c r="L268" i="14"/>
  <c r="AE268" i="14"/>
  <c r="C268" i="14"/>
  <c r="AB268" i="14"/>
  <c r="E268" i="14"/>
  <c r="P268" i="14"/>
  <c r="K268" i="14"/>
  <c r="Q268" i="14"/>
  <c r="AI268" i="14"/>
  <c r="AW268" i="6"/>
  <c r="BF268" i="6" s="1"/>
  <c r="BG268" i="6" s="1"/>
  <c r="BH268" i="6" s="1"/>
  <c r="O267" i="41"/>
  <c r="H267" i="41"/>
  <c r="I267" i="41"/>
  <c r="J267" i="41"/>
  <c r="A269" i="14"/>
  <c r="E269" i="6"/>
  <c r="C268" i="41" s="1"/>
  <c r="G268" i="41"/>
  <c r="A268" i="41"/>
  <c r="D268" i="41" s="1"/>
  <c r="F269" i="6"/>
  <c r="G269" i="6"/>
  <c r="C269" i="6"/>
  <c r="B268" i="41" s="1"/>
  <c r="H269" i="6"/>
  <c r="AU269" i="6" s="1"/>
  <c r="B269" i="6"/>
  <c r="D269" i="6"/>
  <c r="I269" i="6"/>
  <c r="J269" i="6"/>
  <c r="AV269" i="6" s="1"/>
  <c r="U269" i="6"/>
  <c r="V269" i="6"/>
  <c r="L269" i="6"/>
  <c r="Y269" i="6"/>
  <c r="K269" i="6"/>
  <c r="AA269" i="6"/>
  <c r="AZ269" i="6"/>
  <c r="BC269" i="6" s="1"/>
  <c r="S269" i="6"/>
  <c r="AX269" i="6"/>
  <c r="BA269" i="6" s="1"/>
  <c r="R269" i="6"/>
  <c r="T269" i="6"/>
  <c r="N269" i="6"/>
  <c r="M269" i="6"/>
  <c r="M268" i="41" s="1"/>
  <c r="P268" i="41" s="1"/>
  <c r="AB269" i="6"/>
  <c r="AR269" i="6"/>
  <c r="AQ269" i="6"/>
  <c r="AH269" i="6"/>
  <c r="Z269" i="6"/>
  <c r="AD269" i="6"/>
  <c r="AY269" i="6" s="1"/>
  <c r="BB269" i="6" s="1"/>
  <c r="O269" i="6"/>
  <c r="N268" i="41" s="1"/>
  <c r="AE269" i="6"/>
  <c r="AF269" i="6"/>
  <c r="AG269" i="6"/>
  <c r="A270" i="6"/>
  <c r="X270" i="6" l="1"/>
  <c r="AX270" i="6" s="1"/>
  <c r="BA270" i="6" s="1"/>
  <c r="AJ270" i="6"/>
  <c r="Q270" i="6"/>
  <c r="AK270" i="6"/>
  <c r="AN270" i="6"/>
  <c r="AO270" i="6"/>
  <c r="AL270" i="6"/>
  <c r="AM270" i="6"/>
  <c r="AI269" i="14"/>
  <c r="H269" i="14"/>
  <c r="C269" i="14"/>
  <c r="Q269" i="14"/>
  <c r="Y269" i="14"/>
  <c r="AF269" i="14"/>
  <c r="AH269" i="14"/>
  <c r="AD269" i="14"/>
  <c r="AG269" i="14"/>
  <c r="AA269" i="14"/>
  <c r="Z269" i="14"/>
  <c r="M269" i="14"/>
  <c r="I269" i="14"/>
  <c r="J269" i="14"/>
  <c r="V269" i="14"/>
  <c r="R269" i="14"/>
  <c r="U269" i="14"/>
  <c r="E269" i="14"/>
  <c r="AC269" i="14"/>
  <c r="T269" i="14"/>
  <c r="G269" i="14"/>
  <c r="L269" i="14"/>
  <c r="D269" i="14"/>
  <c r="F269" i="14"/>
  <c r="S269" i="14"/>
  <c r="AE269" i="14"/>
  <c r="AB269" i="14"/>
  <c r="O269" i="14"/>
  <c r="W269" i="14"/>
  <c r="K269" i="14"/>
  <c r="N269" i="14"/>
  <c r="X269" i="14"/>
  <c r="AJ269" i="14"/>
  <c r="P269" i="14"/>
  <c r="AW269" i="6"/>
  <c r="BF269" i="6" s="1"/>
  <c r="BG269" i="6" s="1"/>
  <c r="BH269" i="6" s="1"/>
  <c r="O268" i="41"/>
  <c r="I268" i="41"/>
  <c r="H268" i="41"/>
  <c r="J268" i="41"/>
  <c r="G270" i="6"/>
  <c r="C270" i="6"/>
  <c r="B269" i="41" s="1"/>
  <c r="D270" i="6"/>
  <c r="F270" i="6"/>
  <c r="E270" i="6"/>
  <c r="C269" i="41" s="1"/>
  <c r="G269" i="41"/>
  <c r="A269" i="41"/>
  <c r="D269" i="41" s="1"/>
  <c r="A270" i="14"/>
  <c r="H270" i="6"/>
  <c r="AU270" i="6" s="1"/>
  <c r="B270" i="6"/>
  <c r="I270" i="6"/>
  <c r="J270" i="6"/>
  <c r="AV270" i="6" s="1"/>
  <c r="U270" i="6"/>
  <c r="V270" i="6"/>
  <c r="N270" i="6"/>
  <c r="Y270" i="6"/>
  <c r="T270" i="6"/>
  <c r="AD270" i="6"/>
  <c r="AY270" i="6" s="1"/>
  <c r="BB270" i="6" s="1"/>
  <c r="AR270" i="6"/>
  <c r="AZ270" i="6"/>
  <c r="BC270" i="6" s="1"/>
  <c r="L270" i="6"/>
  <c r="K270" i="6"/>
  <c r="S270" i="6"/>
  <c r="O270" i="6"/>
  <c r="N269" i="41" s="1"/>
  <c r="R270" i="6"/>
  <c r="Z270" i="6"/>
  <c r="AB270" i="6"/>
  <c r="AQ270" i="6"/>
  <c r="M270" i="6"/>
  <c r="M269" i="41" s="1"/>
  <c r="P269" i="41" s="1"/>
  <c r="AA270" i="6"/>
  <c r="AF270" i="6"/>
  <c r="AE270" i="6"/>
  <c r="AG270" i="6"/>
  <c r="AH270" i="6"/>
  <c r="A271" i="6"/>
  <c r="Q271" i="6" l="1"/>
  <c r="X271" i="6"/>
  <c r="AJ271" i="6"/>
  <c r="AN271" i="6"/>
  <c r="AK271" i="6"/>
  <c r="AL271" i="6"/>
  <c r="AM271" i="6"/>
  <c r="AO271" i="6"/>
  <c r="Y270" i="14"/>
  <c r="T270" i="14"/>
  <c r="Q270" i="14"/>
  <c r="C270" i="14"/>
  <c r="AH270" i="14"/>
  <c r="S270" i="14"/>
  <c r="E270" i="14"/>
  <c r="AD270" i="14"/>
  <c r="R270" i="14"/>
  <c r="V270" i="14"/>
  <c r="X270" i="14"/>
  <c r="M270" i="14"/>
  <c r="P270" i="14"/>
  <c r="O270" i="14"/>
  <c r="L270" i="14"/>
  <c r="J270" i="14"/>
  <c r="AI270" i="14"/>
  <c r="H270" i="14"/>
  <c r="D270" i="14"/>
  <c r="G270" i="14"/>
  <c r="AC270" i="14"/>
  <c r="AF270" i="14"/>
  <c r="AB270" i="14"/>
  <c r="AE270" i="14"/>
  <c r="Z270" i="14"/>
  <c r="F270" i="14"/>
  <c r="AJ270" i="14"/>
  <c r="K270" i="14"/>
  <c r="W270" i="14"/>
  <c r="U270" i="14"/>
  <c r="AG270" i="14"/>
  <c r="N270" i="14"/>
  <c r="I270" i="14"/>
  <c r="AA270" i="14"/>
  <c r="I269" i="41"/>
  <c r="H269" i="41"/>
  <c r="J269" i="41"/>
  <c r="O269" i="41"/>
  <c r="AW270" i="6"/>
  <c r="BF270" i="6" s="1"/>
  <c r="BG270" i="6" s="1"/>
  <c r="BH270" i="6" s="1"/>
  <c r="C271" i="6"/>
  <c r="B270" i="41" s="1"/>
  <c r="H271" i="6"/>
  <c r="AU271" i="6" s="1"/>
  <c r="D271" i="6"/>
  <c r="B271" i="6"/>
  <c r="A271" i="14"/>
  <c r="E271" i="6"/>
  <c r="C270" i="41" s="1"/>
  <c r="G270" i="41"/>
  <c r="A270" i="41"/>
  <c r="D270" i="41" s="1"/>
  <c r="F271" i="6"/>
  <c r="G271" i="6"/>
  <c r="J271" i="6"/>
  <c r="AV271" i="6" s="1"/>
  <c r="I271" i="6"/>
  <c r="N271" i="6"/>
  <c r="V271" i="6"/>
  <c r="U271" i="6"/>
  <c r="Z271" i="6"/>
  <c r="AZ271" i="6"/>
  <c r="BC271" i="6" s="1"/>
  <c r="S271" i="6"/>
  <c r="AA271" i="6"/>
  <c r="R271" i="6"/>
  <c r="K271" i="6"/>
  <c r="Y271" i="6"/>
  <c r="AX271" i="6"/>
  <c r="BA271" i="6" s="1"/>
  <c r="T271" i="6"/>
  <c r="O271" i="6"/>
  <c r="N270" i="41" s="1"/>
  <c r="AB271" i="6"/>
  <c r="M271" i="6"/>
  <c r="M270" i="41" s="1"/>
  <c r="P270" i="41" s="1"/>
  <c r="AD271" i="6"/>
  <c r="AY271" i="6" s="1"/>
  <c r="BB271" i="6" s="1"/>
  <c r="L271" i="6"/>
  <c r="AR271" i="6"/>
  <c r="AQ271" i="6"/>
  <c r="AH271" i="6"/>
  <c r="AG271" i="6"/>
  <c r="AE271" i="6"/>
  <c r="AF271" i="6"/>
  <c r="A272" i="6"/>
  <c r="AJ272" i="6" l="1"/>
  <c r="Q272" i="6"/>
  <c r="X272" i="6"/>
  <c r="AX272" i="6" s="1"/>
  <c r="BA272" i="6" s="1"/>
  <c r="AL272" i="6"/>
  <c r="AM272" i="6"/>
  <c r="AN272" i="6"/>
  <c r="AO272" i="6"/>
  <c r="AK272" i="6"/>
  <c r="I270" i="41"/>
  <c r="H270" i="41"/>
  <c r="J270" i="41"/>
  <c r="O270" i="41"/>
  <c r="AW271" i="6"/>
  <c r="BF271" i="6" s="1"/>
  <c r="BG271" i="6" s="1"/>
  <c r="BH271" i="6" s="1"/>
  <c r="AC271" i="14"/>
  <c r="T271" i="14"/>
  <c r="I271" i="14"/>
  <c r="X271" i="14"/>
  <c r="K271" i="14"/>
  <c r="F271" i="14"/>
  <c r="V271" i="14"/>
  <c r="AH271" i="14"/>
  <c r="O271" i="14"/>
  <c r="W271" i="14"/>
  <c r="S271" i="14"/>
  <c r="Z271" i="14"/>
  <c r="D271" i="14"/>
  <c r="C271" i="14"/>
  <c r="R271" i="14"/>
  <c r="AB271" i="14"/>
  <c r="AJ271" i="14"/>
  <c r="P271" i="14"/>
  <c r="G271" i="14"/>
  <c r="U271" i="14"/>
  <c r="Y271" i="14"/>
  <c r="AI271" i="14"/>
  <c r="H271" i="14"/>
  <c r="AG271" i="14"/>
  <c r="N271" i="14"/>
  <c r="AF271" i="14"/>
  <c r="AD271" i="14"/>
  <c r="Q271" i="14"/>
  <c r="L271" i="14"/>
  <c r="E271" i="14"/>
  <c r="AE271" i="14"/>
  <c r="J271" i="14"/>
  <c r="AA271" i="14"/>
  <c r="M271" i="14"/>
  <c r="F272" i="6"/>
  <c r="G271" i="41"/>
  <c r="A271" i="41"/>
  <c r="D271" i="41" s="1"/>
  <c r="A272" i="14"/>
  <c r="H272" i="6"/>
  <c r="AU272" i="6" s="1"/>
  <c r="B272" i="6"/>
  <c r="D272" i="6"/>
  <c r="C272" i="6"/>
  <c r="B271" i="41" s="1"/>
  <c r="E272" i="6"/>
  <c r="C271" i="41" s="1"/>
  <c r="G272" i="6"/>
  <c r="U272" i="6"/>
  <c r="J272" i="6"/>
  <c r="AV272" i="6" s="1"/>
  <c r="I272" i="6"/>
  <c r="N272" i="6"/>
  <c r="T272" i="6"/>
  <c r="O272" i="6"/>
  <c r="N271" i="41" s="1"/>
  <c r="V272" i="6"/>
  <c r="Y272" i="6"/>
  <c r="M272" i="6"/>
  <c r="M271" i="41" s="1"/>
  <c r="P271" i="41" s="1"/>
  <c r="S272" i="6"/>
  <c r="L272" i="6"/>
  <c r="AA272" i="6"/>
  <c r="AD272" i="6"/>
  <c r="AY272" i="6" s="1"/>
  <c r="BB272" i="6" s="1"/>
  <c r="R272" i="6"/>
  <c r="Z272" i="6"/>
  <c r="K272" i="6"/>
  <c r="AH272" i="6"/>
  <c r="AR272" i="6"/>
  <c r="AF272" i="6"/>
  <c r="AE272" i="6"/>
  <c r="AB272" i="6"/>
  <c r="AZ272" i="6"/>
  <c r="BC272" i="6" s="1"/>
  <c r="AG272" i="6"/>
  <c r="AQ272" i="6"/>
  <c r="A273" i="6"/>
  <c r="AJ273" i="6" l="1"/>
  <c r="Q273" i="6"/>
  <c r="X273" i="6"/>
  <c r="AX273" i="6" s="1"/>
  <c r="BA273" i="6" s="1"/>
  <c r="AL273" i="6"/>
  <c r="AO273" i="6"/>
  <c r="AK273" i="6"/>
  <c r="AM273" i="6"/>
  <c r="AN273" i="6"/>
  <c r="O271" i="41"/>
  <c r="AW272" i="6"/>
  <c r="BF272" i="6" s="1"/>
  <c r="BG272" i="6" s="1"/>
  <c r="BH272" i="6" s="1"/>
  <c r="AJ272" i="14"/>
  <c r="H272" i="14"/>
  <c r="I272" i="14"/>
  <c r="AD272" i="14"/>
  <c r="J272" i="14"/>
  <c r="AF272" i="14"/>
  <c r="X272" i="14"/>
  <c r="AH272" i="14"/>
  <c r="C272" i="14"/>
  <c r="AC272" i="14"/>
  <c r="AA272" i="14"/>
  <c r="O272" i="14"/>
  <c r="Z272" i="14"/>
  <c r="W272" i="14"/>
  <c r="F272" i="14"/>
  <c r="S272" i="14"/>
  <c r="D272" i="14"/>
  <c r="R272" i="14"/>
  <c r="E272" i="14"/>
  <c r="V272" i="14"/>
  <c r="U272" i="14"/>
  <c r="G272" i="14"/>
  <c r="AE272" i="14"/>
  <c r="Y272" i="14"/>
  <c r="T272" i="14"/>
  <c r="L272" i="14"/>
  <c r="Q272" i="14"/>
  <c r="N272" i="14"/>
  <c r="AB272" i="14"/>
  <c r="AG272" i="14"/>
  <c r="M272" i="14"/>
  <c r="AI272" i="14"/>
  <c r="P272" i="14"/>
  <c r="K272" i="14"/>
  <c r="D273" i="6"/>
  <c r="H273" i="6"/>
  <c r="AU273" i="6" s="1"/>
  <c r="E273" i="6"/>
  <c r="C272" i="41" s="1"/>
  <c r="F273" i="6"/>
  <c r="G272" i="41"/>
  <c r="G273" i="6"/>
  <c r="A272" i="41"/>
  <c r="D272" i="41" s="1"/>
  <c r="A273" i="14"/>
  <c r="B273" i="6"/>
  <c r="C273" i="6"/>
  <c r="B272" i="41" s="1"/>
  <c r="V273" i="6"/>
  <c r="N273" i="6"/>
  <c r="U273" i="6"/>
  <c r="J273" i="6"/>
  <c r="AV273" i="6" s="1"/>
  <c r="I273" i="6"/>
  <c r="S273" i="6"/>
  <c r="T273" i="6"/>
  <c r="R273" i="6"/>
  <c r="L273" i="6"/>
  <c r="Z273" i="6"/>
  <c r="O273" i="6"/>
  <c r="N272" i="41" s="1"/>
  <c r="M273" i="6"/>
  <c r="M272" i="41" s="1"/>
  <c r="P272" i="41" s="1"/>
  <c r="Y273" i="6"/>
  <c r="K273" i="6"/>
  <c r="AB273" i="6"/>
  <c r="AA273" i="6"/>
  <c r="AD273" i="6"/>
  <c r="AY273" i="6" s="1"/>
  <c r="BB273" i="6" s="1"/>
  <c r="AZ273" i="6"/>
  <c r="BC273" i="6" s="1"/>
  <c r="AR273" i="6"/>
  <c r="AH273" i="6"/>
  <c r="AQ273" i="6"/>
  <c r="AF273" i="6"/>
  <c r="AG273" i="6"/>
  <c r="AE273" i="6"/>
  <c r="A274" i="6"/>
  <c r="I271" i="41"/>
  <c r="H271" i="41"/>
  <c r="J271" i="41"/>
  <c r="AJ274" i="6" l="1"/>
  <c r="Q274" i="6"/>
  <c r="X274" i="6"/>
  <c r="AO274" i="6"/>
  <c r="AK274" i="6"/>
  <c r="AL274" i="6"/>
  <c r="AM274" i="6"/>
  <c r="AN274" i="6"/>
  <c r="AW273" i="6"/>
  <c r="BF273" i="6" s="1"/>
  <c r="BG273" i="6" s="1"/>
  <c r="BH273" i="6" s="1"/>
  <c r="O272" i="41"/>
  <c r="C274" i="6"/>
  <c r="B273" i="41" s="1"/>
  <c r="F274" i="6"/>
  <c r="B274" i="6"/>
  <c r="G274" i="6"/>
  <c r="A274" i="14"/>
  <c r="D274" i="6"/>
  <c r="E274" i="6"/>
  <c r="C273" i="41" s="1"/>
  <c r="G273" i="41"/>
  <c r="H274" i="6"/>
  <c r="AU274" i="6" s="1"/>
  <c r="A273" i="41"/>
  <c r="D273" i="41" s="1"/>
  <c r="N274" i="6"/>
  <c r="I274" i="6"/>
  <c r="J274" i="6"/>
  <c r="AV274" i="6" s="1"/>
  <c r="U274" i="6"/>
  <c r="V274" i="6"/>
  <c r="S274" i="6"/>
  <c r="R274" i="6"/>
  <c r="T274" i="6"/>
  <c r="L274" i="6"/>
  <c r="AB274" i="6"/>
  <c r="AZ274" i="6"/>
  <c r="BC274" i="6" s="1"/>
  <c r="K274" i="6"/>
  <c r="M274" i="6"/>
  <c r="M273" i="41" s="1"/>
  <c r="P273" i="41" s="1"/>
  <c r="AH274" i="6"/>
  <c r="O274" i="6"/>
  <c r="N273" i="41" s="1"/>
  <c r="Y274" i="6"/>
  <c r="Z274" i="6"/>
  <c r="AA274" i="6"/>
  <c r="AD274" i="6"/>
  <c r="AY274" i="6" s="1"/>
  <c r="BB274" i="6" s="1"/>
  <c r="AQ274" i="6"/>
  <c r="AR274" i="6"/>
  <c r="AF274" i="6"/>
  <c r="AE274" i="6"/>
  <c r="AG274" i="6"/>
  <c r="AX274" i="6"/>
  <c r="BA274" i="6" s="1"/>
  <c r="A275" i="6"/>
  <c r="T273" i="14"/>
  <c r="AE273" i="14"/>
  <c r="AB273" i="14"/>
  <c r="D273" i="14"/>
  <c r="S273" i="14"/>
  <c r="W273" i="14"/>
  <c r="K273" i="14"/>
  <c r="P273" i="14"/>
  <c r="N273" i="14"/>
  <c r="E273" i="14"/>
  <c r="AJ273" i="14"/>
  <c r="H273" i="14"/>
  <c r="C273" i="14"/>
  <c r="Q273" i="14"/>
  <c r="Y273" i="14"/>
  <c r="AI273" i="14"/>
  <c r="AH273" i="14"/>
  <c r="AD273" i="14"/>
  <c r="O273" i="14"/>
  <c r="J273" i="14"/>
  <c r="AF273" i="14"/>
  <c r="Z273" i="14"/>
  <c r="M273" i="14"/>
  <c r="AG273" i="14"/>
  <c r="AC273" i="14"/>
  <c r="AA273" i="14"/>
  <c r="R273" i="14"/>
  <c r="U273" i="14"/>
  <c r="X273" i="14"/>
  <c r="I273" i="14"/>
  <c r="F273" i="14"/>
  <c r="V273" i="14"/>
  <c r="G273" i="14"/>
  <c r="L273" i="14"/>
  <c r="I272" i="41"/>
  <c r="H272" i="41"/>
  <c r="J272" i="41"/>
  <c r="X275" i="6" l="1"/>
  <c r="AJ275" i="6"/>
  <c r="Q275" i="6"/>
  <c r="AM275" i="6"/>
  <c r="AN275" i="6"/>
  <c r="AO275" i="6"/>
  <c r="AK275" i="6"/>
  <c r="AL275" i="6"/>
  <c r="AC274" i="14"/>
  <c r="T274" i="14"/>
  <c r="E274" i="14"/>
  <c r="AD274" i="14"/>
  <c r="Z274" i="14"/>
  <c r="F274" i="14"/>
  <c r="S274" i="14"/>
  <c r="X274" i="14"/>
  <c r="M274" i="14"/>
  <c r="P274" i="14"/>
  <c r="O274" i="14"/>
  <c r="U274" i="14"/>
  <c r="AI274" i="14"/>
  <c r="H274" i="14"/>
  <c r="D274" i="14"/>
  <c r="R274" i="14"/>
  <c r="AJ274" i="14"/>
  <c r="AB274" i="14"/>
  <c r="AE274" i="14"/>
  <c r="L274" i="14"/>
  <c r="Y274" i="14"/>
  <c r="AF274" i="14"/>
  <c r="K274" i="14"/>
  <c r="W274" i="14"/>
  <c r="AH274" i="14"/>
  <c r="AA274" i="14"/>
  <c r="AG274" i="14"/>
  <c r="N274" i="14"/>
  <c r="I274" i="14"/>
  <c r="J274" i="14"/>
  <c r="V274" i="14"/>
  <c r="Q274" i="14"/>
  <c r="C274" i="14"/>
  <c r="G274" i="14"/>
  <c r="O273" i="41"/>
  <c r="AW274" i="6"/>
  <c r="BF274" i="6" s="1"/>
  <c r="BG274" i="6" s="1"/>
  <c r="BH274" i="6" s="1"/>
  <c r="A274" i="41"/>
  <c r="D274" i="41" s="1"/>
  <c r="E275" i="6"/>
  <c r="C274" i="41" s="1"/>
  <c r="B275" i="6"/>
  <c r="C275" i="6"/>
  <c r="B274" i="41" s="1"/>
  <c r="G275" i="6"/>
  <c r="A275" i="14"/>
  <c r="F275" i="6"/>
  <c r="H275" i="6"/>
  <c r="AU275" i="6" s="1"/>
  <c r="D275" i="6"/>
  <c r="G274" i="41"/>
  <c r="J275" i="6"/>
  <c r="AV275" i="6" s="1"/>
  <c r="U275" i="6"/>
  <c r="I275" i="6"/>
  <c r="V275" i="6"/>
  <c r="N275" i="6"/>
  <c r="T275" i="6"/>
  <c r="S275" i="6"/>
  <c r="R275" i="6"/>
  <c r="AX275" i="6"/>
  <c r="BA275" i="6" s="1"/>
  <c r="AB275" i="6"/>
  <c r="Y275" i="6"/>
  <c r="AD275" i="6"/>
  <c r="AY275" i="6" s="1"/>
  <c r="BB275" i="6" s="1"/>
  <c r="AR275" i="6"/>
  <c r="M275" i="6"/>
  <c r="M274" i="41" s="1"/>
  <c r="P274" i="41" s="1"/>
  <c r="AZ275" i="6"/>
  <c r="BC275" i="6" s="1"/>
  <c r="AH275" i="6"/>
  <c r="AA275" i="6"/>
  <c r="Z275" i="6"/>
  <c r="L275" i="6"/>
  <c r="K275" i="6"/>
  <c r="AF275" i="6"/>
  <c r="AE275" i="6"/>
  <c r="O275" i="6"/>
  <c r="N274" i="41" s="1"/>
  <c r="AQ275" i="6"/>
  <c r="AG275" i="6"/>
  <c r="A276" i="6"/>
  <c r="H273" i="41"/>
  <c r="I273" i="41"/>
  <c r="J273" i="41"/>
  <c r="X276" i="6" l="1"/>
  <c r="AJ276" i="6"/>
  <c r="AZ276" i="6" s="1"/>
  <c r="BC276" i="6" s="1"/>
  <c r="Q276" i="6"/>
  <c r="AM276" i="6"/>
  <c r="AK276" i="6"/>
  <c r="AL276" i="6"/>
  <c r="AN276" i="6"/>
  <c r="AO276" i="6"/>
  <c r="I274" i="41"/>
  <c r="H274" i="41"/>
  <c r="J274" i="41"/>
  <c r="O274" i="41"/>
  <c r="AW275" i="6"/>
  <c r="BF275" i="6" s="1"/>
  <c r="BG275" i="6" s="1"/>
  <c r="BH275" i="6" s="1"/>
  <c r="AA275" i="14"/>
  <c r="M275" i="14"/>
  <c r="E275" i="14"/>
  <c r="AB275" i="14"/>
  <c r="AI275" i="14"/>
  <c r="I275" i="14"/>
  <c r="X275" i="14"/>
  <c r="W275" i="14"/>
  <c r="J275" i="14"/>
  <c r="V275" i="14"/>
  <c r="AH275" i="14"/>
  <c r="O275" i="14"/>
  <c r="U275" i="14"/>
  <c r="AC275" i="14"/>
  <c r="T275" i="14"/>
  <c r="Z275" i="14"/>
  <c r="D275" i="14"/>
  <c r="N275" i="14"/>
  <c r="F275" i="14"/>
  <c r="S275" i="14"/>
  <c r="R275" i="14"/>
  <c r="L275" i="14"/>
  <c r="P275" i="14"/>
  <c r="G275" i="14"/>
  <c r="AE275" i="14"/>
  <c r="Y275" i="14"/>
  <c r="AJ275" i="14"/>
  <c r="H275" i="14"/>
  <c r="AG275" i="14"/>
  <c r="K275" i="14"/>
  <c r="AF275" i="14"/>
  <c r="AD275" i="14"/>
  <c r="Q275" i="14"/>
  <c r="C275" i="14"/>
  <c r="E276" i="6"/>
  <c r="C275" i="41" s="1"/>
  <c r="B276" i="6"/>
  <c r="G275" i="41"/>
  <c r="F276" i="6"/>
  <c r="G276" i="6"/>
  <c r="A275" i="41"/>
  <c r="D275" i="41" s="1"/>
  <c r="A276" i="14"/>
  <c r="H276" i="6"/>
  <c r="AU276" i="6" s="1"/>
  <c r="D276" i="6"/>
  <c r="I276" i="6"/>
  <c r="J276" i="6"/>
  <c r="AV276" i="6" s="1"/>
  <c r="C276" i="6"/>
  <c r="B275" i="41" s="1"/>
  <c r="N276" i="6"/>
  <c r="V276" i="6"/>
  <c r="U276" i="6"/>
  <c r="S276" i="6"/>
  <c r="R276" i="6"/>
  <c r="T276" i="6"/>
  <c r="AB276" i="6"/>
  <c r="L276" i="6"/>
  <c r="AX276" i="6"/>
  <c r="BA276" i="6" s="1"/>
  <c r="AD276" i="6"/>
  <c r="AY276" i="6" s="1"/>
  <c r="BB276" i="6" s="1"/>
  <c r="AQ276" i="6"/>
  <c r="K276" i="6"/>
  <c r="O276" i="6"/>
  <c r="N275" i="41" s="1"/>
  <c r="AH276" i="6"/>
  <c r="Z276" i="6"/>
  <c r="Y276" i="6"/>
  <c r="AE276" i="6"/>
  <c r="AG276" i="6"/>
  <c r="AA276" i="6"/>
  <c r="M276" i="6"/>
  <c r="M275" i="41" s="1"/>
  <c r="P275" i="41" s="1"/>
  <c r="AR276" i="6"/>
  <c r="AF276" i="6"/>
  <c r="A277" i="6"/>
  <c r="X277" i="6" l="1"/>
  <c r="AX277" i="6" s="1"/>
  <c r="BA277" i="6" s="1"/>
  <c r="AJ277" i="6"/>
  <c r="Q277" i="6"/>
  <c r="AK277" i="6"/>
  <c r="AL277" i="6"/>
  <c r="AM277" i="6"/>
  <c r="AN277" i="6"/>
  <c r="AO277" i="6"/>
  <c r="AI276" i="14"/>
  <c r="H276" i="14"/>
  <c r="I276" i="14"/>
  <c r="AG276" i="14"/>
  <c r="AF276" i="14"/>
  <c r="X276" i="14"/>
  <c r="AH276" i="14"/>
  <c r="M276" i="14"/>
  <c r="AJ276" i="14"/>
  <c r="O276" i="14"/>
  <c r="Z276" i="14"/>
  <c r="AE276" i="14"/>
  <c r="J276" i="14"/>
  <c r="AA276" i="14"/>
  <c r="D276" i="14"/>
  <c r="R276" i="14"/>
  <c r="E276" i="14"/>
  <c r="AC276" i="14"/>
  <c r="V276" i="14"/>
  <c r="U276" i="14"/>
  <c r="G276" i="14"/>
  <c r="AD276" i="14"/>
  <c r="F276" i="14"/>
  <c r="T276" i="14"/>
  <c r="L276" i="14"/>
  <c r="W276" i="14"/>
  <c r="C276" i="14"/>
  <c r="Y276" i="14"/>
  <c r="S276" i="14"/>
  <c r="AB276" i="14"/>
  <c r="Q276" i="14"/>
  <c r="P276" i="14"/>
  <c r="K276" i="14"/>
  <c r="N276" i="14"/>
  <c r="AW276" i="6"/>
  <c r="BF276" i="6" s="1"/>
  <c r="BG276" i="6" s="1"/>
  <c r="BH276" i="6" s="1"/>
  <c r="O275" i="41"/>
  <c r="I275" i="41"/>
  <c r="H275" i="41"/>
  <c r="J275" i="41"/>
  <c r="E277" i="6"/>
  <c r="C276" i="41" s="1"/>
  <c r="C277" i="6"/>
  <c r="B276" i="41" s="1"/>
  <c r="H277" i="6"/>
  <c r="AU277" i="6" s="1"/>
  <c r="G276" i="41"/>
  <c r="A276" i="41"/>
  <c r="D276" i="41" s="1"/>
  <c r="F277" i="6"/>
  <c r="B277" i="6"/>
  <c r="G277" i="6"/>
  <c r="A277" i="14"/>
  <c r="D277" i="6"/>
  <c r="N277" i="6"/>
  <c r="I277" i="6"/>
  <c r="V277" i="6"/>
  <c r="R277" i="6"/>
  <c r="J277" i="6"/>
  <c r="AV277" i="6" s="1"/>
  <c r="U277" i="6"/>
  <c r="T277" i="6"/>
  <c r="Z277" i="6"/>
  <c r="AB277" i="6"/>
  <c r="AR277" i="6"/>
  <c r="L277" i="6"/>
  <c r="M277" i="6"/>
  <c r="M276" i="41" s="1"/>
  <c r="P276" i="41" s="1"/>
  <c r="AD277" i="6"/>
  <c r="AY277" i="6" s="1"/>
  <c r="BB277" i="6" s="1"/>
  <c r="AH277" i="6"/>
  <c r="K277" i="6"/>
  <c r="Y277" i="6"/>
  <c r="AQ277" i="6"/>
  <c r="O277" i="6"/>
  <c r="N276" i="41" s="1"/>
  <c r="S277" i="6"/>
  <c r="AA277" i="6"/>
  <c r="AZ277" i="6"/>
  <c r="BC277" i="6" s="1"/>
  <c r="AF277" i="6"/>
  <c r="AE277" i="6"/>
  <c r="AG277" i="6"/>
  <c r="A278" i="6"/>
  <c r="X278" i="6" l="1"/>
  <c r="AX278" i="6" s="1"/>
  <c r="BA278" i="6" s="1"/>
  <c r="AJ278" i="6"/>
  <c r="Q278" i="6"/>
  <c r="AK278" i="6"/>
  <c r="AN278" i="6"/>
  <c r="AO278" i="6"/>
  <c r="AL278" i="6"/>
  <c r="AM278" i="6"/>
  <c r="Y277" i="14"/>
  <c r="S277" i="14"/>
  <c r="G277" i="14"/>
  <c r="L277" i="14"/>
  <c r="D277" i="14"/>
  <c r="AE277" i="14"/>
  <c r="AB277" i="14"/>
  <c r="X277" i="14"/>
  <c r="AJ277" i="14"/>
  <c r="W277" i="14"/>
  <c r="K277" i="14"/>
  <c r="AI277" i="14"/>
  <c r="P277" i="14"/>
  <c r="N277" i="14"/>
  <c r="Q277" i="14"/>
  <c r="J277" i="14"/>
  <c r="AF277" i="14"/>
  <c r="H277" i="14"/>
  <c r="C277" i="14"/>
  <c r="O277" i="14"/>
  <c r="AC277" i="14"/>
  <c r="AA277" i="14"/>
  <c r="AH277" i="14"/>
  <c r="AD277" i="14"/>
  <c r="AG277" i="14"/>
  <c r="F277" i="14"/>
  <c r="V277" i="14"/>
  <c r="Z277" i="14"/>
  <c r="M277" i="14"/>
  <c r="I277" i="14"/>
  <c r="T277" i="14"/>
  <c r="R277" i="14"/>
  <c r="U277" i="14"/>
  <c r="E277" i="14"/>
  <c r="AW277" i="6"/>
  <c r="BF277" i="6" s="1"/>
  <c r="BG277" i="6" s="1"/>
  <c r="BH277" i="6" s="1"/>
  <c r="O276" i="41"/>
  <c r="H276" i="41"/>
  <c r="I276" i="41"/>
  <c r="J276" i="41"/>
  <c r="A277" i="41"/>
  <c r="D277" i="41" s="1"/>
  <c r="H278" i="6"/>
  <c r="AU278" i="6" s="1"/>
  <c r="F278" i="6"/>
  <c r="A278" i="14"/>
  <c r="B278" i="6"/>
  <c r="C278" i="6"/>
  <c r="B277" i="41" s="1"/>
  <c r="G278" i="6"/>
  <c r="D278" i="6"/>
  <c r="G277" i="41"/>
  <c r="E278" i="6"/>
  <c r="C277" i="41" s="1"/>
  <c r="I278" i="6"/>
  <c r="J278" i="6"/>
  <c r="AV278" i="6" s="1"/>
  <c r="U278" i="6"/>
  <c r="V278" i="6"/>
  <c r="N278" i="6"/>
  <c r="R278" i="6"/>
  <c r="T278" i="6"/>
  <c r="O278" i="6"/>
  <c r="N277" i="41" s="1"/>
  <c r="AH278" i="6"/>
  <c r="Y278" i="6"/>
  <c r="AA278" i="6"/>
  <c r="AD278" i="6"/>
  <c r="AY278" i="6" s="1"/>
  <c r="BB278" i="6" s="1"/>
  <c r="AZ278" i="6"/>
  <c r="BC278" i="6" s="1"/>
  <c r="AQ278" i="6"/>
  <c r="S278" i="6"/>
  <c r="Z278" i="6"/>
  <c r="L278" i="6"/>
  <c r="M278" i="6"/>
  <c r="M277" i="41" s="1"/>
  <c r="P277" i="41" s="1"/>
  <c r="AB278" i="6"/>
  <c r="AR278" i="6"/>
  <c r="K278" i="6"/>
  <c r="AG278" i="6"/>
  <c r="AF278" i="6"/>
  <c r="AE278" i="6"/>
  <c r="A279" i="6"/>
  <c r="Q279" i="6" l="1"/>
  <c r="X279" i="6"/>
  <c r="AJ279" i="6"/>
  <c r="AN279" i="6"/>
  <c r="AK279" i="6"/>
  <c r="AL279" i="6"/>
  <c r="AM279" i="6"/>
  <c r="AO279" i="6"/>
  <c r="I277" i="41"/>
  <c r="H277" i="41"/>
  <c r="J277" i="41"/>
  <c r="O277" i="41"/>
  <c r="AW278" i="6"/>
  <c r="BF278" i="6" s="1"/>
  <c r="BG278" i="6" s="1"/>
  <c r="BH278" i="6" s="1"/>
  <c r="AG278" i="14"/>
  <c r="N278" i="14"/>
  <c r="L278" i="14"/>
  <c r="AI278" i="14"/>
  <c r="Q278" i="14"/>
  <c r="C278" i="14"/>
  <c r="I278" i="14"/>
  <c r="J278" i="14"/>
  <c r="AF278" i="14"/>
  <c r="E278" i="14"/>
  <c r="AD278" i="14"/>
  <c r="AH278" i="14"/>
  <c r="Y278" i="14"/>
  <c r="AC278" i="14"/>
  <c r="AJ278" i="14"/>
  <c r="X278" i="14"/>
  <c r="M278" i="14"/>
  <c r="F278" i="14"/>
  <c r="AA278" i="14"/>
  <c r="P278" i="14"/>
  <c r="O278" i="14"/>
  <c r="G278" i="14"/>
  <c r="T278" i="14"/>
  <c r="H278" i="14"/>
  <c r="D278" i="14"/>
  <c r="Z278" i="14"/>
  <c r="S278" i="14"/>
  <c r="AB278" i="14"/>
  <c r="AE278" i="14"/>
  <c r="U278" i="14"/>
  <c r="V278" i="14"/>
  <c r="K278" i="14"/>
  <c r="W278" i="14"/>
  <c r="R278" i="14"/>
  <c r="A278" i="41"/>
  <c r="D278" i="41" s="1"/>
  <c r="C279" i="6"/>
  <c r="B278" i="41" s="1"/>
  <c r="A279" i="14"/>
  <c r="D279" i="6"/>
  <c r="E279" i="6"/>
  <c r="C278" i="41" s="1"/>
  <c r="F279" i="6"/>
  <c r="B279" i="6"/>
  <c r="H279" i="6"/>
  <c r="AU279" i="6" s="1"/>
  <c r="G278" i="41"/>
  <c r="G279" i="6"/>
  <c r="N279" i="6"/>
  <c r="J279" i="6"/>
  <c r="AV279" i="6" s="1"/>
  <c r="I279" i="6"/>
  <c r="V279" i="6"/>
  <c r="U279" i="6"/>
  <c r="S279" i="6"/>
  <c r="R279" i="6"/>
  <c r="T279" i="6"/>
  <c r="M279" i="6"/>
  <c r="M278" i="41" s="1"/>
  <c r="P278" i="41" s="1"/>
  <c r="AB279" i="6"/>
  <c r="AH279" i="6"/>
  <c r="Y279" i="6"/>
  <c r="AD279" i="6"/>
  <c r="AY279" i="6" s="1"/>
  <c r="BB279" i="6" s="1"/>
  <c r="AZ279" i="6"/>
  <c r="BC279" i="6" s="1"/>
  <c r="AQ279" i="6"/>
  <c r="AA279" i="6"/>
  <c r="AR279" i="6"/>
  <c r="Z279" i="6"/>
  <c r="L279" i="6"/>
  <c r="AX279" i="6"/>
  <c r="BA279" i="6" s="1"/>
  <c r="K279" i="6"/>
  <c r="AF279" i="6"/>
  <c r="O279" i="6"/>
  <c r="N278" i="41" s="1"/>
  <c r="AE279" i="6"/>
  <c r="AG279" i="6"/>
  <c r="A280" i="6"/>
  <c r="AJ280" i="6" l="1"/>
  <c r="Q280" i="6"/>
  <c r="X280" i="6"/>
  <c r="AX280" i="6" s="1"/>
  <c r="BA280" i="6" s="1"/>
  <c r="AL280" i="6"/>
  <c r="AM280" i="6"/>
  <c r="AN280" i="6"/>
  <c r="AO280" i="6"/>
  <c r="AK280" i="6"/>
  <c r="H278" i="41"/>
  <c r="I278" i="41"/>
  <c r="J278" i="41"/>
  <c r="O278" i="41"/>
  <c r="AW279" i="6"/>
  <c r="BF279" i="6" s="1"/>
  <c r="BG279" i="6" s="1"/>
  <c r="BH279" i="6" s="1"/>
  <c r="G279" i="14"/>
  <c r="C279" i="14"/>
  <c r="AG279" i="14"/>
  <c r="W279" i="14"/>
  <c r="AF279" i="14"/>
  <c r="Q279" i="14"/>
  <c r="H279" i="14"/>
  <c r="D279" i="14"/>
  <c r="AA279" i="14"/>
  <c r="E279" i="14"/>
  <c r="V279" i="14"/>
  <c r="Z279" i="14"/>
  <c r="Y279" i="14"/>
  <c r="T279" i="14"/>
  <c r="P279" i="14"/>
  <c r="X279" i="14"/>
  <c r="J279" i="14"/>
  <c r="S279" i="14"/>
  <c r="AD279" i="14"/>
  <c r="U279" i="14"/>
  <c r="AC279" i="14"/>
  <c r="AJ279" i="14"/>
  <c r="M279" i="14"/>
  <c r="N279" i="14"/>
  <c r="F279" i="14"/>
  <c r="AB279" i="14"/>
  <c r="I279" i="14"/>
  <c r="AE279" i="14"/>
  <c r="AI279" i="14"/>
  <c r="O279" i="14"/>
  <c r="L279" i="14"/>
  <c r="AH279" i="14"/>
  <c r="R279" i="14"/>
  <c r="K279" i="14"/>
  <c r="G280" i="6"/>
  <c r="F280" i="6"/>
  <c r="B280" i="6"/>
  <c r="D280" i="6"/>
  <c r="C280" i="6"/>
  <c r="B279" i="41" s="1"/>
  <c r="G279" i="41"/>
  <c r="A280" i="14"/>
  <c r="H280" i="6"/>
  <c r="AU280" i="6" s="1"/>
  <c r="A279" i="41"/>
  <c r="D279" i="41" s="1"/>
  <c r="E280" i="6"/>
  <c r="C279" i="41" s="1"/>
  <c r="V280" i="6"/>
  <c r="J280" i="6"/>
  <c r="AV280" i="6" s="1"/>
  <c r="I280" i="6"/>
  <c r="N280" i="6"/>
  <c r="T280" i="6"/>
  <c r="U280" i="6"/>
  <c r="S280" i="6"/>
  <c r="R280" i="6"/>
  <c r="L280" i="6"/>
  <c r="AB280" i="6"/>
  <c r="K280" i="6"/>
  <c r="AD280" i="6"/>
  <c r="AY280" i="6" s="1"/>
  <c r="BB280" i="6" s="1"/>
  <c r="O280" i="6"/>
  <c r="N279" i="41" s="1"/>
  <c r="M280" i="6"/>
  <c r="M279" i="41" s="1"/>
  <c r="P279" i="41" s="1"/>
  <c r="AZ280" i="6"/>
  <c r="BC280" i="6" s="1"/>
  <c r="AQ280" i="6"/>
  <c r="AA280" i="6"/>
  <c r="AR280" i="6"/>
  <c r="Z280" i="6"/>
  <c r="AH280" i="6"/>
  <c r="AF280" i="6"/>
  <c r="Y280" i="6"/>
  <c r="AE280" i="6"/>
  <c r="AG280" i="6"/>
  <c r="A281" i="6"/>
  <c r="AJ281" i="6" l="1"/>
  <c r="AZ281" i="6" s="1"/>
  <c r="BC281" i="6" s="1"/>
  <c r="Q281" i="6"/>
  <c r="X281" i="6"/>
  <c r="AL281" i="6"/>
  <c r="AO281" i="6"/>
  <c r="AK281" i="6"/>
  <c r="AM281" i="6"/>
  <c r="AN281" i="6"/>
  <c r="O279" i="41"/>
  <c r="AW280" i="6"/>
  <c r="BF280" i="6" s="1"/>
  <c r="BG280" i="6" s="1"/>
  <c r="BH280" i="6" s="1"/>
  <c r="AC280" i="14"/>
  <c r="S280" i="14"/>
  <c r="D280" i="14"/>
  <c r="R280" i="14"/>
  <c r="W280" i="14"/>
  <c r="F280" i="14"/>
  <c r="T280" i="14"/>
  <c r="U280" i="14"/>
  <c r="G280" i="14"/>
  <c r="Q280" i="14"/>
  <c r="V280" i="14"/>
  <c r="L280" i="14"/>
  <c r="AG280" i="14"/>
  <c r="N280" i="14"/>
  <c r="AB280" i="14"/>
  <c r="M280" i="14"/>
  <c r="AI280" i="14"/>
  <c r="P280" i="14"/>
  <c r="K280" i="14"/>
  <c r="AE280" i="14"/>
  <c r="Y280" i="14"/>
  <c r="AJ280" i="14"/>
  <c r="H280" i="14"/>
  <c r="I280" i="14"/>
  <c r="E280" i="14"/>
  <c r="AF280" i="14"/>
  <c r="X280" i="14"/>
  <c r="AH280" i="14"/>
  <c r="AD280" i="14"/>
  <c r="J280" i="14"/>
  <c r="C280" i="14"/>
  <c r="AA280" i="14"/>
  <c r="O280" i="14"/>
  <c r="Z280" i="14"/>
  <c r="I279" i="41"/>
  <c r="H279" i="41"/>
  <c r="J279" i="41"/>
  <c r="C281" i="6"/>
  <c r="B280" i="41" s="1"/>
  <c r="G280" i="41"/>
  <c r="H281" i="6"/>
  <c r="AU281" i="6" s="1"/>
  <c r="A280" i="41"/>
  <c r="D280" i="41" s="1"/>
  <c r="D281" i="6"/>
  <c r="G281" i="6"/>
  <c r="B281" i="6"/>
  <c r="F281" i="6"/>
  <c r="A281" i="14"/>
  <c r="E281" i="6"/>
  <c r="C280" i="41" s="1"/>
  <c r="V281" i="6"/>
  <c r="U281" i="6"/>
  <c r="I281" i="6"/>
  <c r="J281" i="6"/>
  <c r="AV281" i="6" s="1"/>
  <c r="N281" i="6"/>
  <c r="T281" i="6"/>
  <c r="R281" i="6"/>
  <c r="M281" i="6"/>
  <c r="M280" i="41" s="1"/>
  <c r="P280" i="41" s="1"/>
  <c r="AB281" i="6"/>
  <c r="AR281" i="6"/>
  <c r="AA281" i="6"/>
  <c r="AD281" i="6"/>
  <c r="AY281" i="6" s="1"/>
  <c r="BB281" i="6" s="1"/>
  <c r="AQ281" i="6"/>
  <c r="AX281" i="6"/>
  <c r="BA281" i="6" s="1"/>
  <c r="S281" i="6"/>
  <c r="L281" i="6"/>
  <c r="Z281" i="6"/>
  <c r="K281" i="6"/>
  <c r="Y281" i="6"/>
  <c r="O281" i="6"/>
  <c r="N280" i="41" s="1"/>
  <c r="AE281" i="6"/>
  <c r="AH281" i="6"/>
  <c r="AG281" i="6"/>
  <c r="AF281" i="6"/>
  <c r="A282" i="6"/>
  <c r="AJ282" i="6" l="1"/>
  <c r="AZ282" i="6" s="1"/>
  <c r="BC282" i="6" s="1"/>
  <c r="Q282" i="6"/>
  <c r="X282" i="6"/>
  <c r="AO282" i="6"/>
  <c r="AK282" i="6"/>
  <c r="AL282" i="6"/>
  <c r="AM282" i="6"/>
  <c r="AN282" i="6"/>
  <c r="AE281" i="14"/>
  <c r="AB281" i="14"/>
  <c r="D281" i="14"/>
  <c r="J281" i="14"/>
  <c r="AJ281" i="14"/>
  <c r="W281" i="14"/>
  <c r="K281" i="14"/>
  <c r="AC281" i="14"/>
  <c r="AF281" i="14"/>
  <c r="P281" i="14"/>
  <c r="N281" i="14"/>
  <c r="X281" i="14"/>
  <c r="F281" i="14"/>
  <c r="AA281" i="14"/>
  <c r="AH281" i="14"/>
  <c r="AD281" i="14"/>
  <c r="O281" i="14"/>
  <c r="V281" i="14"/>
  <c r="Z281" i="14"/>
  <c r="M281" i="14"/>
  <c r="AG281" i="14"/>
  <c r="T281" i="14"/>
  <c r="R281" i="14"/>
  <c r="U281" i="14"/>
  <c r="I281" i="14"/>
  <c r="S281" i="14"/>
  <c r="Y281" i="14"/>
  <c r="H281" i="14"/>
  <c r="G281" i="14"/>
  <c r="C281" i="14"/>
  <c r="L281" i="14"/>
  <c r="Q281" i="14"/>
  <c r="E281" i="14"/>
  <c r="AI281" i="14"/>
  <c r="O280" i="41"/>
  <c r="AW281" i="6"/>
  <c r="BF281" i="6" s="1"/>
  <c r="BG281" i="6" s="1"/>
  <c r="BH281" i="6" s="1"/>
  <c r="A281" i="41"/>
  <c r="D281" i="41" s="1"/>
  <c r="D282" i="6"/>
  <c r="A282" i="14"/>
  <c r="C282" i="6"/>
  <c r="B281" i="41" s="1"/>
  <c r="E282" i="6"/>
  <c r="C281" i="41" s="1"/>
  <c r="B282" i="6"/>
  <c r="G282" i="6"/>
  <c r="F282" i="6"/>
  <c r="G281" i="41"/>
  <c r="H282" i="6"/>
  <c r="AU282" i="6" s="1"/>
  <c r="I282" i="6"/>
  <c r="J282" i="6"/>
  <c r="AV282" i="6" s="1"/>
  <c r="N282" i="6"/>
  <c r="U282" i="6"/>
  <c r="V282" i="6"/>
  <c r="T282" i="6"/>
  <c r="R282" i="6"/>
  <c r="S282" i="6"/>
  <c r="M282" i="6"/>
  <c r="M281" i="41" s="1"/>
  <c r="P281" i="41" s="1"/>
  <c r="AX282" i="6"/>
  <c r="BA282" i="6" s="1"/>
  <c r="AQ282" i="6"/>
  <c r="Z282" i="6"/>
  <c r="AR282" i="6"/>
  <c r="AH282" i="6"/>
  <c r="Y282" i="6"/>
  <c r="L282" i="6"/>
  <c r="AA282" i="6"/>
  <c r="K282" i="6"/>
  <c r="AB282" i="6"/>
  <c r="AF282" i="6"/>
  <c r="AE282" i="6"/>
  <c r="AD282" i="6"/>
  <c r="AY282" i="6" s="1"/>
  <c r="BB282" i="6" s="1"/>
  <c r="AG282" i="6"/>
  <c r="O282" i="6"/>
  <c r="N281" i="41" s="1"/>
  <c r="A283" i="6"/>
  <c r="H280" i="41"/>
  <c r="I280" i="41"/>
  <c r="J280" i="41"/>
  <c r="X283" i="6" l="1"/>
  <c r="AJ283" i="6"/>
  <c r="Q283" i="6"/>
  <c r="AM283" i="6"/>
  <c r="AN283" i="6"/>
  <c r="AO283" i="6"/>
  <c r="AK283" i="6"/>
  <c r="AL283" i="6"/>
  <c r="F282" i="14"/>
  <c r="AA282" i="14"/>
  <c r="K282" i="14"/>
  <c r="W282" i="14"/>
  <c r="I282" i="14"/>
  <c r="V282" i="14"/>
  <c r="AG282" i="14"/>
  <c r="N282" i="14"/>
  <c r="G282" i="14"/>
  <c r="T282" i="14"/>
  <c r="Q282" i="14"/>
  <c r="C282" i="14"/>
  <c r="Z282" i="14"/>
  <c r="X282" i="14"/>
  <c r="M282" i="14"/>
  <c r="AI282" i="14"/>
  <c r="P282" i="14"/>
  <c r="O282" i="14"/>
  <c r="R282" i="14"/>
  <c r="J282" i="14"/>
  <c r="AF282" i="14"/>
  <c r="H282" i="14"/>
  <c r="D282" i="14"/>
  <c r="L282" i="14"/>
  <c r="AC282" i="14"/>
  <c r="E282" i="14"/>
  <c r="AE282" i="14"/>
  <c r="AD282" i="14"/>
  <c r="AH282" i="14"/>
  <c r="U282" i="14"/>
  <c r="AJ282" i="14"/>
  <c r="S282" i="14"/>
  <c r="Y282" i="14"/>
  <c r="AB282" i="14"/>
  <c r="H281" i="41"/>
  <c r="I281" i="41"/>
  <c r="J281" i="41"/>
  <c r="O281" i="41"/>
  <c r="AW282" i="6"/>
  <c r="BF282" i="6" s="1"/>
  <c r="BG282" i="6" s="1"/>
  <c r="BH282" i="6" s="1"/>
  <c r="A282" i="41"/>
  <c r="D282" i="41" s="1"/>
  <c r="A283" i="14"/>
  <c r="C283" i="6"/>
  <c r="B282" i="41" s="1"/>
  <c r="B283" i="6"/>
  <c r="H283" i="6"/>
  <c r="AU283" i="6" s="1"/>
  <c r="G282" i="41"/>
  <c r="D283" i="6"/>
  <c r="E283" i="6"/>
  <c r="C282" i="41" s="1"/>
  <c r="G283" i="6"/>
  <c r="I283" i="6"/>
  <c r="J283" i="6"/>
  <c r="AV283" i="6" s="1"/>
  <c r="V283" i="6"/>
  <c r="U283" i="6"/>
  <c r="F283" i="6"/>
  <c r="N283" i="6"/>
  <c r="S283" i="6"/>
  <c r="AA283" i="6"/>
  <c r="AR283" i="6"/>
  <c r="L283" i="6"/>
  <c r="R283" i="6"/>
  <c r="K283" i="6"/>
  <c r="AQ283" i="6"/>
  <c r="O283" i="6"/>
  <c r="N282" i="41" s="1"/>
  <c r="AX283" i="6"/>
  <c r="BA283" i="6" s="1"/>
  <c r="AB283" i="6"/>
  <c r="M283" i="6"/>
  <c r="M282" i="41" s="1"/>
  <c r="P282" i="41" s="1"/>
  <c r="AD283" i="6"/>
  <c r="AY283" i="6" s="1"/>
  <c r="BB283" i="6" s="1"/>
  <c r="AH283" i="6"/>
  <c r="T283" i="6"/>
  <c r="Z283" i="6"/>
  <c r="AZ283" i="6"/>
  <c r="BC283" i="6" s="1"/>
  <c r="AG283" i="6"/>
  <c r="Y283" i="6"/>
  <c r="AF283" i="6"/>
  <c r="AE283" i="6"/>
  <c r="A284" i="6"/>
  <c r="X284" i="6" l="1"/>
  <c r="AJ284" i="6"/>
  <c r="Q284" i="6"/>
  <c r="AM284" i="6"/>
  <c r="AK284" i="6"/>
  <c r="AL284" i="6"/>
  <c r="AN284" i="6"/>
  <c r="AO284" i="6"/>
  <c r="O282" i="41"/>
  <c r="AW283" i="6"/>
  <c r="BF283" i="6" s="1"/>
  <c r="BG283" i="6" s="1"/>
  <c r="BH283" i="6" s="1"/>
  <c r="H282" i="41"/>
  <c r="I282" i="41"/>
  <c r="J282" i="41"/>
  <c r="G284" i="6"/>
  <c r="F284" i="6"/>
  <c r="D284" i="6"/>
  <c r="E284" i="6"/>
  <c r="C283" i="41" s="1"/>
  <c r="G283" i="41"/>
  <c r="A284" i="14"/>
  <c r="C284" i="6"/>
  <c r="B283" i="41" s="1"/>
  <c r="A283" i="41"/>
  <c r="D283" i="41" s="1"/>
  <c r="H284" i="6"/>
  <c r="AU284" i="6" s="1"/>
  <c r="B284" i="6"/>
  <c r="I284" i="6"/>
  <c r="J284" i="6"/>
  <c r="AV284" i="6" s="1"/>
  <c r="V284" i="6"/>
  <c r="U284" i="6"/>
  <c r="N284" i="6"/>
  <c r="T284" i="6"/>
  <c r="S284" i="6"/>
  <c r="R284" i="6"/>
  <c r="AX284" i="6"/>
  <c r="BA284" i="6" s="1"/>
  <c r="AR284" i="6"/>
  <c r="AH284" i="6"/>
  <c r="Z284" i="6"/>
  <c r="AB284" i="6"/>
  <c r="Y284" i="6"/>
  <c r="AD284" i="6"/>
  <c r="AY284" i="6" s="1"/>
  <c r="BB284" i="6" s="1"/>
  <c r="L284" i="6"/>
  <c r="M284" i="6"/>
  <c r="M283" i="41" s="1"/>
  <c r="P283" i="41" s="1"/>
  <c r="AA284" i="6"/>
  <c r="K284" i="6"/>
  <c r="AZ284" i="6"/>
  <c r="BC284" i="6" s="1"/>
  <c r="AF284" i="6"/>
  <c r="O284" i="6"/>
  <c r="N283" i="41" s="1"/>
  <c r="AE284" i="6"/>
  <c r="AQ284" i="6"/>
  <c r="AG284" i="6"/>
  <c r="A285" i="6"/>
  <c r="AC283" i="14"/>
  <c r="F283" i="14"/>
  <c r="Y283" i="14"/>
  <c r="AJ283" i="14"/>
  <c r="H283" i="14"/>
  <c r="AG283" i="14"/>
  <c r="W283" i="14"/>
  <c r="AI283" i="14"/>
  <c r="AD283" i="14"/>
  <c r="Q283" i="14"/>
  <c r="U283" i="14"/>
  <c r="AF283" i="14"/>
  <c r="M283" i="14"/>
  <c r="E283" i="14"/>
  <c r="N283" i="14"/>
  <c r="AA283" i="14"/>
  <c r="I283" i="14"/>
  <c r="X283" i="14"/>
  <c r="L283" i="14"/>
  <c r="V283" i="14"/>
  <c r="AH283" i="14"/>
  <c r="O283" i="14"/>
  <c r="AE283" i="14"/>
  <c r="J283" i="14"/>
  <c r="T283" i="14"/>
  <c r="Z283" i="14"/>
  <c r="D283" i="14"/>
  <c r="K283" i="14"/>
  <c r="S283" i="14"/>
  <c r="R283" i="14"/>
  <c r="C283" i="14"/>
  <c r="P283" i="14"/>
  <c r="G283" i="14"/>
  <c r="AB283" i="14"/>
  <c r="X285" i="6" l="1"/>
  <c r="AX285" i="6" s="1"/>
  <c r="BA285" i="6" s="1"/>
  <c r="AJ285" i="6"/>
  <c r="Q285" i="6"/>
  <c r="AK285" i="6"/>
  <c r="AL285" i="6"/>
  <c r="AM285" i="6"/>
  <c r="AN285" i="6"/>
  <c r="AO285" i="6"/>
  <c r="B285" i="6"/>
  <c r="F285" i="6"/>
  <c r="G284" i="41"/>
  <c r="A285" i="14"/>
  <c r="H285" i="6"/>
  <c r="AU285" i="6" s="1"/>
  <c r="D285" i="6"/>
  <c r="A284" i="41"/>
  <c r="D284" i="41" s="1"/>
  <c r="E285" i="6"/>
  <c r="C284" i="41" s="1"/>
  <c r="C285" i="6"/>
  <c r="B284" i="41" s="1"/>
  <c r="G285" i="6"/>
  <c r="J285" i="6"/>
  <c r="AV285" i="6" s="1"/>
  <c r="U285" i="6"/>
  <c r="N285" i="6"/>
  <c r="R285" i="6"/>
  <c r="I285" i="6"/>
  <c r="V285" i="6"/>
  <c r="T285" i="6"/>
  <c r="L285" i="6"/>
  <c r="AA285" i="6"/>
  <c r="AB285" i="6"/>
  <c r="AH285" i="6"/>
  <c r="K285" i="6"/>
  <c r="AD285" i="6"/>
  <c r="AY285" i="6" s="1"/>
  <c r="BB285" i="6" s="1"/>
  <c r="AR285" i="6"/>
  <c r="O285" i="6"/>
  <c r="N284" i="41" s="1"/>
  <c r="S285" i="6"/>
  <c r="Z285" i="6"/>
  <c r="M285" i="6"/>
  <c r="M284" i="41" s="1"/>
  <c r="P284" i="41" s="1"/>
  <c r="AQ285" i="6"/>
  <c r="AG285" i="6"/>
  <c r="AZ285" i="6"/>
  <c r="BC285" i="6" s="1"/>
  <c r="AF285" i="6"/>
  <c r="Y285" i="6"/>
  <c r="AE285" i="6"/>
  <c r="A286" i="6"/>
  <c r="O283" i="41"/>
  <c r="AW284" i="6"/>
  <c r="BF284" i="6" s="1"/>
  <c r="BG284" i="6" s="1"/>
  <c r="BH284" i="6" s="1"/>
  <c r="T284" i="14"/>
  <c r="L284" i="14"/>
  <c r="Q284" i="14"/>
  <c r="W284" i="14"/>
  <c r="S284" i="14"/>
  <c r="AB284" i="14"/>
  <c r="N284" i="14"/>
  <c r="P284" i="14"/>
  <c r="K284" i="14"/>
  <c r="AG284" i="14"/>
  <c r="J284" i="14"/>
  <c r="AI284" i="14"/>
  <c r="H284" i="14"/>
  <c r="I284" i="14"/>
  <c r="M284" i="14"/>
  <c r="AC284" i="14"/>
  <c r="AF284" i="14"/>
  <c r="X284" i="14"/>
  <c r="AH284" i="14"/>
  <c r="AE284" i="14"/>
  <c r="F284" i="14"/>
  <c r="AJ284" i="14"/>
  <c r="O284" i="14"/>
  <c r="Z284" i="14"/>
  <c r="E284" i="14"/>
  <c r="AA284" i="14"/>
  <c r="D284" i="14"/>
  <c r="R284" i="14"/>
  <c r="AD284" i="14"/>
  <c r="V284" i="14"/>
  <c r="U284" i="14"/>
  <c r="G284" i="14"/>
  <c r="C284" i="14"/>
  <c r="Y284" i="14"/>
  <c r="H283" i="41"/>
  <c r="I283" i="41"/>
  <c r="J283" i="41"/>
  <c r="X286" i="6" l="1"/>
  <c r="AX286" i="6" s="1"/>
  <c r="BA286" i="6" s="1"/>
  <c r="AJ286" i="6"/>
  <c r="Q286" i="6"/>
  <c r="AK286" i="6"/>
  <c r="AN286" i="6"/>
  <c r="AO286" i="6"/>
  <c r="AL286" i="6"/>
  <c r="AM286" i="6"/>
  <c r="O284" i="41"/>
  <c r="AW285" i="6"/>
  <c r="BF285" i="6" s="1"/>
  <c r="BG285" i="6" s="1"/>
  <c r="BH285" i="6" s="1"/>
  <c r="V285" i="14"/>
  <c r="G285" i="14"/>
  <c r="L285" i="14"/>
  <c r="Q285" i="14"/>
  <c r="T285" i="14"/>
  <c r="AE285" i="14"/>
  <c r="AB285" i="14"/>
  <c r="O285" i="14"/>
  <c r="Y285" i="14"/>
  <c r="S285" i="14"/>
  <c r="W285" i="14"/>
  <c r="K285" i="14"/>
  <c r="P285" i="14"/>
  <c r="N285" i="14"/>
  <c r="AG285" i="14"/>
  <c r="AJ285" i="14"/>
  <c r="H285" i="14"/>
  <c r="C285" i="14"/>
  <c r="I285" i="14"/>
  <c r="J285" i="14"/>
  <c r="AF285" i="14"/>
  <c r="AH285" i="14"/>
  <c r="AD285" i="14"/>
  <c r="E285" i="14"/>
  <c r="AC285" i="14"/>
  <c r="AI285" i="14"/>
  <c r="Z285" i="14"/>
  <c r="M285" i="14"/>
  <c r="D285" i="14"/>
  <c r="R285" i="14"/>
  <c r="U285" i="14"/>
  <c r="X285" i="14"/>
  <c r="F285" i="14"/>
  <c r="AA285" i="14"/>
  <c r="I284" i="41"/>
  <c r="H284" i="41"/>
  <c r="J284" i="41"/>
  <c r="G286" i="6"/>
  <c r="B286" i="6"/>
  <c r="G285" i="41"/>
  <c r="A286" i="14"/>
  <c r="A285" i="41"/>
  <c r="D285" i="41" s="1"/>
  <c r="C286" i="6"/>
  <c r="B285" i="41" s="1"/>
  <c r="F286" i="6"/>
  <c r="H286" i="6"/>
  <c r="AU286" i="6" s="1"/>
  <c r="D286" i="6"/>
  <c r="E286" i="6"/>
  <c r="C285" i="41" s="1"/>
  <c r="J286" i="6"/>
  <c r="AV286" i="6" s="1"/>
  <c r="I286" i="6"/>
  <c r="U286" i="6"/>
  <c r="N286" i="6"/>
  <c r="V286" i="6"/>
  <c r="S286" i="6"/>
  <c r="AH286" i="6"/>
  <c r="T286" i="6"/>
  <c r="M286" i="6"/>
  <c r="M285" i="41" s="1"/>
  <c r="P285" i="41" s="1"/>
  <c r="AA286" i="6"/>
  <c r="L286" i="6"/>
  <c r="AB286" i="6"/>
  <c r="R286" i="6"/>
  <c r="Z286" i="6"/>
  <c r="K286" i="6"/>
  <c r="AD286" i="6"/>
  <c r="AY286" i="6" s="1"/>
  <c r="BB286" i="6" s="1"/>
  <c r="O286" i="6"/>
  <c r="N285" i="41" s="1"/>
  <c r="Y286" i="6"/>
  <c r="AZ286" i="6"/>
  <c r="BC286" i="6" s="1"/>
  <c r="AR286" i="6"/>
  <c r="AF286" i="6"/>
  <c r="AE286" i="6"/>
  <c r="AG286" i="6"/>
  <c r="AQ286" i="6"/>
  <c r="A287" i="6"/>
  <c r="Q287" i="6" l="1"/>
  <c r="X287" i="6"/>
  <c r="AX287" i="6" s="1"/>
  <c r="BA287" i="6" s="1"/>
  <c r="AJ287" i="6"/>
  <c r="AN287" i="6"/>
  <c r="AK287" i="6"/>
  <c r="AL287" i="6"/>
  <c r="AM287" i="6"/>
  <c r="AO287" i="6"/>
  <c r="O285" i="41"/>
  <c r="AW286" i="6"/>
  <c r="BF286" i="6" s="1"/>
  <c r="BG286" i="6" s="1"/>
  <c r="BH286" i="6" s="1"/>
  <c r="AI286" i="14"/>
  <c r="H286" i="14"/>
  <c r="D286" i="14"/>
  <c r="U286" i="14"/>
  <c r="AF286" i="14"/>
  <c r="AB286" i="14"/>
  <c r="AE286" i="14"/>
  <c r="R286" i="14"/>
  <c r="AA286" i="14"/>
  <c r="K286" i="14"/>
  <c r="W286" i="14"/>
  <c r="L286" i="14"/>
  <c r="Y286" i="14"/>
  <c r="AJ286" i="14"/>
  <c r="AG286" i="14"/>
  <c r="N286" i="14"/>
  <c r="AH286" i="14"/>
  <c r="T286" i="14"/>
  <c r="Q286" i="14"/>
  <c r="C286" i="14"/>
  <c r="I286" i="14"/>
  <c r="J286" i="14"/>
  <c r="S286" i="14"/>
  <c r="E286" i="14"/>
  <c r="AD286" i="14"/>
  <c r="G286" i="14"/>
  <c r="AC286" i="14"/>
  <c r="V286" i="14"/>
  <c r="X286" i="14"/>
  <c r="M286" i="14"/>
  <c r="O286" i="14"/>
  <c r="Z286" i="14"/>
  <c r="F286" i="14"/>
  <c r="P286" i="14"/>
  <c r="I285" i="41"/>
  <c r="H285" i="41"/>
  <c r="J285" i="41"/>
  <c r="A287" i="14"/>
  <c r="D287" i="6"/>
  <c r="E287" i="6"/>
  <c r="C286" i="41" s="1"/>
  <c r="F287" i="6"/>
  <c r="G286" i="41"/>
  <c r="B287" i="6"/>
  <c r="A286" i="41"/>
  <c r="D286" i="41" s="1"/>
  <c r="C287" i="6"/>
  <c r="B286" i="41" s="1"/>
  <c r="H287" i="6"/>
  <c r="AU287" i="6" s="1"/>
  <c r="G287" i="6"/>
  <c r="N287" i="6"/>
  <c r="J287" i="6"/>
  <c r="AV287" i="6" s="1"/>
  <c r="I287" i="6"/>
  <c r="U287" i="6"/>
  <c r="V287" i="6"/>
  <c r="S287" i="6"/>
  <c r="R287" i="6"/>
  <c r="M287" i="6"/>
  <c r="M286" i="41" s="1"/>
  <c r="P286" i="41" s="1"/>
  <c r="AH287" i="6"/>
  <c r="AQ287" i="6"/>
  <c r="L287" i="6"/>
  <c r="Z287" i="6"/>
  <c r="K287" i="6"/>
  <c r="Y287" i="6"/>
  <c r="AB287" i="6"/>
  <c r="AR287" i="6"/>
  <c r="O287" i="6"/>
  <c r="N286" i="41" s="1"/>
  <c r="AD287" i="6"/>
  <c r="AY287" i="6" s="1"/>
  <c r="BB287" i="6" s="1"/>
  <c r="AZ287" i="6"/>
  <c r="BC287" i="6" s="1"/>
  <c r="T287" i="6"/>
  <c r="AF287" i="6"/>
  <c r="AA287" i="6"/>
  <c r="AE287" i="6"/>
  <c r="AG287" i="6"/>
  <c r="A288" i="6"/>
  <c r="AJ288" i="6" l="1"/>
  <c r="AZ288" i="6" s="1"/>
  <c r="BC288" i="6" s="1"/>
  <c r="Q288" i="6"/>
  <c r="X288" i="6"/>
  <c r="AL288" i="6"/>
  <c r="AM288" i="6"/>
  <c r="AN288" i="6"/>
  <c r="AO288" i="6"/>
  <c r="AK288" i="6"/>
  <c r="AJ287" i="14"/>
  <c r="P287" i="14"/>
  <c r="G287" i="14"/>
  <c r="L287" i="14"/>
  <c r="Y287" i="14"/>
  <c r="AI287" i="14"/>
  <c r="H287" i="14"/>
  <c r="AG287" i="14"/>
  <c r="AE287" i="14"/>
  <c r="AF287" i="14"/>
  <c r="AD287" i="14"/>
  <c r="Q287" i="14"/>
  <c r="K287" i="14"/>
  <c r="J287" i="14"/>
  <c r="AA287" i="14"/>
  <c r="M287" i="14"/>
  <c r="E287" i="14"/>
  <c r="C287" i="14"/>
  <c r="AC287" i="14"/>
  <c r="T287" i="14"/>
  <c r="I287" i="14"/>
  <c r="X287" i="14"/>
  <c r="AB287" i="14"/>
  <c r="F287" i="14"/>
  <c r="V287" i="14"/>
  <c r="AH287" i="14"/>
  <c r="O287" i="14"/>
  <c r="W287" i="14"/>
  <c r="S287" i="14"/>
  <c r="Z287" i="14"/>
  <c r="D287" i="14"/>
  <c r="U287" i="14"/>
  <c r="N287" i="14"/>
  <c r="R287" i="14"/>
  <c r="AW287" i="6"/>
  <c r="BF287" i="6" s="1"/>
  <c r="BG287" i="6" s="1"/>
  <c r="BH287" i="6" s="1"/>
  <c r="O286" i="41"/>
  <c r="I286" i="41"/>
  <c r="H286" i="41"/>
  <c r="J286" i="41"/>
  <c r="H288" i="6"/>
  <c r="AU288" i="6" s="1"/>
  <c r="C288" i="6"/>
  <c r="B287" i="41" s="1"/>
  <c r="B288" i="6"/>
  <c r="F288" i="6"/>
  <c r="G287" i="41"/>
  <c r="D288" i="6"/>
  <c r="A287" i="41"/>
  <c r="D287" i="41" s="1"/>
  <c r="G288" i="6"/>
  <c r="E288" i="6"/>
  <c r="C287" i="41" s="1"/>
  <c r="I288" i="6"/>
  <c r="A288" i="14"/>
  <c r="U288" i="6"/>
  <c r="N288" i="6"/>
  <c r="J288" i="6"/>
  <c r="AV288" i="6" s="1"/>
  <c r="T288" i="6"/>
  <c r="S288" i="6"/>
  <c r="Z288" i="6"/>
  <c r="K288" i="6"/>
  <c r="AB288" i="6"/>
  <c r="O288" i="6"/>
  <c r="N287" i="41" s="1"/>
  <c r="AD288" i="6"/>
  <c r="AY288" i="6" s="1"/>
  <c r="BB288" i="6" s="1"/>
  <c r="AA288" i="6"/>
  <c r="R288" i="6"/>
  <c r="AX288" i="6"/>
  <c r="BA288" i="6" s="1"/>
  <c r="AQ288" i="6"/>
  <c r="V288" i="6"/>
  <c r="Y288" i="6"/>
  <c r="AR288" i="6"/>
  <c r="M288" i="6"/>
  <c r="M287" i="41" s="1"/>
  <c r="P287" i="41" s="1"/>
  <c r="AE288" i="6"/>
  <c r="AH288" i="6"/>
  <c r="AG288" i="6"/>
  <c r="AF288" i="6"/>
  <c r="L288" i="6"/>
  <c r="A289" i="6"/>
  <c r="AJ289" i="6" l="1"/>
  <c r="AZ289" i="6" s="1"/>
  <c r="BC289" i="6" s="1"/>
  <c r="Q289" i="6"/>
  <c r="X289" i="6"/>
  <c r="AL289" i="6"/>
  <c r="AO289" i="6"/>
  <c r="AK289" i="6"/>
  <c r="AM289" i="6"/>
  <c r="AN289" i="6"/>
  <c r="O287" i="41"/>
  <c r="AW288" i="6"/>
  <c r="BF288" i="6" s="1"/>
  <c r="BG288" i="6" s="1"/>
  <c r="BH288" i="6" s="1"/>
  <c r="I287" i="41"/>
  <c r="H287" i="41"/>
  <c r="J287" i="41"/>
  <c r="Y288" i="14"/>
  <c r="AA288" i="14"/>
  <c r="D288" i="14"/>
  <c r="R288" i="14"/>
  <c r="M288" i="14"/>
  <c r="S288" i="14"/>
  <c r="U288" i="14"/>
  <c r="G288" i="14"/>
  <c r="AE288" i="14"/>
  <c r="V288" i="14"/>
  <c r="L288" i="14"/>
  <c r="AD288" i="14"/>
  <c r="E288" i="14"/>
  <c r="T288" i="14"/>
  <c r="AB288" i="14"/>
  <c r="C288" i="14"/>
  <c r="P288" i="14"/>
  <c r="K288" i="14"/>
  <c r="W288" i="14"/>
  <c r="J288" i="14"/>
  <c r="AI288" i="14"/>
  <c r="H288" i="14"/>
  <c r="I288" i="14"/>
  <c r="Q288" i="14"/>
  <c r="AC288" i="14"/>
  <c r="AJ288" i="14"/>
  <c r="X288" i="14"/>
  <c r="AH288" i="14"/>
  <c r="N288" i="14"/>
  <c r="AG288" i="14"/>
  <c r="F288" i="14"/>
  <c r="AF288" i="14"/>
  <c r="O288" i="14"/>
  <c r="Z288" i="14"/>
  <c r="A288" i="41"/>
  <c r="D288" i="41" s="1"/>
  <c r="C289" i="6"/>
  <c r="B288" i="41" s="1"/>
  <c r="B289" i="6"/>
  <c r="D289" i="6"/>
  <c r="E289" i="6"/>
  <c r="C288" i="41" s="1"/>
  <c r="H289" i="6"/>
  <c r="AU289" i="6" s="1"/>
  <c r="F289" i="6"/>
  <c r="A289" i="14"/>
  <c r="G289" i="6"/>
  <c r="G288" i="41"/>
  <c r="N289" i="6"/>
  <c r="V289" i="6"/>
  <c r="I289" i="6"/>
  <c r="U289" i="6"/>
  <c r="J289" i="6"/>
  <c r="AV289" i="6" s="1"/>
  <c r="T289" i="6"/>
  <c r="S289" i="6"/>
  <c r="R289" i="6"/>
  <c r="L289" i="6"/>
  <c r="K289" i="6"/>
  <c r="O289" i="6"/>
  <c r="N288" i="41" s="1"/>
  <c r="Y289" i="6"/>
  <c r="M289" i="6"/>
  <c r="M288" i="41" s="1"/>
  <c r="P288" i="41" s="1"/>
  <c r="AD289" i="6"/>
  <c r="AY289" i="6" s="1"/>
  <c r="BB289" i="6" s="1"/>
  <c r="AR289" i="6"/>
  <c r="AA289" i="6"/>
  <c r="AQ289" i="6"/>
  <c r="Z289" i="6"/>
  <c r="AX289" i="6"/>
  <c r="BA289" i="6" s="1"/>
  <c r="AB289" i="6"/>
  <c r="AH289" i="6"/>
  <c r="AF289" i="6"/>
  <c r="AE289" i="6"/>
  <c r="AG289" i="6"/>
  <c r="A290" i="6"/>
  <c r="AJ290" i="6" l="1"/>
  <c r="Q290" i="6"/>
  <c r="X290" i="6"/>
  <c r="AO290" i="6"/>
  <c r="AK290" i="6"/>
  <c r="AL290" i="6"/>
  <c r="AM290" i="6"/>
  <c r="AN290" i="6"/>
  <c r="Y289" i="14"/>
  <c r="AF289" i="14"/>
  <c r="H289" i="14"/>
  <c r="C289" i="14"/>
  <c r="O289" i="14"/>
  <c r="AI289" i="14"/>
  <c r="AH289" i="14"/>
  <c r="AD289" i="14"/>
  <c r="AG289" i="14"/>
  <c r="J289" i="14"/>
  <c r="AA289" i="14"/>
  <c r="Z289" i="14"/>
  <c r="M289" i="14"/>
  <c r="I289" i="14"/>
  <c r="AC289" i="14"/>
  <c r="V289" i="14"/>
  <c r="R289" i="14"/>
  <c r="U289" i="14"/>
  <c r="E289" i="14"/>
  <c r="F289" i="14"/>
  <c r="T289" i="14"/>
  <c r="G289" i="14"/>
  <c r="L289" i="14"/>
  <c r="D289" i="14"/>
  <c r="S289" i="14"/>
  <c r="AE289" i="14"/>
  <c r="AB289" i="14"/>
  <c r="X289" i="14"/>
  <c r="W289" i="14"/>
  <c r="K289" i="14"/>
  <c r="AJ289" i="14"/>
  <c r="P289" i="14"/>
  <c r="N289" i="14"/>
  <c r="Q289" i="14"/>
  <c r="O288" i="41"/>
  <c r="AW289" i="6"/>
  <c r="BF289" i="6" s="1"/>
  <c r="BG289" i="6" s="1"/>
  <c r="BH289" i="6" s="1"/>
  <c r="C290" i="6"/>
  <c r="B289" i="41" s="1"/>
  <c r="E290" i="6"/>
  <c r="C289" i="41" s="1"/>
  <c r="G289" i="41"/>
  <c r="A289" i="41"/>
  <c r="D289" i="41" s="1"/>
  <c r="F290" i="6"/>
  <c r="G290" i="6"/>
  <c r="A290" i="14"/>
  <c r="H290" i="6"/>
  <c r="AU290" i="6" s="1"/>
  <c r="B290" i="6"/>
  <c r="D290" i="6"/>
  <c r="I290" i="6"/>
  <c r="J290" i="6"/>
  <c r="AV290" i="6" s="1"/>
  <c r="N290" i="6"/>
  <c r="V290" i="6"/>
  <c r="U290" i="6"/>
  <c r="T290" i="6"/>
  <c r="S290" i="6"/>
  <c r="R290" i="6"/>
  <c r="O290" i="6"/>
  <c r="N289" i="41" s="1"/>
  <c r="Y290" i="6"/>
  <c r="AA290" i="6"/>
  <c r="AD290" i="6"/>
  <c r="AY290" i="6" s="1"/>
  <c r="BB290" i="6" s="1"/>
  <c r="AR290" i="6"/>
  <c r="AX290" i="6"/>
  <c r="BA290" i="6" s="1"/>
  <c r="AH290" i="6"/>
  <c r="Z290" i="6"/>
  <c r="AZ290" i="6"/>
  <c r="BC290" i="6" s="1"/>
  <c r="L290" i="6"/>
  <c r="AQ290" i="6"/>
  <c r="AG290" i="6"/>
  <c r="K290" i="6"/>
  <c r="AB290" i="6"/>
  <c r="M290" i="6"/>
  <c r="M289" i="41" s="1"/>
  <c r="P289" i="41" s="1"/>
  <c r="AF290" i="6"/>
  <c r="AE290" i="6"/>
  <c r="A291" i="6"/>
  <c r="I288" i="41"/>
  <c r="H288" i="41"/>
  <c r="J288" i="41"/>
  <c r="X291" i="6" l="1"/>
  <c r="AX291" i="6" s="1"/>
  <c r="BA291" i="6" s="1"/>
  <c r="AJ291" i="6"/>
  <c r="Q291" i="6"/>
  <c r="AM291" i="6"/>
  <c r="AN291" i="6"/>
  <c r="AO291" i="6"/>
  <c r="AK291" i="6"/>
  <c r="AL291" i="6"/>
  <c r="I289" i="41"/>
  <c r="H289" i="41"/>
  <c r="J289" i="41"/>
  <c r="AI290" i="14"/>
  <c r="H290" i="14"/>
  <c r="D290" i="14"/>
  <c r="I290" i="14"/>
  <c r="AJ290" i="14"/>
  <c r="AB290" i="14"/>
  <c r="AE290" i="14"/>
  <c r="G290" i="14"/>
  <c r="AF290" i="14"/>
  <c r="K290" i="14"/>
  <c r="W290" i="14"/>
  <c r="Z290" i="14"/>
  <c r="J290" i="14"/>
  <c r="AA290" i="14"/>
  <c r="AG290" i="14"/>
  <c r="N290" i="14"/>
  <c r="U290" i="14"/>
  <c r="AC290" i="14"/>
  <c r="V290" i="14"/>
  <c r="Q290" i="14"/>
  <c r="C290" i="14"/>
  <c r="R290" i="14"/>
  <c r="F290" i="14"/>
  <c r="T290" i="14"/>
  <c r="E290" i="14"/>
  <c r="AD290" i="14"/>
  <c r="L290" i="14"/>
  <c r="S290" i="14"/>
  <c r="X290" i="14"/>
  <c r="M290" i="14"/>
  <c r="Y290" i="14"/>
  <c r="P290" i="14"/>
  <c r="O290" i="14"/>
  <c r="AH290" i="14"/>
  <c r="G291" i="6"/>
  <c r="D291" i="6"/>
  <c r="A291" i="14"/>
  <c r="E291" i="6"/>
  <c r="C290" i="41" s="1"/>
  <c r="F291" i="6"/>
  <c r="G290" i="41"/>
  <c r="A290" i="41"/>
  <c r="D290" i="41" s="1"/>
  <c r="B291" i="6"/>
  <c r="C291" i="6"/>
  <c r="B290" i="41" s="1"/>
  <c r="J291" i="6"/>
  <c r="AV291" i="6" s="1"/>
  <c r="U291" i="6"/>
  <c r="I291" i="6"/>
  <c r="N291" i="6"/>
  <c r="V291" i="6"/>
  <c r="H291" i="6"/>
  <c r="AU291" i="6" s="1"/>
  <c r="S291" i="6"/>
  <c r="T291" i="6"/>
  <c r="R291" i="6"/>
  <c r="AH291" i="6"/>
  <c r="Z291" i="6"/>
  <c r="M291" i="6"/>
  <c r="M290" i="41" s="1"/>
  <c r="P290" i="41" s="1"/>
  <c r="AB291" i="6"/>
  <c r="AD291" i="6"/>
  <c r="AY291" i="6" s="1"/>
  <c r="BB291" i="6" s="1"/>
  <c r="L291" i="6"/>
  <c r="AA291" i="6"/>
  <c r="K291" i="6"/>
  <c r="Y291" i="6"/>
  <c r="AZ291" i="6"/>
  <c r="BC291" i="6" s="1"/>
  <c r="O291" i="6"/>
  <c r="N290" i="41" s="1"/>
  <c r="AQ291" i="6"/>
  <c r="AF291" i="6"/>
  <c r="AE291" i="6"/>
  <c r="AG291" i="6"/>
  <c r="AR291" i="6"/>
  <c r="A292" i="6"/>
  <c r="O289" i="41"/>
  <c r="AW290" i="6"/>
  <c r="BF290" i="6" s="1"/>
  <c r="BG290" i="6" s="1"/>
  <c r="BH290" i="6" s="1"/>
  <c r="X292" i="6" l="1"/>
  <c r="AJ292" i="6"/>
  <c r="Q292" i="6"/>
  <c r="AM292" i="6"/>
  <c r="AK292" i="6"/>
  <c r="AL292" i="6"/>
  <c r="AN292" i="6"/>
  <c r="AO292" i="6"/>
  <c r="S291" i="14"/>
  <c r="Z291" i="14"/>
  <c r="U291" i="14"/>
  <c r="C291" i="14"/>
  <c r="R291" i="14"/>
  <c r="E291" i="14"/>
  <c r="Y291" i="14"/>
  <c r="AJ291" i="14"/>
  <c r="P291" i="14"/>
  <c r="AG291" i="14"/>
  <c r="O291" i="14"/>
  <c r="AI291" i="14"/>
  <c r="H291" i="14"/>
  <c r="Q291" i="14"/>
  <c r="D291" i="14"/>
  <c r="J291" i="14"/>
  <c r="AF291" i="14"/>
  <c r="AE291" i="14"/>
  <c r="M291" i="14"/>
  <c r="AD291" i="14"/>
  <c r="AC291" i="14"/>
  <c r="AA291" i="14"/>
  <c r="W291" i="14"/>
  <c r="X291" i="14"/>
  <c r="N291" i="14"/>
  <c r="F291" i="14"/>
  <c r="V291" i="14"/>
  <c r="AB291" i="14"/>
  <c r="I291" i="14"/>
  <c r="L291" i="14"/>
  <c r="T291" i="14"/>
  <c r="AH291" i="14"/>
  <c r="G291" i="14"/>
  <c r="K291" i="14"/>
  <c r="O290" i="41"/>
  <c r="AW291" i="6"/>
  <c r="BF291" i="6" s="1"/>
  <c r="BG291" i="6" s="1"/>
  <c r="BH291" i="6" s="1"/>
  <c r="H290" i="41"/>
  <c r="I290" i="41"/>
  <c r="J290" i="41"/>
  <c r="A292" i="14"/>
  <c r="H292" i="6"/>
  <c r="AU292" i="6" s="1"/>
  <c r="B292" i="6"/>
  <c r="D292" i="6"/>
  <c r="C292" i="6"/>
  <c r="B291" i="41" s="1"/>
  <c r="E292" i="6"/>
  <c r="C291" i="41" s="1"/>
  <c r="G292" i="6"/>
  <c r="G291" i="41"/>
  <c r="F292" i="6"/>
  <c r="A291" i="41"/>
  <c r="D291" i="41" s="1"/>
  <c r="I292" i="6"/>
  <c r="J292" i="6"/>
  <c r="AV292" i="6" s="1"/>
  <c r="V292" i="6"/>
  <c r="N292" i="6"/>
  <c r="U292" i="6"/>
  <c r="T292" i="6"/>
  <c r="S292" i="6"/>
  <c r="L292" i="6"/>
  <c r="K292" i="6"/>
  <c r="M292" i="6"/>
  <c r="M291" i="41" s="1"/>
  <c r="P291" i="41" s="1"/>
  <c r="AD292" i="6"/>
  <c r="AY292" i="6" s="1"/>
  <c r="BB292" i="6" s="1"/>
  <c r="O292" i="6"/>
  <c r="N291" i="41" s="1"/>
  <c r="R292" i="6"/>
  <c r="Y292" i="6"/>
  <c r="AA292" i="6"/>
  <c r="AX292" i="6"/>
  <c r="BA292" i="6" s="1"/>
  <c r="Z292" i="6"/>
  <c r="AH292" i="6"/>
  <c r="AB292" i="6"/>
  <c r="AR292" i="6"/>
  <c r="AG292" i="6"/>
  <c r="AQ292" i="6"/>
  <c r="AZ292" i="6"/>
  <c r="BC292" i="6" s="1"/>
  <c r="AF292" i="6"/>
  <c r="AE292" i="6"/>
  <c r="A293" i="6"/>
  <c r="X293" i="6" l="1"/>
  <c r="AJ293" i="6"/>
  <c r="Q293" i="6"/>
  <c r="AK293" i="6"/>
  <c r="AL293" i="6"/>
  <c r="AM293" i="6"/>
  <c r="AN293" i="6"/>
  <c r="AO293" i="6"/>
  <c r="F292" i="14"/>
  <c r="V292" i="14"/>
  <c r="E292" i="14"/>
  <c r="X292" i="14"/>
  <c r="Z292" i="14"/>
  <c r="T292" i="14"/>
  <c r="AD292" i="14"/>
  <c r="O292" i="14"/>
  <c r="W292" i="14"/>
  <c r="Y292" i="14"/>
  <c r="S292" i="14"/>
  <c r="M292" i="14"/>
  <c r="AH292" i="14"/>
  <c r="R292" i="14"/>
  <c r="U292" i="14"/>
  <c r="N292" i="14"/>
  <c r="AI292" i="14"/>
  <c r="P292" i="14"/>
  <c r="L292" i="14"/>
  <c r="G292" i="14"/>
  <c r="AF292" i="14"/>
  <c r="H292" i="14"/>
  <c r="AB292" i="14"/>
  <c r="AE292" i="14"/>
  <c r="J292" i="14"/>
  <c r="AJ292" i="14"/>
  <c r="AG292" i="14"/>
  <c r="K292" i="14"/>
  <c r="D292" i="14"/>
  <c r="AA292" i="14"/>
  <c r="Q292" i="14"/>
  <c r="I292" i="14"/>
  <c r="C292" i="14"/>
  <c r="AC292" i="14"/>
  <c r="I291" i="41"/>
  <c r="H291" i="41"/>
  <c r="J291" i="41"/>
  <c r="AW292" i="6"/>
  <c r="BF292" i="6" s="1"/>
  <c r="BG292" i="6" s="1"/>
  <c r="BH292" i="6" s="1"/>
  <c r="O291" i="41"/>
  <c r="A292" i="41"/>
  <c r="D292" i="41" s="1"/>
  <c r="H293" i="6"/>
  <c r="AU293" i="6" s="1"/>
  <c r="C293" i="6"/>
  <c r="B292" i="41" s="1"/>
  <c r="B293" i="6"/>
  <c r="G293" i="6"/>
  <c r="D293" i="6"/>
  <c r="A293" i="14"/>
  <c r="E293" i="6"/>
  <c r="C292" i="41" s="1"/>
  <c r="F293" i="6"/>
  <c r="I293" i="6"/>
  <c r="J293" i="6"/>
  <c r="AV293" i="6" s="1"/>
  <c r="G292" i="41"/>
  <c r="N293" i="6"/>
  <c r="U293" i="6"/>
  <c r="V293" i="6"/>
  <c r="R293" i="6"/>
  <c r="S293" i="6"/>
  <c r="M293" i="6"/>
  <c r="M292" i="41" s="1"/>
  <c r="P292" i="41" s="1"/>
  <c r="AA293" i="6"/>
  <c r="AR293" i="6"/>
  <c r="L293" i="6"/>
  <c r="AQ293" i="6"/>
  <c r="T293" i="6"/>
  <c r="K293" i="6"/>
  <c r="AX293" i="6"/>
  <c r="BA293" i="6" s="1"/>
  <c r="O293" i="6"/>
  <c r="N292" i="41" s="1"/>
  <c r="Y293" i="6"/>
  <c r="AB293" i="6"/>
  <c r="AH293" i="6"/>
  <c r="Z293" i="6"/>
  <c r="AD293" i="6"/>
  <c r="AY293" i="6" s="1"/>
  <c r="BB293" i="6" s="1"/>
  <c r="AZ293" i="6"/>
  <c r="BC293" i="6" s="1"/>
  <c r="AF293" i="6"/>
  <c r="AE293" i="6"/>
  <c r="AG293" i="6"/>
  <c r="A294" i="6"/>
  <c r="X294" i="6" l="1"/>
  <c r="AJ294" i="6"/>
  <c r="Q294" i="6"/>
  <c r="AK294" i="6"/>
  <c r="AN294" i="6"/>
  <c r="AO294" i="6"/>
  <c r="AL294" i="6"/>
  <c r="AM294" i="6"/>
  <c r="AF293" i="14"/>
  <c r="H293" i="14"/>
  <c r="C293" i="14"/>
  <c r="Z293" i="14"/>
  <c r="J293" i="14"/>
  <c r="AA293" i="14"/>
  <c r="I293" i="14"/>
  <c r="AD293" i="14"/>
  <c r="AH293" i="14"/>
  <c r="AC293" i="14"/>
  <c r="V293" i="14"/>
  <c r="X293" i="14"/>
  <c r="M293" i="14"/>
  <c r="AG293" i="14"/>
  <c r="F293" i="14"/>
  <c r="T293" i="14"/>
  <c r="O293" i="14"/>
  <c r="U293" i="14"/>
  <c r="R293" i="14"/>
  <c r="S293" i="14"/>
  <c r="D293" i="14"/>
  <c r="L293" i="14"/>
  <c r="K293" i="14"/>
  <c r="AE293" i="14"/>
  <c r="Q293" i="14"/>
  <c r="G293" i="14"/>
  <c r="Y293" i="14"/>
  <c r="AJ293" i="14"/>
  <c r="W293" i="14"/>
  <c r="AB293" i="14"/>
  <c r="P293" i="14"/>
  <c r="N293" i="14"/>
  <c r="E293" i="14"/>
  <c r="AI293" i="14"/>
  <c r="I292" i="41"/>
  <c r="H292" i="41"/>
  <c r="J292" i="41"/>
  <c r="AW293" i="6"/>
  <c r="BF293" i="6" s="1"/>
  <c r="BG293" i="6" s="1"/>
  <c r="BH293" i="6" s="1"/>
  <c r="O292" i="41"/>
  <c r="A294" i="14"/>
  <c r="D294" i="6"/>
  <c r="B294" i="6"/>
  <c r="G293" i="41"/>
  <c r="E294" i="6"/>
  <c r="C293" i="41" s="1"/>
  <c r="A293" i="41"/>
  <c r="D293" i="41" s="1"/>
  <c r="F294" i="6"/>
  <c r="C294" i="6"/>
  <c r="B293" i="41" s="1"/>
  <c r="H294" i="6"/>
  <c r="AU294" i="6" s="1"/>
  <c r="J294" i="6"/>
  <c r="AV294" i="6" s="1"/>
  <c r="G294" i="6"/>
  <c r="I294" i="6"/>
  <c r="U294" i="6"/>
  <c r="V294" i="6"/>
  <c r="N294" i="6"/>
  <c r="S294" i="6"/>
  <c r="R294" i="6"/>
  <c r="T294" i="6"/>
  <c r="AA294" i="6"/>
  <c r="AR294" i="6"/>
  <c r="Z294" i="6"/>
  <c r="Y294" i="6"/>
  <c r="AH294" i="6"/>
  <c r="AX294" i="6"/>
  <c r="BA294" i="6" s="1"/>
  <c r="AB294" i="6"/>
  <c r="L294" i="6"/>
  <c r="AD294" i="6"/>
  <c r="AY294" i="6" s="1"/>
  <c r="BB294" i="6" s="1"/>
  <c r="AZ294" i="6"/>
  <c r="BC294" i="6" s="1"/>
  <c r="K294" i="6"/>
  <c r="M294" i="6"/>
  <c r="M293" i="41" s="1"/>
  <c r="P293" i="41" s="1"/>
  <c r="AQ294" i="6"/>
  <c r="AF294" i="6"/>
  <c r="AE294" i="6"/>
  <c r="O294" i="6"/>
  <c r="N293" i="41" s="1"/>
  <c r="AG294" i="6"/>
  <c r="A295" i="6"/>
  <c r="Q295" i="6" l="1"/>
  <c r="X295" i="6"/>
  <c r="AX295" i="6" s="1"/>
  <c r="BA295" i="6" s="1"/>
  <c r="AJ295" i="6"/>
  <c r="AN295" i="6"/>
  <c r="AK295" i="6"/>
  <c r="AL295" i="6"/>
  <c r="AM295" i="6"/>
  <c r="AO295" i="6"/>
  <c r="V294" i="14"/>
  <c r="G294" i="14"/>
  <c r="W294" i="14"/>
  <c r="Y294" i="14"/>
  <c r="P294" i="14"/>
  <c r="AG294" i="14"/>
  <c r="N294" i="14"/>
  <c r="AI294" i="14"/>
  <c r="H294" i="14"/>
  <c r="Q294" i="14"/>
  <c r="C294" i="14"/>
  <c r="J294" i="14"/>
  <c r="AF294" i="14"/>
  <c r="U294" i="14"/>
  <c r="E294" i="14"/>
  <c r="AB294" i="14"/>
  <c r="AC294" i="14"/>
  <c r="AJ294" i="14"/>
  <c r="L294" i="14"/>
  <c r="X294" i="14"/>
  <c r="M294" i="14"/>
  <c r="F294" i="14"/>
  <c r="AA294" i="14"/>
  <c r="AH294" i="14"/>
  <c r="O294" i="14"/>
  <c r="K294" i="14"/>
  <c r="T294" i="14"/>
  <c r="Z294" i="14"/>
  <c r="D294" i="14"/>
  <c r="AD294" i="14"/>
  <c r="S294" i="14"/>
  <c r="R294" i="14"/>
  <c r="AE294" i="14"/>
  <c r="I294" i="14"/>
  <c r="AW294" i="6"/>
  <c r="BF294" i="6" s="1"/>
  <c r="BG294" i="6" s="1"/>
  <c r="BH294" i="6" s="1"/>
  <c r="O293" i="41"/>
  <c r="I293" i="41"/>
  <c r="H293" i="41"/>
  <c r="J293" i="41"/>
  <c r="C295" i="6"/>
  <c r="B294" i="41" s="1"/>
  <c r="H295" i="6"/>
  <c r="AU295" i="6" s="1"/>
  <c r="B295" i="6"/>
  <c r="G295" i="6"/>
  <c r="D295" i="6"/>
  <c r="A295" i="14"/>
  <c r="E295" i="6"/>
  <c r="C294" i="41" s="1"/>
  <c r="G294" i="41"/>
  <c r="F295" i="6"/>
  <c r="A294" i="41"/>
  <c r="D294" i="41" s="1"/>
  <c r="I295" i="6"/>
  <c r="N295" i="6"/>
  <c r="V295" i="6"/>
  <c r="U295" i="6"/>
  <c r="R295" i="6"/>
  <c r="T295" i="6"/>
  <c r="Z295" i="6"/>
  <c r="L295" i="6"/>
  <c r="Y295" i="6"/>
  <c r="AQ295" i="6"/>
  <c r="K295" i="6"/>
  <c r="AA295" i="6"/>
  <c r="AR295" i="6"/>
  <c r="O295" i="6"/>
  <c r="N294" i="41" s="1"/>
  <c r="AZ295" i="6"/>
  <c r="BC295" i="6" s="1"/>
  <c r="M295" i="6"/>
  <c r="M294" i="41" s="1"/>
  <c r="P294" i="41" s="1"/>
  <c r="J295" i="6"/>
  <c r="AV295" i="6" s="1"/>
  <c r="S295" i="6"/>
  <c r="AB295" i="6"/>
  <c r="AH295" i="6"/>
  <c r="AE295" i="6"/>
  <c r="AG295" i="6"/>
  <c r="AD295" i="6"/>
  <c r="AY295" i="6" s="1"/>
  <c r="BB295" i="6" s="1"/>
  <c r="AF295" i="6"/>
  <c r="A296" i="6"/>
  <c r="AJ296" i="6" l="1"/>
  <c r="Q296" i="6"/>
  <c r="X296" i="6"/>
  <c r="AX296" i="6" s="1"/>
  <c r="BA296" i="6" s="1"/>
  <c r="AL296" i="6"/>
  <c r="AM296" i="6"/>
  <c r="AN296" i="6"/>
  <c r="AO296" i="6"/>
  <c r="AK296" i="6"/>
  <c r="I294" i="41"/>
  <c r="H294" i="41"/>
  <c r="J294" i="41"/>
  <c r="F295" i="14"/>
  <c r="T295" i="14"/>
  <c r="N295" i="14"/>
  <c r="G295" i="14"/>
  <c r="X295" i="14"/>
  <c r="V295" i="14"/>
  <c r="C295" i="14"/>
  <c r="AG295" i="14"/>
  <c r="O295" i="14"/>
  <c r="S295" i="14"/>
  <c r="AB295" i="14"/>
  <c r="Q295" i="14"/>
  <c r="M295" i="14"/>
  <c r="K295" i="14"/>
  <c r="E295" i="14"/>
  <c r="Y295" i="14"/>
  <c r="AJ295" i="14"/>
  <c r="P295" i="14"/>
  <c r="I295" i="14"/>
  <c r="U295" i="14"/>
  <c r="AI295" i="14"/>
  <c r="H295" i="14"/>
  <c r="AH295" i="14"/>
  <c r="L295" i="14"/>
  <c r="J295" i="14"/>
  <c r="AF295" i="14"/>
  <c r="AE295" i="14"/>
  <c r="Z295" i="14"/>
  <c r="AD295" i="14"/>
  <c r="W295" i="14"/>
  <c r="R295" i="14"/>
  <c r="D295" i="14"/>
  <c r="AC295" i="14"/>
  <c r="AA295" i="14"/>
  <c r="O294" i="41"/>
  <c r="AW295" i="6"/>
  <c r="BF295" i="6" s="1"/>
  <c r="BG295" i="6" s="1"/>
  <c r="BH295" i="6" s="1"/>
  <c r="A295" i="41"/>
  <c r="D295" i="41" s="1"/>
  <c r="C296" i="6"/>
  <c r="B295" i="41" s="1"/>
  <c r="H296" i="6"/>
  <c r="AU296" i="6" s="1"/>
  <c r="B296" i="6"/>
  <c r="G296" i="6"/>
  <c r="D296" i="6"/>
  <c r="A296" i="14"/>
  <c r="E296" i="6"/>
  <c r="C295" i="41" s="1"/>
  <c r="F296" i="6"/>
  <c r="G295" i="41"/>
  <c r="V296" i="6"/>
  <c r="U296" i="6"/>
  <c r="N296" i="6"/>
  <c r="I296" i="6"/>
  <c r="J296" i="6"/>
  <c r="AV296" i="6" s="1"/>
  <c r="R296" i="6"/>
  <c r="T296" i="6"/>
  <c r="AB296" i="6"/>
  <c r="AH296" i="6"/>
  <c r="AD296" i="6"/>
  <c r="AY296" i="6" s="1"/>
  <c r="BB296" i="6" s="1"/>
  <c r="AZ296" i="6"/>
  <c r="BC296" i="6" s="1"/>
  <c r="Z296" i="6"/>
  <c r="L296" i="6"/>
  <c r="K296" i="6"/>
  <c r="Y296" i="6"/>
  <c r="AA296" i="6"/>
  <c r="O296" i="6"/>
  <c r="N295" i="41" s="1"/>
  <c r="M296" i="6"/>
  <c r="M295" i="41" s="1"/>
  <c r="P295" i="41" s="1"/>
  <c r="AR296" i="6"/>
  <c r="AF296" i="6"/>
  <c r="AQ296" i="6"/>
  <c r="AE296" i="6"/>
  <c r="S296" i="6"/>
  <c r="AG296" i="6"/>
  <c r="A297" i="6"/>
  <c r="AJ297" i="6" l="1"/>
  <c r="AZ297" i="6" s="1"/>
  <c r="BC297" i="6" s="1"/>
  <c r="Q297" i="6"/>
  <c r="X297" i="6"/>
  <c r="AL297" i="6"/>
  <c r="AO297" i="6"/>
  <c r="AK297" i="6"/>
  <c r="AM297" i="6"/>
  <c r="AN297" i="6"/>
  <c r="AW296" i="6"/>
  <c r="BF296" i="6" s="1"/>
  <c r="BG296" i="6" s="1"/>
  <c r="BH296" i="6" s="1"/>
  <c r="O295" i="41"/>
  <c r="J296" i="14"/>
  <c r="AF296" i="14"/>
  <c r="AG296" i="14"/>
  <c r="K296" i="14"/>
  <c r="AH296" i="14"/>
  <c r="AC296" i="14"/>
  <c r="AA296" i="14"/>
  <c r="Q296" i="14"/>
  <c r="I296" i="14"/>
  <c r="AE296" i="14"/>
  <c r="F296" i="14"/>
  <c r="S296" i="14"/>
  <c r="E296" i="14"/>
  <c r="G296" i="14"/>
  <c r="Z296" i="14"/>
  <c r="V296" i="14"/>
  <c r="AD296" i="14"/>
  <c r="X296" i="14"/>
  <c r="N296" i="14"/>
  <c r="T296" i="14"/>
  <c r="M296" i="14"/>
  <c r="W296" i="14"/>
  <c r="D296" i="14"/>
  <c r="U296" i="14"/>
  <c r="R296" i="14"/>
  <c r="Y296" i="14"/>
  <c r="AI296" i="14"/>
  <c r="P296" i="14"/>
  <c r="L296" i="14"/>
  <c r="O296" i="14"/>
  <c r="H296" i="14"/>
  <c r="AB296" i="14"/>
  <c r="C296" i="14"/>
  <c r="AJ296" i="14"/>
  <c r="F297" i="6"/>
  <c r="G296" i="41"/>
  <c r="A297" i="14"/>
  <c r="G297" i="6"/>
  <c r="A296" i="41"/>
  <c r="D296" i="41" s="1"/>
  <c r="C297" i="6"/>
  <c r="B296" i="41" s="1"/>
  <c r="B297" i="6"/>
  <c r="D297" i="6"/>
  <c r="E297" i="6"/>
  <c r="C296" i="41" s="1"/>
  <c r="H297" i="6"/>
  <c r="AU297" i="6" s="1"/>
  <c r="J297" i="6"/>
  <c r="AV297" i="6" s="1"/>
  <c r="N297" i="6"/>
  <c r="I297" i="6"/>
  <c r="V297" i="6"/>
  <c r="U297" i="6"/>
  <c r="S297" i="6"/>
  <c r="T297" i="6"/>
  <c r="R297" i="6"/>
  <c r="O297" i="6"/>
  <c r="N296" i="41" s="1"/>
  <c r="AA297" i="6"/>
  <c r="AR297" i="6"/>
  <c r="AQ297" i="6"/>
  <c r="AX297" i="6"/>
  <c r="BA297" i="6" s="1"/>
  <c r="Z297" i="6"/>
  <c r="L297" i="6"/>
  <c r="Y297" i="6"/>
  <c r="AB297" i="6"/>
  <c r="AH297" i="6"/>
  <c r="AD297" i="6"/>
  <c r="AY297" i="6" s="1"/>
  <c r="BB297" i="6" s="1"/>
  <c r="AG297" i="6"/>
  <c r="M297" i="6"/>
  <c r="M296" i="41" s="1"/>
  <c r="P296" i="41" s="1"/>
  <c r="K297" i="6"/>
  <c r="AE297" i="6"/>
  <c r="AF297" i="6"/>
  <c r="A298" i="6"/>
  <c r="I295" i="41"/>
  <c r="H295" i="41"/>
  <c r="J295" i="41"/>
  <c r="AJ298" i="6" l="1"/>
  <c r="AZ298" i="6" s="1"/>
  <c r="BC298" i="6" s="1"/>
  <c r="Q298" i="6"/>
  <c r="X298" i="6"/>
  <c r="AO298" i="6"/>
  <c r="AK298" i="6"/>
  <c r="AL298" i="6"/>
  <c r="AM298" i="6"/>
  <c r="AN298" i="6"/>
  <c r="AE297" i="14"/>
  <c r="Q297" i="14"/>
  <c r="R297" i="14"/>
  <c r="AJ297" i="14"/>
  <c r="W297" i="14"/>
  <c r="AH297" i="14"/>
  <c r="Y297" i="14"/>
  <c r="AF297" i="14"/>
  <c r="P297" i="14"/>
  <c r="N297" i="14"/>
  <c r="K297" i="14"/>
  <c r="AI297" i="14"/>
  <c r="H297" i="14"/>
  <c r="C297" i="14"/>
  <c r="AG297" i="14"/>
  <c r="J297" i="14"/>
  <c r="AA297" i="14"/>
  <c r="I297" i="14"/>
  <c r="AD297" i="14"/>
  <c r="G297" i="14"/>
  <c r="AC297" i="14"/>
  <c r="V297" i="14"/>
  <c r="X297" i="14"/>
  <c r="M297" i="14"/>
  <c r="AB297" i="14"/>
  <c r="F297" i="14"/>
  <c r="T297" i="14"/>
  <c r="O297" i="14"/>
  <c r="U297" i="14"/>
  <c r="E297" i="14"/>
  <c r="D297" i="14"/>
  <c r="L297" i="14"/>
  <c r="Z297" i="14"/>
  <c r="S297" i="14"/>
  <c r="H296" i="41"/>
  <c r="I296" i="41"/>
  <c r="J296" i="41"/>
  <c r="O296" i="41"/>
  <c r="AW297" i="6"/>
  <c r="BF297" i="6" s="1"/>
  <c r="BG297" i="6" s="1"/>
  <c r="BH297" i="6" s="1"/>
  <c r="C298" i="6"/>
  <c r="B297" i="41" s="1"/>
  <c r="H298" i="6"/>
  <c r="AU298" i="6" s="1"/>
  <c r="B298" i="6"/>
  <c r="D298" i="6"/>
  <c r="G297" i="41"/>
  <c r="A298" i="14"/>
  <c r="E298" i="6"/>
  <c r="C297" i="41" s="1"/>
  <c r="A297" i="41"/>
  <c r="D297" i="41" s="1"/>
  <c r="F298" i="6"/>
  <c r="G298" i="6"/>
  <c r="J298" i="6"/>
  <c r="AV298" i="6" s="1"/>
  <c r="I298" i="6"/>
  <c r="V298" i="6"/>
  <c r="N298" i="6"/>
  <c r="U298" i="6"/>
  <c r="T298" i="6"/>
  <c r="S298" i="6"/>
  <c r="R298" i="6"/>
  <c r="AQ298" i="6"/>
  <c r="L298" i="6"/>
  <c r="AB298" i="6"/>
  <c r="AR298" i="6"/>
  <c r="Z298" i="6"/>
  <c r="K298" i="6"/>
  <c r="AD298" i="6"/>
  <c r="AY298" i="6" s="1"/>
  <c r="BB298" i="6" s="1"/>
  <c r="O298" i="6"/>
  <c r="N297" i="41" s="1"/>
  <c r="M298" i="6"/>
  <c r="M297" i="41" s="1"/>
  <c r="P297" i="41" s="1"/>
  <c r="Y298" i="6"/>
  <c r="AA298" i="6"/>
  <c r="AH298" i="6"/>
  <c r="AF298" i="6"/>
  <c r="AE298" i="6"/>
  <c r="AX298" i="6"/>
  <c r="BA298" i="6" s="1"/>
  <c r="AG298" i="6"/>
  <c r="A299" i="6"/>
  <c r="X299" i="6" l="1"/>
  <c r="AJ299" i="6"/>
  <c r="AZ299" i="6" s="1"/>
  <c r="BC299" i="6" s="1"/>
  <c r="Q299" i="6"/>
  <c r="AM299" i="6"/>
  <c r="AN299" i="6"/>
  <c r="AO299" i="6"/>
  <c r="AK299" i="6"/>
  <c r="AL299" i="6"/>
  <c r="F298" i="14"/>
  <c r="T298" i="14"/>
  <c r="R298" i="14"/>
  <c r="AE298" i="14"/>
  <c r="I298" i="14"/>
  <c r="S298" i="14"/>
  <c r="G298" i="14"/>
  <c r="W298" i="14"/>
  <c r="P298" i="14"/>
  <c r="AG298" i="14"/>
  <c r="N298" i="14"/>
  <c r="AI298" i="14"/>
  <c r="H298" i="14"/>
  <c r="Q298" i="14"/>
  <c r="C298" i="14"/>
  <c r="Y298" i="14"/>
  <c r="AF298" i="14"/>
  <c r="U298" i="14"/>
  <c r="E298" i="14"/>
  <c r="M298" i="14"/>
  <c r="AJ298" i="14"/>
  <c r="L298" i="14"/>
  <c r="X298" i="14"/>
  <c r="AB298" i="14"/>
  <c r="J298" i="14"/>
  <c r="AA298" i="14"/>
  <c r="AH298" i="14"/>
  <c r="O298" i="14"/>
  <c r="AD298" i="14"/>
  <c r="D298" i="14"/>
  <c r="K298" i="14"/>
  <c r="AC298" i="14"/>
  <c r="V298" i="14"/>
  <c r="Z298" i="14"/>
  <c r="H297" i="41"/>
  <c r="I297" i="41"/>
  <c r="J297" i="41"/>
  <c r="O297" i="41"/>
  <c r="AW298" i="6"/>
  <c r="BF298" i="6" s="1"/>
  <c r="BG298" i="6" s="1"/>
  <c r="BH298" i="6" s="1"/>
  <c r="A298" i="41"/>
  <c r="D298" i="41" s="1"/>
  <c r="A299" i="14"/>
  <c r="H299" i="6"/>
  <c r="AU299" i="6" s="1"/>
  <c r="B299" i="6"/>
  <c r="D299" i="6"/>
  <c r="C299" i="6"/>
  <c r="B298" i="41" s="1"/>
  <c r="E299" i="6"/>
  <c r="C298" i="41" s="1"/>
  <c r="G299" i="6"/>
  <c r="F299" i="6"/>
  <c r="I299" i="6"/>
  <c r="G298" i="41"/>
  <c r="U299" i="6"/>
  <c r="V299" i="6"/>
  <c r="J299" i="6"/>
  <c r="AV299" i="6" s="1"/>
  <c r="N299" i="6"/>
  <c r="S299" i="6"/>
  <c r="R299" i="6"/>
  <c r="T299" i="6"/>
  <c r="L299" i="6"/>
  <c r="K299" i="6"/>
  <c r="AH299" i="6"/>
  <c r="O299" i="6"/>
  <c r="N298" i="41" s="1"/>
  <c r="AB299" i="6"/>
  <c r="AR299" i="6"/>
  <c r="Y299" i="6"/>
  <c r="AD299" i="6"/>
  <c r="AY299" i="6" s="1"/>
  <c r="BB299" i="6" s="1"/>
  <c r="AQ299" i="6"/>
  <c r="AA299" i="6"/>
  <c r="Z299" i="6"/>
  <c r="M299" i="6"/>
  <c r="M298" i="41" s="1"/>
  <c r="P298" i="41" s="1"/>
  <c r="AG299" i="6"/>
  <c r="AX299" i="6"/>
  <c r="BA299" i="6" s="1"/>
  <c r="AF299" i="6"/>
  <c r="AE299" i="6"/>
  <c r="A300" i="6"/>
  <c r="X300" i="6" l="1"/>
  <c r="AX300" i="6" s="1"/>
  <c r="BA300" i="6" s="1"/>
  <c r="AJ300" i="6"/>
  <c r="Q300" i="6"/>
  <c r="AM300" i="6"/>
  <c r="AK300" i="6"/>
  <c r="AL300" i="6"/>
  <c r="AN300" i="6"/>
  <c r="AO300" i="6"/>
  <c r="AW299" i="6"/>
  <c r="BF299" i="6" s="1"/>
  <c r="BG299" i="6" s="1"/>
  <c r="BH299" i="6" s="1"/>
  <c r="O298" i="41"/>
  <c r="I298" i="41"/>
  <c r="H298" i="41"/>
  <c r="J298" i="41"/>
  <c r="G299" i="41"/>
  <c r="A299" i="41"/>
  <c r="D299" i="41" s="1"/>
  <c r="F300" i="6"/>
  <c r="H300" i="6"/>
  <c r="AU300" i="6" s="1"/>
  <c r="C300" i="6"/>
  <c r="B299" i="41" s="1"/>
  <c r="B300" i="6"/>
  <c r="G300" i="6"/>
  <c r="D300" i="6"/>
  <c r="A300" i="14"/>
  <c r="E300" i="6"/>
  <c r="C299" i="41" s="1"/>
  <c r="J300" i="6"/>
  <c r="AV300" i="6" s="1"/>
  <c r="N300" i="6"/>
  <c r="U300" i="6"/>
  <c r="V300" i="6"/>
  <c r="R300" i="6"/>
  <c r="T300" i="6"/>
  <c r="Y300" i="6"/>
  <c r="AB300" i="6"/>
  <c r="AD300" i="6"/>
  <c r="AY300" i="6" s="1"/>
  <c r="BB300" i="6" s="1"/>
  <c r="AR300" i="6"/>
  <c r="L300" i="6"/>
  <c r="AZ300" i="6"/>
  <c r="BC300" i="6" s="1"/>
  <c r="AQ300" i="6"/>
  <c r="I300" i="6"/>
  <c r="K300" i="6"/>
  <c r="O300" i="6"/>
  <c r="N299" i="41" s="1"/>
  <c r="AA300" i="6"/>
  <c r="Z300" i="6"/>
  <c r="AF300" i="6"/>
  <c r="AE300" i="6"/>
  <c r="AG300" i="6"/>
  <c r="S300" i="6"/>
  <c r="AH300" i="6"/>
  <c r="M300" i="6"/>
  <c r="M299" i="41" s="1"/>
  <c r="P299" i="41" s="1"/>
  <c r="A301" i="6"/>
  <c r="AC299" i="14"/>
  <c r="AI299" i="14"/>
  <c r="AE299" i="14"/>
  <c r="Z299" i="14"/>
  <c r="M299" i="14"/>
  <c r="F299" i="14"/>
  <c r="AF299" i="14"/>
  <c r="W299" i="14"/>
  <c r="R299" i="14"/>
  <c r="L299" i="14"/>
  <c r="AA299" i="14"/>
  <c r="N299" i="14"/>
  <c r="G299" i="14"/>
  <c r="X299" i="14"/>
  <c r="Y299" i="14"/>
  <c r="V299" i="14"/>
  <c r="C299" i="14"/>
  <c r="AG299" i="14"/>
  <c r="D299" i="14"/>
  <c r="T299" i="14"/>
  <c r="AB299" i="14"/>
  <c r="Q299" i="14"/>
  <c r="AD299" i="14"/>
  <c r="S299" i="14"/>
  <c r="K299" i="14"/>
  <c r="E299" i="14"/>
  <c r="P299" i="14"/>
  <c r="I299" i="14"/>
  <c r="U299" i="14"/>
  <c r="AH299" i="14"/>
  <c r="O299" i="14"/>
  <c r="J299" i="14"/>
  <c r="AJ299" i="14"/>
  <c r="H299" i="14"/>
  <c r="X301" i="6" l="1"/>
  <c r="AX301" i="6" s="1"/>
  <c r="BA301" i="6" s="1"/>
  <c r="AJ301" i="6"/>
  <c r="Q301" i="6"/>
  <c r="AK301" i="6"/>
  <c r="AL301" i="6"/>
  <c r="AM301" i="6"/>
  <c r="AN301" i="6"/>
  <c r="AO301" i="6"/>
  <c r="G301" i="6"/>
  <c r="D301" i="6"/>
  <c r="A301" i="14"/>
  <c r="E301" i="6"/>
  <c r="C300" i="41" s="1"/>
  <c r="G300" i="41"/>
  <c r="F301" i="6"/>
  <c r="A300" i="41"/>
  <c r="D300" i="41" s="1"/>
  <c r="C301" i="6"/>
  <c r="B300" i="41" s="1"/>
  <c r="H301" i="6"/>
  <c r="AU301" i="6" s="1"/>
  <c r="B301" i="6"/>
  <c r="N301" i="6"/>
  <c r="J301" i="6"/>
  <c r="AV301" i="6" s="1"/>
  <c r="I301" i="6"/>
  <c r="V301" i="6"/>
  <c r="S301" i="6"/>
  <c r="R301" i="6"/>
  <c r="T301" i="6"/>
  <c r="U301" i="6"/>
  <c r="M301" i="6"/>
  <c r="M300" i="41" s="1"/>
  <c r="P300" i="41" s="1"/>
  <c r="AR301" i="6"/>
  <c r="AB301" i="6"/>
  <c r="AQ301" i="6"/>
  <c r="L301" i="6"/>
  <c r="K301" i="6"/>
  <c r="O301" i="6"/>
  <c r="N300" i="41" s="1"/>
  <c r="AD301" i="6"/>
  <c r="AY301" i="6" s="1"/>
  <c r="BB301" i="6" s="1"/>
  <c r="Y301" i="6"/>
  <c r="AH301" i="6"/>
  <c r="Z301" i="6"/>
  <c r="AA301" i="6"/>
  <c r="AZ301" i="6"/>
  <c r="BC301" i="6" s="1"/>
  <c r="AF301" i="6"/>
  <c r="AE301" i="6"/>
  <c r="AG301" i="6"/>
  <c r="A302" i="6"/>
  <c r="Y300" i="14"/>
  <c r="AI300" i="14"/>
  <c r="P300" i="14"/>
  <c r="L300" i="14"/>
  <c r="Z300" i="14"/>
  <c r="AF300" i="14"/>
  <c r="H300" i="14"/>
  <c r="AB300" i="14"/>
  <c r="C300" i="14"/>
  <c r="AJ300" i="14"/>
  <c r="AG300" i="14"/>
  <c r="K300" i="14"/>
  <c r="X300" i="14"/>
  <c r="J300" i="14"/>
  <c r="AA300" i="14"/>
  <c r="Q300" i="14"/>
  <c r="I300" i="14"/>
  <c r="AH300" i="14"/>
  <c r="AC300" i="14"/>
  <c r="V300" i="14"/>
  <c r="E300" i="14"/>
  <c r="R300" i="14"/>
  <c r="W300" i="14"/>
  <c r="F300" i="14"/>
  <c r="T300" i="14"/>
  <c r="AD300" i="14"/>
  <c r="G300" i="14"/>
  <c r="O300" i="14"/>
  <c r="S300" i="14"/>
  <c r="M300" i="14"/>
  <c r="AE300" i="14"/>
  <c r="N300" i="14"/>
  <c r="U300" i="14"/>
  <c r="D300" i="14"/>
  <c r="I299" i="41"/>
  <c r="H299" i="41"/>
  <c r="J299" i="41"/>
  <c r="O299" i="41"/>
  <c r="AW300" i="6"/>
  <c r="BF300" i="6" s="1"/>
  <c r="BG300" i="6" s="1"/>
  <c r="BH300" i="6" s="1"/>
  <c r="X302" i="6" l="1"/>
  <c r="AJ302" i="6"/>
  <c r="Q302" i="6"/>
  <c r="AK302" i="6"/>
  <c r="AN302" i="6"/>
  <c r="AO302" i="6"/>
  <c r="AL302" i="6"/>
  <c r="AM302" i="6"/>
  <c r="H300" i="41"/>
  <c r="I300" i="41"/>
  <c r="J300" i="41"/>
  <c r="O300" i="41"/>
  <c r="AW301" i="6"/>
  <c r="BF301" i="6" s="1"/>
  <c r="BG301" i="6" s="1"/>
  <c r="BH301" i="6" s="1"/>
  <c r="T301" i="14"/>
  <c r="AE301" i="14"/>
  <c r="AG301" i="14"/>
  <c r="AB301" i="14"/>
  <c r="S301" i="14"/>
  <c r="W301" i="14"/>
  <c r="G301" i="14"/>
  <c r="Y301" i="14"/>
  <c r="P301" i="14"/>
  <c r="N301" i="14"/>
  <c r="R301" i="14"/>
  <c r="AJ301" i="14"/>
  <c r="H301" i="14"/>
  <c r="C301" i="14"/>
  <c r="Q301" i="14"/>
  <c r="J301" i="14"/>
  <c r="AF301" i="14"/>
  <c r="I301" i="14"/>
  <c r="AD301" i="14"/>
  <c r="Z301" i="14"/>
  <c r="AC301" i="14"/>
  <c r="AI301" i="14"/>
  <c r="X301" i="14"/>
  <c r="M301" i="14"/>
  <c r="K301" i="14"/>
  <c r="F301" i="14"/>
  <c r="AA301" i="14"/>
  <c r="O301" i="14"/>
  <c r="U301" i="14"/>
  <c r="E301" i="14"/>
  <c r="V301" i="14"/>
  <c r="D301" i="14"/>
  <c r="L301" i="14"/>
  <c r="AH301" i="14"/>
  <c r="C302" i="6"/>
  <c r="B301" i="41" s="1"/>
  <c r="H302" i="6"/>
  <c r="AU302" i="6" s="1"/>
  <c r="B302" i="6"/>
  <c r="F302" i="6"/>
  <c r="G302" i="6"/>
  <c r="A302" i="14"/>
  <c r="D302" i="6"/>
  <c r="E302" i="6"/>
  <c r="C301" i="41" s="1"/>
  <c r="G301" i="41"/>
  <c r="A301" i="41"/>
  <c r="D301" i="41" s="1"/>
  <c r="J302" i="6"/>
  <c r="AV302" i="6" s="1"/>
  <c r="I302" i="6"/>
  <c r="N302" i="6"/>
  <c r="V302" i="6"/>
  <c r="U302" i="6"/>
  <c r="T302" i="6"/>
  <c r="R302" i="6"/>
  <c r="S302" i="6"/>
  <c r="L302" i="6"/>
  <c r="AB302" i="6"/>
  <c r="K302" i="6"/>
  <c r="AX302" i="6"/>
  <c r="BA302" i="6" s="1"/>
  <c r="AD302" i="6"/>
  <c r="AY302" i="6" s="1"/>
  <c r="BB302" i="6" s="1"/>
  <c r="O302" i="6"/>
  <c r="N301" i="41" s="1"/>
  <c r="AH302" i="6"/>
  <c r="AQ302" i="6"/>
  <c r="Y302" i="6"/>
  <c r="AR302" i="6"/>
  <c r="AA302" i="6"/>
  <c r="AZ302" i="6"/>
  <c r="BC302" i="6" s="1"/>
  <c r="AE302" i="6"/>
  <c r="Z302" i="6"/>
  <c r="AG302" i="6"/>
  <c r="AF302" i="6"/>
  <c r="M302" i="6"/>
  <c r="M301" i="41" s="1"/>
  <c r="P301" i="41" s="1"/>
  <c r="A303" i="6"/>
  <c r="Q303" i="6" l="1"/>
  <c r="X303" i="6"/>
  <c r="AX303" i="6" s="1"/>
  <c r="BA303" i="6" s="1"/>
  <c r="AJ303" i="6"/>
  <c r="AN303" i="6"/>
  <c r="AK303" i="6"/>
  <c r="AL303" i="6"/>
  <c r="AM303" i="6"/>
  <c r="AO303" i="6"/>
  <c r="F302" i="14"/>
  <c r="AJ302" i="14"/>
  <c r="L302" i="14"/>
  <c r="X302" i="14"/>
  <c r="K302" i="14"/>
  <c r="AA302" i="14"/>
  <c r="AH302" i="14"/>
  <c r="O302" i="14"/>
  <c r="AD302" i="14"/>
  <c r="T302" i="14"/>
  <c r="Z302" i="14"/>
  <c r="D302" i="14"/>
  <c r="I302" i="14"/>
  <c r="S302" i="14"/>
  <c r="R302" i="14"/>
  <c r="AE302" i="14"/>
  <c r="AB302" i="14"/>
  <c r="Y302" i="14"/>
  <c r="V302" i="14"/>
  <c r="G302" i="14"/>
  <c r="W302" i="14"/>
  <c r="P302" i="14"/>
  <c r="AG302" i="14"/>
  <c r="N302" i="14"/>
  <c r="J302" i="14"/>
  <c r="AI302" i="14"/>
  <c r="H302" i="14"/>
  <c r="Q302" i="14"/>
  <c r="C302" i="14"/>
  <c r="AC302" i="14"/>
  <c r="AF302" i="14"/>
  <c r="U302" i="14"/>
  <c r="E302" i="14"/>
  <c r="M302" i="14"/>
  <c r="I301" i="41"/>
  <c r="H301" i="41"/>
  <c r="J301" i="41"/>
  <c r="O301" i="41"/>
  <c r="AW302" i="6"/>
  <c r="BF302" i="6" s="1"/>
  <c r="BG302" i="6" s="1"/>
  <c r="BH302" i="6" s="1"/>
  <c r="A302" i="41"/>
  <c r="D302" i="41" s="1"/>
  <c r="F303" i="6"/>
  <c r="C303" i="6"/>
  <c r="B302" i="41" s="1"/>
  <c r="H303" i="6"/>
  <c r="AU303" i="6" s="1"/>
  <c r="B303" i="6"/>
  <c r="G303" i="6"/>
  <c r="D303" i="6"/>
  <c r="A303" i="14"/>
  <c r="E303" i="6"/>
  <c r="C302" i="41" s="1"/>
  <c r="G302" i="41"/>
  <c r="V303" i="6"/>
  <c r="I303" i="6"/>
  <c r="N303" i="6"/>
  <c r="U303" i="6"/>
  <c r="J303" i="6"/>
  <c r="AV303" i="6" s="1"/>
  <c r="R303" i="6"/>
  <c r="T303" i="6"/>
  <c r="Y303" i="6"/>
  <c r="AQ303" i="6"/>
  <c r="AZ303" i="6"/>
  <c r="BC303" i="6" s="1"/>
  <c r="AA303" i="6"/>
  <c r="AH303" i="6"/>
  <c r="L303" i="6"/>
  <c r="AB303" i="6"/>
  <c r="K303" i="6"/>
  <c r="AD303" i="6"/>
  <c r="AY303" i="6" s="1"/>
  <c r="BB303" i="6" s="1"/>
  <c r="O303" i="6"/>
  <c r="N302" i="41" s="1"/>
  <c r="AR303" i="6"/>
  <c r="S303" i="6"/>
  <c r="AF303" i="6"/>
  <c r="AE303" i="6"/>
  <c r="AG303" i="6"/>
  <c r="M303" i="6"/>
  <c r="M302" i="41" s="1"/>
  <c r="P302" i="41" s="1"/>
  <c r="Z303" i="6"/>
  <c r="A304" i="6"/>
  <c r="AJ304" i="6" l="1"/>
  <c r="AZ304" i="6" s="1"/>
  <c r="BC304" i="6" s="1"/>
  <c r="Q304" i="6"/>
  <c r="X304" i="6"/>
  <c r="AL304" i="6"/>
  <c r="AM304" i="6"/>
  <c r="AN304" i="6"/>
  <c r="AO304" i="6"/>
  <c r="AK304" i="6"/>
  <c r="AI303" i="14"/>
  <c r="H303" i="14"/>
  <c r="AH303" i="14"/>
  <c r="X303" i="14"/>
  <c r="J303" i="14"/>
  <c r="AF303" i="14"/>
  <c r="AE303" i="14"/>
  <c r="Z303" i="14"/>
  <c r="U303" i="14"/>
  <c r="AC303" i="14"/>
  <c r="AA303" i="14"/>
  <c r="W303" i="14"/>
  <c r="R303" i="14"/>
  <c r="O303" i="14"/>
  <c r="F303" i="14"/>
  <c r="T303" i="14"/>
  <c r="N303" i="14"/>
  <c r="G303" i="14"/>
  <c r="L303" i="14"/>
  <c r="V303" i="14"/>
  <c r="C303" i="14"/>
  <c r="AG303" i="14"/>
  <c r="D303" i="14"/>
  <c r="S303" i="14"/>
  <c r="AB303" i="14"/>
  <c r="Q303" i="14"/>
  <c r="AD303" i="14"/>
  <c r="K303" i="14"/>
  <c r="E303" i="14"/>
  <c r="AJ303" i="14"/>
  <c r="P303" i="14"/>
  <c r="I303" i="14"/>
  <c r="M303" i="14"/>
  <c r="Y303" i="14"/>
  <c r="AW303" i="6"/>
  <c r="BF303" i="6" s="1"/>
  <c r="BG303" i="6" s="1"/>
  <c r="BH303" i="6" s="1"/>
  <c r="O302" i="41"/>
  <c r="A304" i="14"/>
  <c r="E304" i="6"/>
  <c r="C303" i="41" s="1"/>
  <c r="G303" i="41"/>
  <c r="A303" i="41"/>
  <c r="D303" i="41" s="1"/>
  <c r="F304" i="6"/>
  <c r="C304" i="6"/>
  <c r="B303" i="41" s="1"/>
  <c r="H304" i="6"/>
  <c r="AU304" i="6" s="1"/>
  <c r="B304" i="6"/>
  <c r="G304" i="6"/>
  <c r="V304" i="6"/>
  <c r="D304" i="6"/>
  <c r="I304" i="6"/>
  <c r="J304" i="6"/>
  <c r="AV304" i="6" s="1"/>
  <c r="N304" i="6"/>
  <c r="S304" i="6"/>
  <c r="R304" i="6"/>
  <c r="T304" i="6"/>
  <c r="U304" i="6"/>
  <c r="K304" i="6"/>
  <c r="M304" i="6"/>
  <c r="M303" i="41" s="1"/>
  <c r="P303" i="41" s="1"/>
  <c r="O304" i="6"/>
  <c r="N303" i="41" s="1"/>
  <c r="AA304" i="6"/>
  <c r="AQ304" i="6"/>
  <c r="AH304" i="6"/>
  <c r="Y304" i="6"/>
  <c r="AR304" i="6"/>
  <c r="Z304" i="6"/>
  <c r="AX304" i="6"/>
  <c r="BA304" i="6" s="1"/>
  <c r="AB304" i="6"/>
  <c r="AD304" i="6"/>
  <c r="AY304" i="6" s="1"/>
  <c r="BB304" i="6" s="1"/>
  <c r="L304" i="6"/>
  <c r="AG304" i="6"/>
  <c r="AF304" i="6"/>
  <c r="AE304" i="6"/>
  <c r="A305" i="6"/>
  <c r="I302" i="41"/>
  <c r="H302" i="41"/>
  <c r="J302" i="41"/>
  <c r="AJ305" i="6" l="1"/>
  <c r="AZ305" i="6" s="1"/>
  <c r="BC305" i="6" s="1"/>
  <c r="Q305" i="6"/>
  <c r="X305" i="6"/>
  <c r="AL305" i="6"/>
  <c r="AO305" i="6"/>
  <c r="AK305" i="6"/>
  <c r="AM305" i="6"/>
  <c r="AN305" i="6"/>
  <c r="H303" i="41"/>
  <c r="I303" i="41"/>
  <c r="J303" i="41"/>
  <c r="V304" i="14"/>
  <c r="U304" i="14"/>
  <c r="W304" i="14"/>
  <c r="Y304" i="14"/>
  <c r="P304" i="14"/>
  <c r="L304" i="14"/>
  <c r="R304" i="14"/>
  <c r="AI304" i="14"/>
  <c r="H304" i="14"/>
  <c r="AB304" i="14"/>
  <c r="O304" i="14"/>
  <c r="J304" i="14"/>
  <c r="AJ304" i="14"/>
  <c r="AG304" i="14"/>
  <c r="K304" i="14"/>
  <c r="AH304" i="14"/>
  <c r="AC304" i="14"/>
  <c r="AF304" i="14"/>
  <c r="Q304" i="14"/>
  <c r="I304" i="14"/>
  <c r="N304" i="14"/>
  <c r="F304" i="14"/>
  <c r="AA304" i="14"/>
  <c r="E304" i="14"/>
  <c r="Z304" i="14"/>
  <c r="G304" i="14"/>
  <c r="S304" i="14"/>
  <c r="AD304" i="14"/>
  <c r="C304" i="14"/>
  <c r="AE304" i="14"/>
  <c r="T304" i="14"/>
  <c r="M304" i="14"/>
  <c r="X304" i="14"/>
  <c r="D304" i="14"/>
  <c r="C305" i="6"/>
  <c r="B304" i="41" s="1"/>
  <c r="H305" i="6"/>
  <c r="AU305" i="6" s="1"/>
  <c r="F305" i="6"/>
  <c r="B305" i="6"/>
  <c r="A305" i="14"/>
  <c r="G305" i="6"/>
  <c r="D305" i="6"/>
  <c r="G304" i="41"/>
  <c r="E305" i="6"/>
  <c r="C304" i="41" s="1"/>
  <c r="A304" i="41"/>
  <c r="D304" i="41" s="1"/>
  <c r="J305" i="6"/>
  <c r="AV305" i="6" s="1"/>
  <c r="N305" i="6"/>
  <c r="U305" i="6"/>
  <c r="I305" i="6"/>
  <c r="V305" i="6"/>
  <c r="S305" i="6"/>
  <c r="R305" i="6"/>
  <c r="AB305" i="6"/>
  <c r="Y305" i="6"/>
  <c r="AD305" i="6"/>
  <c r="AY305" i="6" s="1"/>
  <c r="BB305" i="6" s="1"/>
  <c r="T305" i="6"/>
  <c r="Z305" i="6"/>
  <c r="AA305" i="6"/>
  <c r="AQ305" i="6"/>
  <c r="M305" i="6"/>
  <c r="M304" i="41" s="1"/>
  <c r="P304" i="41" s="1"/>
  <c r="AR305" i="6"/>
  <c r="L305" i="6"/>
  <c r="K305" i="6"/>
  <c r="AF305" i="6"/>
  <c r="AG305" i="6"/>
  <c r="AH305" i="6"/>
  <c r="AE305" i="6"/>
  <c r="O305" i="6"/>
  <c r="N304" i="41" s="1"/>
  <c r="AX305" i="6"/>
  <c r="BA305" i="6" s="1"/>
  <c r="A306" i="6"/>
  <c r="AW304" i="6"/>
  <c r="BF304" i="6" s="1"/>
  <c r="BG304" i="6" s="1"/>
  <c r="BH304" i="6" s="1"/>
  <c r="O303" i="41"/>
  <c r="AJ306" i="6" l="1"/>
  <c r="AZ306" i="6" s="1"/>
  <c r="BC306" i="6" s="1"/>
  <c r="Q306" i="6"/>
  <c r="X306" i="6"/>
  <c r="AO306" i="6"/>
  <c r="AK306" i="6"/>
  <c r="AL306" i="6"/>
  <c r="AM306" i="6"/>
  <c r="AN306" i="6"/>
  <c r="I304" i="41"/>
  <c r="H304" i="41"/>
  <c r="J304" i="41"/>
  <c r="A305" i="41"/>
  <c r="D305" i="41" s="1"/>
  <c r="C306" i="6"/>
  <c r="B305" i="41" s="1"/>
  <c r="H306" i="6"/>
  <c r="AU306" i="6" s="1"/>
  <c r="D306" i="6"/>
  <c r="B306" i="6"/>
  <c r="A306" i="14"/>
  <c r="E306" i="6"/>
  <c r="C305" i="41" s="1"/>
  <c r="F306" i="6"/>
  <c r="G306" i="6"/>
  <c r="J306" i="6"/>
  <c r="AV306" i="6" s="1"/>
  <c r="N306" i="6"/>
  <c r="I306" i="6"/>
  <c r="G305" i="41"/>
  <c r="U306" i="6"/>
  <c r="V306" i="6"/>
  <c r="S306" i="6"/>
  <c r="R306" i="6"/>
  <c r="T306" i="6"/>
  <c r="L306" i="6"/>
  <c r="AB306" i="6"/>
  <c r="K306" i="6"/>
  <c r="AA306" i="6"/>
  <c r="AD306" i="6"/>
  <c r="AY306" i="6" s="1"/>
  <c r="BB306" i="6" s="1"/>
  <c r="O306" i="6"/>
  <c r="N305" i="41" s="1"/>
  <c r="Z306" i="6"/>
  <c r="Y306" i="6"/>
  <c r="AQ306" i="6"/>
  <c r="AX306" i="6"/>
  <c r="BA306" i="6" s="1"/>
  <c r="AR306" i="6"/>
  <c r="AH306" i="6"/>
  <c r="AF306" i="6"/>
  <c r="AE306" i="6"/>
  <c r="M306" i="6"/>
  <c r="M305" i="41" s="1"/>
  <c r="P305" i="41" s="1"/>
  <c r="AG306" i="6"/>
  <c r="A307" i="6"/>
  <c r="O304" i="41"/>
  <c r="AW305" i="6"/>
  <c r="BF305" i="6" s="1"/>
  <c r="BG305" i="6" s="1"/>
  <c r="BH305" i="6" s="1"/>
  <c r="S305" i="14"/>
  <c r="AB305" i="14"/>
  <c r="C305" i="14"/>
  <c r="E305" i="14"/>
  <c r="I305" i="14"/>
  <c r="O305" i="14"/>
  <c r="AJ305" i="14"/>
  <c r="P305" i="14"/>
  <c r="Z305" i="14"/>
  <c r="AE305" i="14"/>
  <c r="Y305" i="14"/>
  <c r="AI305" i="14"/>
  <c r="H305" i="14"/>
  <c r="K305" i="14"/>
  <c r="N305" i="14"/>
  <c r="AF305" i="14"/>
  <c r="AG305" i="14"/>
  <c r="U305" i="14"/>
  <c r="X305" i="14"/>
  <c r="J305" i="14"/>
  <c r="AA305" i="14"/>
  <c r="Q305" i="14"/>
  <c r="D305" i="14"/>
  <c r="W305" i="14"/>
  <c r="AC305" i="14"/>
  <c r="V305" i="14"/>
  <c r="AD305" i="14"/>
  <c r="AH305" i="14"/>
  <c r="L305" i="14"/>
  <c r="T305" i="14"/>
  <c r="M305" i="14"/>
  <c r="R305" i="14"/>
  <c r="G305" i="14"/>
  <c r="F305" i="14"/>
  <c r="X307" i="6" l="1"/>
  <c r="AJ307" i="6"/>
  <c r="Q307" i="6"/>
  <c r="AM307" i="6"/>
  <c r="AN307" i="6"/>
  <c r="AO307" i="6"/>
  <c r="AK307" i="6"/>
  <c r="AL307" i="6"/>
  <c r="I305" i="41"/>
  <c r="H305" i="41"/>
  <c r="J305" i="41"/>
  <c r="F307" i="6"/>
  <c r="G306" i="41"/>
  <c r="A306" i="41"/>
  <c r="D306" i="41" s="1"/>
  <c r="C307" i="6"/>
  <c r="B306" i="41" s="1"/>
  <c r="H307" i="6"/>
  <c r="AU307" i="6" s="1"/>
  <c r="B307" i="6"/>
  <c r="G307" i="6"/>
  <c r="D307" i="6"/>
  <c r="A307" i="14"/>
  <c r="E307" i="6"/>
  <c r="C306" i="41" s="1"/>
  <c r="I307" i="6"/>
  <c r="U307" i="6"/>
  <c r="V307" i="6"/>
  <c r="J307" i="6"/>
  <c r="AV307" i="6" s="1"/>
  <c r="N307" i="6"/>
  <c r="S307" i="6"/>
  <c r="AB307" i="6"/>
  <c r="AH307" i="6"/>
  <c r="AD307" i="6"/>
  <c r="AY307" i="6" s="1"/>
  <c r="BB307" i="6" s="1"/>
  <c r="L307" i="6"/>
  <c r="Z307" i="6"/>
  <c r="K307" i="6"/>
  <c r="Y307" i="6"/>
  <c r="AA307" i="6"/>
  <c r="AQ307" i="6"/>
  <c r="O307" i="6"/>
  <c r="N306" i="41" s="1"/>
  <c r="AR307" i="6"/>
  <c r="R307" i="6"/>
  <c r="AX307" i="6"/>
  <c r="BA307" i="6" s="1"/>
  <c r="AE307" i="6"/>
  <c r="M307" i="6"/>
  <c r="M306" i="41" s="1"/>
  <c r="P306" i="41" s="1"/>
  <c r="AG307" i="6"/>
  <c r="T307" i="6"/>
  <c r="AZ307" i="6"/>
  <c r="BC307" i="6" s="1"/>
  <c r="AF307" i="6"/>
  <c r="A308" i="6"/>
  <c r="O305" i="41"/>
  <c r="AW306" i="6"/>
  <c r="BF306" i="6" s="1"/>
  <c r="BG306" i="6" s="1"/>
  <c r="BH306" i="6" s="1"/>
  <c r="AC306" i="14"/>
  <c r="AA306" i="14"/>
  <c r="O306" i="14"/>
  <c r="W306" i="14"/>
  <c r="N306" i="14"/>
  <c r="F306" i="14"/>
  <c r="V306" i="14"/>
  <c r="D306" i="14"/>
  <c r="C306" i="14"/>
  <c r="G306" i="14"/>
  <c r="T306" i="14"/>
  <c r="AD306" i="14"/>
  <c r="AH306" i="14"/>
  <c r="E306" i="14"/>
  <c r="S306" i="14"/>
  <c r="M306" i="14"/>
  <c r="R306" i="14"/>
  <c r="P306" i="14"/>
  <c r="U306" i="14"/>
  <c r="AG306" i="14"/>
  <c r="Y306" i="14"/>
  <c r="AI306" i="14"/>
  <c r="H306" i="14"/>
  <c r="L306" i="14"/>
  <c r="Q306" i="14"/>
  <c r="AF306" i="14"/>
  <c r="I306" i="14"/>
  <c r="AB306" i="14"/>
  <c r="AE306" i="14"/>
  <c r="AJ306" i="14"/>
  <c r="X306" i="14"/>
  <c r="K306" i="14"/>
  <c r="Z306" i="14"/>
  <c r="J306" i="14"/>
  <c r="X308" i="6" l="1"/>
  <c r="AX308" i="6" s="1"/>
  <c r="BA308" i="6" s="1"/>
  <c r="AJ308" i="6"/>
  <c r="AZ308" i="6" s="1"/>
  <c r="BC308" i="6" s="1"/>
  <c r="Q308" i="6"/>
  <c r="AM308" i="6"/>
  <c r="AK308" i="6"/>
  <c r="AL308" i="6"/>
  <c r="AN308" i="6"/>
  <c r="AO308" i="6"/>
  <c r="A308" i="14"/>
  <c r="E308" i="6"/>
  <c r="C307" i="41" s="1"/>
  <c r="G307" i="41"/>
  <c r="A307" i="41"/>
  <c r="D307" i="41" s="1"/>
  <c r="F308" i="6"/>
  <c r="C308" i="6"/>
  <c r="B307" i="41" s="1"/>
  <c r="H308" i="6"/>
  <c r="AU308" i="6" s="1"/>
  <c r="B308" i="6"/>
  <c r="G308" i="6"/>
  <c r="D308" i="6"/>
  <c r="I308" i="6"/>
  <c r="J308" i="6"/>
  <c r="AV308" i="6" s="1"/>
  <c r="U308" i="6"/>
  <c r="N308" i="6"/>
  <c r="V308" i="6"/>
  <c r="T308" i="6"/>
  <c r="S308" i="6"/>
  <c r="AQ308" i="6"/>
  <c r="AR308" i="6"/>
  <c r="M308" i="6"/>
  <c r="M307" i="41" s="1"/>
  <c r="P307" i="41" s="1"/>
  <c r="AB308" i="6"/>
  <c r="R308" i="6"/>
  <c r="AD308" i="6"/>
  <c r="AY308" i="6" s="1"/>
  <c r="BB308" i="6" s="1"/>
  <c r="Z308" i="6"/>
  <c r="AH308" i="6"/>
  <c r="L308" i="6"/>
  <c r="K308" i="6"/>
  <c r="Y308" i="6"/>
  <c r="O308" i="6"/>
  <c r="N307" i="41" s="1"/>
  <c r="AF308" i="6"/>
  <c r="AE308" i="6"/>
  <c r="AA308" i="6"/>
  <c r="AG308" i="6"/>
  <c r="A309" i="6"/>
  <c r="I306" i="41"/>
  <c r="H306" i="41"/>
  <c r="J306" i="41"/>
  <c r="AF307" i="14"/>
  <c r="H307" i="14"/>
  <c r="X307" i="14"/>
  <c r="M307" i="14"/>
  <c r="J307" i="14"/>
  <c r="AI307" i="14"/>
  <c r="U307" i="14"/>
  <c r="O307" i="14"/>
  <c r="E307" i="14"/>
  <c r="AC307" i="14"/>
  <c r="AA307" i="14"/>
  <c r="L307" i="14"/>
  <c r="D307" i="14"/>
  <c r="I307" i="14"/>
  <c r="F307" i="14"/>
  <c r="V307" i="14"/>
  <c r="AH307" i="14"/>
  <c r="AE307" i="14"/>
  <c r="AB307" i="14"/>
  <c r="T307" i="14"/>
  <c r="Z307" i="14"/>
  <c r="W307" i="14"/>
  <c r="Q307" i="14"/>
  <c r="S307" i="14"/>
  <c r="R307" i="14"/>
  <c r="N307" i="14"/>
  <c r="K307" i="14"/>
  <c r="G307" i="14"/>
  <c r="C307" i="14"/>
  <c r="P307" i="14"/>
  <c r="AG307" i="14"/>
  <c r="AD307" i="14"/>
  <c r="Y307" i="14"/>
  <c r="AJ307" i="14"/>
  <c r="O306" i="41"/>
  <c r="AW307" i="6"/>
  <c r="BF307" i="6" s="1"/>
  <c r="BG307" i="6" s="1"/>
  <c r="BH307" i="6" s="1"/>
  <c r="X309" i="6" l="1"/>
  <c r="AJ309" i="6"/>
  <c r="Q309" i="6"/>
  <c r="AK309" i="6"/>
  <c r="AL309" i="6"/>
  <c r="AM309" i="6"/>
  <c r="AN309" i="6"/>
  <c r="AO309" i="6"/>
  <c r="O307" i="41"/>
  <c r="AW308" i="6"/>
  <c r="BF308" i="6" s="1"/>
  <c r="BG308" i="6" s="1"/>
  <c r="BH308" i="6" s="1"/>
  <c r="H307" i="41"/>
  <c r="I307" i="41"/>
  <c r="J307" i="41"/>
  <c r="C309" i="6"/>
  <c r="B308" i="41" s="1"/>
  <c r="H309" i="6"/>
  <c r="AU309" i="6" s="1"/>
  <c r="D309" i="6"/>
  <c r="B309" i="6"/>
  <c r="A309" i="14"/>
  <c r="E309" i="6"/>
  <c r="C308" i="41" s="1"/>
  <c r="G308" i="41"/>
  <c r="F309" i="6"/>
  <c r="A308" i="41"/>
  <c r="D308" i="41" s="1"/>
  <c r="G309" i="6"/>
  <c r="J309" i="6"/>
  <c r="AV309" i="6" s="1"/>
  <c r="N309" i="6"/>
  <c r="I309" i="6"/>
  <c r="U309" i="6"/>
  <c r="R309" i="6"/>
  <c r="T309" i="6"/>
  <c r="Z309" i="6"/>
  <c r="AZ309" i="6"/>
  <c r="BC309" i="6" s="1"/>
  <c r="AQ309" i="6"/>
  <c r="AX309" i="6"/>
  <c r="BA309" i="6" s="1"/>
  <c r="AR309" i="6"/>
  <c r="L309" i="6"/>
  <c r="K309" i="6"/>
  <c r="Y309" i="6"/>
  <c r="O309" i="6"/>
  <c r="N308" i="41" s="1"/>
  <c r="M309" i="6"/>
  <c r="M308" i="41" s="1"/>
  <c r="P308" i="41" s="1"/>
  <c r="AB309" i="6"/>
  <c r="S309" i="6"/>
  <c r="AD309" i="6"/>
  <c r="AY309" i="6" s="1"/>
  <c r="BB309" i="6" s="1"/>
  <c r="AH309" i="6"/>
  <c r="AG309" i="6"/>
  <c r="V309" i="6"/>
  <c r="AA309" i="6"/>
  <c r="AE309" i="6"/>
  <c r="AF309" i="6"/>
  <c r="A310" i="6"/>
  <c r="S308" i="14"/>
  <c r="K308" i="14"/>
  <c r="E308" i="14"/>
  <c r="Y308" i="14"/>
  <c r="P308" i="14"/>
  <c r="I308" i="14"/>
  <c r="M308" i="14"/>
  <c r="AI308" i="14"/>
  <c r="H308" i="14"/>
  <c r="AH308" i="14"/>
  <c r="L308" i="14"/>
  <c r="J308" i="14"/>
  <c r="AF308" i="14"/>
  <c r="AE308" i="14"/>
  <c r="Z308" i="14"/>
  <c r="AD308" i="14"/>
  <c r="AC308" i="14"/>
  <c r="AJ308" i="14"/>
  <c r="W308" i="14"/>
  <c r="R308" i="14"/>
  <c r="D308" i="14"/>
  <c r="F308" i="14"/>
  <c r="AA308" i="14"/>
  <c r="N308" i="14"/>
  <c r="G308" i="14"/>
  <c r="X308" i="14"/>
  <c r="V308" i="14"/>
  <c r="C308" i="14"/>
  <c r="AG308" i="14"/>
  <c r="U308" i="14"/>
  <c r="AB308" i="14"/>
  <c r="Q308" i="14"/>
  <c r="O308" i="14"/>
  <c r="T308" i="14"/>
  <c r="X310" i="6" l="1"/>
  <c r="AX310" i="6" s="1"/>
  <c r="BA310" i="6" s="1"/>
  <c r="AJ310" i="6"/>
  <c r="Q310" i="6"/>
  <c r="AK310" i="6"/>
  <c r="AN310" i="6"/>
  <c r="AO310" i="6"/>
  <c r="AL310" i="6"/>
  <c r="AM310" i="6"/>
  <c r="A309" i="41"/>
  <c r="D309" i="41" s="1"/>
  <c r="C310" i="6"/>
  <c r="B309" i="41" s="1"/>
  <c r="H310" i="6"/>
  <c r="AU310" i="6" s="1"/>
  <c r="B310" i="6"/>
  <c r="F310" i="6"/>
  <c r="D310" i="6"/>
  <c r="A310" i="14"/>
  <c r="E310" i="6"/>
  <c r="C309" i="41" s="1"/>
  <c r="G310" i="6"/>
  <c r="J310" i="6"/>
  <c r="AV310" i="6" s="1"/>
  <c r="G309" i="41"/>
  <c r="I310" i="6"/>
  <c r="N310" i="6"/>
  <c r="U310" i="6"/>
  <c r="V310" i="6"/>
  <c r="S310" i="6"/>
  <c r="R310" i="6"/>
  <c r="O310" i="6"/>
  <c r="N309" i="41" s="1"/>
  <c r="Z310" i="6"/>
  <c r="AR310" i="6"/>
  <c r="Y310" i="6"/>
  <c r="AQ310" i="6"/>
  <c r="AZ310" i="6"/>
  <c r="BC310" i="6" s="1"/>
  <c r="AH310" i="6"/>
  <c r="T310" i="6"/>
  <c r="L310" i="6"/>
  <c r="M310" i="6"/>
  <c r="M309" i="41" s="1"/>
  <c r="P309" i="41" s="1"/>
  <c r="AA310" i="6"/>
  <c r="AB310" i="6"/>
  <c r="AE310" i="6"/>
  <c r="AD310" i="6"/>
  <c r="AY310" i="6" s="1"/>
  <c r="BB310" i="6" s="1"/>
  <c r="AF310" i="6"/>
  <c r="AG310" i="6"/>
  <c r="K310" i="6"/>
  <c r="A311" i="6"/>
  <c r="H308" i="41"/>
  <c r="I308" i="41"/>
  <c r="J308" i="41"/>
  <c r="O308" i="41"/>
  <c r="AW309" i="6"/>
  <c r="BF309" i="6" s="1"/>
  <c r="BG309" i="6" s="1"/>
  <c r="BH309" i="6" s="1"/>
  <c r="S309" i="14"/>
  <c r="M309" i="14"/>
  <c r="Z309" i="14"/>
  <c r="D309" i="14"/>
  <c r="U309" i="14"/>
  <c r="C309" i="14"/>
  <c r="AJ309" i="14"/>
  <c r="P309" i="14"/>
  <c r="L309" i="14"/>
  <c r="X309" i="14"/>
  <c r="Y309" i="14"/>
  <c r="AI309" i="14"/>
  <c r="H309" i="14"/>
  <c r="AB309" i="14"/>
  <c r="W309" i="14"/>
  <c r="AF309" i="14"/>
  <c r="AG309" i="14"/>
  <c r="K309" i="14"/>
  <c r="R309" i="14"/>
  <c r="J309" i="14"/>
  <c r="AA309" i="14"/>
  <c r="Q309" i="14"/>
  <c r="I309" i="14"/>
  <c r="AE309" i="14"/>
  <c r="AC309" i="14"/>
  <c r="V309" i="14"/>
  <c r="E309" i="14"/>
  <c r="AH309" i="14"/>
  <c r="O309" i="14"/>
  <c r="N309" i="14"/>
  <c r="G309" i="14"/>
  <c r="F309" i="14"/>
  <c r="T309" i="14"/>
  <c r="AD309" i="14"/>
  <c r="Q311" i="6" l="1"/>
  <c r="X311" i="6"/>
  <c r="AJ311" i="6"/>
  <c r="AZ311" i="6" s="1"/>
  <c r="BC311" i="6" s="1"/>
  <c r="AN311" i="6"/>
  <c r="AK311" i="6"/>
  <c r="AL311" i="6"/>
  <c r="AM311" i="6"/>
  <c r="AO311" i="6"/>
  <c r="AC310" i="14"/>
  <c r="AF310" i="14"/>
  <c r="X310" i="14"/>
  <c r="M310" i="14"/>
  <c r="AG310" i="14"/>
  <c r="F310" i="14"/>
  <c r="AA310" i="14"/>
  <c r="O310" i="14"/>
  <c r="U310" i="14"/>
  <c r="G310" i="14"/>
  <c r="T310" i="14"/>
  <c r="D310" i="14"/>
  <c r="L310" i="14"/>
  <c r="E310" i="14"/>
  <c r="S310" i="14"/>
  <c r="AE310" i="14"/>
  <c r="Z310" i="14"/>
  <c r="AB310" i="14"/>
  <c r="V310" i="14"/>
  <c r="W310" i="14"/>
  <c r="R310" i="14"/>
  <c r="Y310" i="14"/>
  <c r="P310" i="14"/>
  <c r="N310" i="14"/>
  <c r="Q310" i="14"/>
  <c r="AI310" i="14"/>
  <c r="H310" i="14"/>
  <c r="C310" i="14"/>
  <c r="AH310" i="14"/>
  <c r="K310" i="14"/>
  <c r="J310" i="14"/>
  <c r="AJ310" i="14"/>
  <c r="I310" i="14"/>
  <c r="AD310" i="14"/>
  <c r="AW310" i="6"/>
  <c r="BF310" i="6" s="1"/>
  <c r="BG310" i="6" s="1"/>
  <c r="BH310" i="6" s="1"/>
  <c r="O309" i="41"/>
  <c r="I309" i="41"/>
  <c r="H309" i="41"/>
  <c r="J309" i="41"/>
  <c r="G310" i="41"/>
  <c r="F311" i="6"/>
  <c r="A310" i="41"/>
  <c r="D310" i="41" s="1"/>
  <c r="G311" i="6"/>
  <c r="C311" i="6"/>
  <c r="B310" i="41" s="1"/>
  <c r="H311" i="6"/>
  <c r="AU311" i="6" s="1"/>
  <c r="D311" i="6"/>
  <c r="A311" i="14"/>
  <c r="E311" i="6"/>
  <c r="C310" i="41" s="1"/>
  <c r="B311" i="6"/>
  <c r="J311" i="6"/>
  <c r="AV311" i="6" s="1"/>
  <c r="I311" i="6"/>
  <c r="U311" i="6"/>
  <c r="V311" i="6"/>
  <c r="S311" i="6"/>
  <c r="R311" i="6"/>
  <c r="N311" i="6"/>
  <c r="T311" i="6"/>
  <c r="Y311" i="6"/>
  <c r="L311" i="6"/>
  <c r="M311" i="6"/>
  <c r="M310" i="41" s="1"/>
  <c r="P310" i="41" s="1"/>
  <c r="K311" i="6"/>
  <c r="AA311" i="6"/>
  <c r="AB311" i="6"/>
  <c r="O311" i="6"/>
  <c r="N310" i="41" s="1"/>
  <c r="AD311" i="6"/>
  <c r="AY311" i="6" s="1"/>
  <c r="BB311" i="6" s="1"/>
  <c r="AQ311" i="6"/>
  <c r="AR311" i="6"/>
  <c r="Z311" i="6"/>
  <c r="AG311" i="6"/>
  <c r="AX311" i="6"/>
  <c r="BA311" i="6" s="1"/>
  <c r="AF311" i="6"/>
  <c r="AE311" i="6"/>
  <c r="AH311" i="6"/>
  <c r="A312" i="6"/>
  <c r="AJ312" i="6" l="1"/>
  <c r="Q312" i="6"/>
  <c r="X312" i="6"/>
  <c r="AL312" i="6"/>
  <c r="AM312" i="6"/>
  <c r="AN312" i="6"/>
  <c r="AO312" i="6"/>
  <c r="AK312" i="6"/>
  <c r="AF311" i="14"/>
  <c r="H311" i="14"/>
  <c r="Q311" i="14"/>
  <c r="C311" i="14"/>
  <c r="J311" i="14"/>
  <c r="AA311" i="14"/>
  <c r="U311" i="14"/>
  <c r="E311" i="14"/>
  <c r="AD311" i="14"/>
  <c r="AC311" i="14"/>
  <c r="T311" i="14"/>
  <c r="L311" i="14"/>
  <c r="X311" i="14"/>
  <c r="I311" i="14"/>
  <c r="F311" i="14"/>
  <c r="V311" i="14"/>
  <c r="AH311" i="14"/>
  <c r="O311" i="14"/>
  <c r="AB311" i="14"/>
  <c r="S311" i="14"/>
  <c r="Z311" i="14"/>
  <c r="D311" i="14"/>
  <c r="M311" i="14"/>
  <c r="R311" i="14"/>
  <c r="AE311" i="14"/>
  <c r="K311" i="14"/>
  <c r="AJ311" i="14"/>
  <c r="G311" i="14"/>
  <c r="W311" i="14"/>
  <c r="Y311" i="14"/>
  <c r="AI311" i="14"/>
  <c r="P311" i="14"/>
  <c r="AG311" i="14"/>
  <c r="N311" i="14"/>
  <c r="O310" i="41"/>
  <c r="AW311" i="6"/>
  <c r="BF311" i="6" s="1"/>
  <c r="BG311" i="6" s="1"/>
  <c r="BH311" i="6" s="1"/>
  <c r="I310" i="41"/>
  <c r="H310" i="41"/>
  <c r="J310" i="41"/>
  <c r="G312" i="6"/>
  <c r="D312" i="6"/>
  <c r="A312" i="14"/>
  <c r="E312" i="6"/>
  <c r="C311" i="41" s="1"/>
  <c r="G311" i="41"/>
  <c r="F312" i="6"/>
  <c r="A311" i="41"/>
  <c r="D311" i="41" s="1"/>
  <c r="C312" i="6"/>
  <c r="B311" i="41" s="1"/>
  <c r="H312" i="6"/>
  <c r="AU312" i="6" s="1"/>
  <c r="B312" i="6"/>
  <c r="I312" i="6"/>
  <c r="V312" i="6"/>
  <c r="J312" i="6"/>
  <c r="AV312" i="6" s="1"/>
  <c r="N312" i="6"/>
  <c r="U312" i="6"/>
  <c r="S312" i="6"/>
  <c r="T312" i="6"/>
  <c r="R312" i="6"/>
  <c r="AB312" i="6"/>
  <c r="M312" i="6"/>
  <c r="M311" i="41" s="1"/>
  <c r="P311" i="41" s="1"/>
  <c r="AD312" i="6"/>
  <c r="AY312" i="6" s="1"/>
  <c r="BB312" i="6" s="1"/>
  <c r="AH312" i="6"/>
  <c r="L312" i="6"/>
  <c r="K312" i="6"/>
  <c r="Z312" i="6"/>
  <c r="AA312" i="6"/>
  <c r="AQ312" i="6"/>
  <c r="O312" i="6"/>
  <c r="N311" i="41" s="1"/>
  <c r="Y312" i="6"/>
  <c r="AZ312" i="6"/>
  <c r="BC312" i="6" s="1"/>
  <c r="AX312" i="6"/>
  <c r="BA312" i="6" s="1"/>
  <c r="AR312" i="6"/>
  <c r="AF312" i="6"/>
  <c r="AE312" i="6"/>
  <c r="AG312" i="6"/>
  <c r="A313" i="6"/>
  <c r="AJ313" i="6" l="1"/>
  <c r="Q313" i="6"/>
  <c r="X313" i="6"/>
  <c r="AL313" i="6"/>
  <c r="AO313" i="6"/>
  <c r="AK313" i="6"/>
  <c r="AM313" i="6"/>
  <c r="AN313" i="6"/>
  <c r="O311" i="41"/>
  <c r="AW312" i="6"/>
  <c r="BF312" i="6" s="1"/>
  <c r="BG312" i="6" s="1"/>
  <c r="BH312" i="6" s="1"/>
  <c r="H311" i="41"/>
  <c r="I311" i="41"/>
  <c r="J311" i="41"/>
  <c r="S312" i="14"/>
  <c r="U312" i="14"/>
  <c r="AH312" i="14"/>
  <c r="AE312" i="14"/>
  <c r="V312" i="14"/>
  <c r="AB312" i="14"/>
  <c r="Q312" i="14"/>
  <c r="L312" i="14"/>
  <c r="Y312" i="14"/>
  <c r="T312" i="14"/>
  <c r="N312" i="14"/>
  <c r="E312" i="14"/>
  <c r="P312" i="14"/>
  <c r="C312" i="14"/>
  <c r="D312" i="14"/>
  <c r="J312" i="14"/>
  <c r="AI312" i="14"/>
  <c r="H312" i="14"/>
  <c r="K312" i="14"/>
  <c r="Z312" i="14"/>
  <c r="AC312" i="14"/>
  <c r="AJ312" i="14"/>
  <c r="AG312" i="14"/>
  <c r="I312" i="14"/>
  <c r="W312" i="14"/>
  <c r="F312" i="14"/>
  <c r="AF312" i="14"/>
  <c r="X312" i="14"/>
  <c r="R312" i="14"/>
  <c r="O312" i="14"/>
  <c r="M312" i="14"/>
  <c r="AA312" i="14"/>
  <c r="AD312" i="14"/>
  <c r="G312" i="14"/>
  <c r="C313" i="6"/>
  <c r="B312" i="41" s="1"/>
  <c r="B313" i="6"/>
  <c r="D313" i="6"/>
  <c r="E313" i="6"/>
  <c r="C312" i="41" s="1"/>
  <c r="H313" i="6"/>
  <c r="AU313" i="6" s="1"/>
  <c r="G312" i="41"/>
  <c r="F313" i="6"/>
  <c r="A312" i="41"/>
  <c r="D312" i="41" s="1"/>
  <c r="A313" i="14"/>
  <c r="G313" i="6"/>
  <c r="U313" i="6"/>
  <c r="J313" i="6"/>
  <c r="AV313" i="6" s="1"/>
  <c r="V313" i="6"/>
  <c r="I313" i="6"/>
  <c r="N313" i="6"/>
  <c r="T313" i="6"/>
  <c r="S313" i="6"/>
  <c r="AH313" i="6"/>
  <c r="AA313" i="6"/>
  <c r="AB313" i="6"/>
  <c r="AD313" i="6"/>
  <c r="AY313" i="6" s="1"/>
  <c r="BB313" i="6" s="1"/>
  <c r="M313" i="6"/>
  <c r="M312" i="41" s="1"/>
  <c r="P312" i="41" s="1"/>
  <c r="AX313" i="6"/>
  <c r="BA313" i="6" s="1"/>
  <c r="Y313" i="6"/>
  <c r="Z313" i="6"/>
  <c r="L313" i="6"/>
  <c r="K313" i="6"/>
  <c r="AQ313" i="6"/>
  <c r="AZ313" i="6"/>
  <c r="BC313" i="6" s="1"/>
  <c r="AR313" i="6"/>
  <c r="AF313" i="6"/>
  <c r="O313" i="6"/>
  <c r="N312" i="41" s="1"/>
  <c r="AE313" i="6"/>
  <c r="R313" i="6"/>
  <c r="AG313" i="6"/>
  <c r="A314" i="6"/>
  <c r="AJ314" i="6" l="1"/>
  <c r="AZ314" i="6" s="1"/>
  <c r="BC314" i="6" s="1"/>
  <c r="Q314" i="6"/>
  <c r="X314" i="6"/>
  <c r="AO314" i="6"/>
  <c r="AK314" i="6"/>
  <c r="AL314" i="6"/>
  <c r="AM314" i="6"/>
  <c r="AN314" i="6"/>
  <c r="AI313" i="14"/>
  <c r="I313" i="14"/>
  <c r="AE313" i="14"/>
  <c r="E313" i="14"/>
  <c r="J313" i="14"/>
  <c r="AF313" i="14"/>
  <c r="AH313" i="14"/>
  <c r="W313" i="14"/>
  <c r="AB313" i="14"/>
  <c r="AC313" i="14"/>
  <c r="AA313" i="14"/>
  <c r="Z313" i="14"/>
  <c r="N313" i="14"/>
  <c r="Q313" i="14"/>
  <c r="F313" i="14"/>
  <c r="V313" i="14"/>
  <c r="R313" i="14"/>
  <c r="C313" i="14"/>
  <c r="U313" i="14"/>
  <c r="T313" i="14"/>
  <c r="G313" i="14"/>
  <c r="AD313" i="14"/>
  <c r="L313" i="14"/>
  <c r="S313" i="14"/>
  <c r="X313" i="14"/>
  <c r="M313" i="14"/>
  <c r="P313" i="14"/>
  <c r="O313" i="14"/>
  <c r="AG313" i="14"/>
  <c r="Y313" i="14"/>
  <c r="AJ313" i="14"/>
  <c r="H313" i="14"/>
  <c r="D313" i="14"/>
  <c r="K313" i="14"/>
  <c r="I312" i="41"/>
  <c r="H312" i="41"/>
  <c r="J312" i="41"/>
  <c r="O312" i="41"/>
  <c r="AW313" i="6"/>
  <c r="BF313" i="6" s="1"/>
  <c r="BG313" i="6" s="1"/>
  <c r="BH313" i="6" s="1"/>
  <c r="G313" i="41"/>
  <c r="A313" i="41"/>
  <c r="D313" i="41" s="1"/>
  <c r="F314" i="6"/>
  <c r="B314" i="6"/>
  <c r="C314" i="6"/>
  <c r="B313" i="41" s="1"/>
  <c r="H314" i="6"/>
  <c r="AU314" i="6" s="1"/>
  <c r="G314" i="6"/>
  <c r="D314" i="6"/>
  <c r="A314" i="14"/>
  <c r="E314" i="6"/>
  <c r="C313" i="41" s="1"/>
  <c r="N314" i="6"/>
  <c r="J314" i="6"/>
  <c r="AV314" i="6" s="1"/>
  <c r="I314" i="6"/>
  <c r="U314" i="6"/>
  <c r="V314" i="6"/>
  <c r="S314" i="6"/>
  <c r="O314" i="6"/>
  <c r="N313" i="41" s="1"/>
  <c r="M314" i="6"/>
  <c r="M313" i="41" s="1"/>
  <c r="P313" i="41" s="1"/>
  <c r="AA314" i="6"/>
  <c r="R314" i="6"/>
  <c r="Z314" i="6"/>
  <c r="AX314" i="6"/>
  <c r="BA314" i="6" s="1"/>
  <c r="Y314" i="6"/>
  <c r="AB314" i="6"/>
  <c r="T314" i="6"/>
  <c r="AD314" i="6"/>
  <c r="AY314" i="6" s="1"/>
  <c r="BB314" i="6" s="1"/>
  <c r="L314" i="6"/>
  <c r="AR314" i="6"/>
  <c r="AH314" i="6"/>
  <c r="AE314" i="6"/>
  <c r="AF314" i="6"/>
  <c r="AG314" i="6"/>
  <c r="AQ314" i="6"/>
  <c r="K314" i="6"/>
  <c r="A315" i="6"/>
  <c r="X315" i="6" l="1"/>
  <c r="AJ315" i="6"/>
  <c r="Q315" i="6"/>
  <c r="AM315" i="6"/>
  <c r="AN315" i="6"/>
  <c r="AO315" i="6"/>
  <c r="AK315" i="6"/>
  <c r="AL315" i="6"/>
  <c r="Y314" i="14"/>
  <c r="AF314" i="14"/>
  <c r="H314" i="14"/>
  <c r="G314" i="14"/>
  <c r="I314" i="14"/>
  <c r="AA314" i="14"/>
  <c r="U314" i="14"/>
  <c r="AG314" i="14"/>
  <c r="W314" i="14"/>
  <c r="J314" i="14"/>
  <c r="AJ314" i="14"/>
  <c r="L314" i="14"/>
  <c r="Q314" i="14"/>
  <c r="N314" i="14"/>
  <c r="AC314" i="14"/>
  <c r="V314" i="14"/>
  <c r="AB314" i="14"/>
  <c r="E314" i="14"/>
  <c r="M314" i="14"/>
  <c r="F314" i="14"/>
  <c r="T314" i="14"/>
  <c r="K314" i="14"/>
  <c r="X314" i="14"/>
  <c r="C314" i="14"/>
  <c r="S314" i="14"/>
  <c r="AH314" i="14"/>
  <c r="O314" i="14"/>
  <c r="AD314" i="14"/>
  <c r="Z314" i="14"/>
  <c r="D314" i="14"/>
  <c r="AI314" i="14"/>
  <c r="P314" i="14"/>
  <c r="R314" i="14"/>
  <c r="AE314" i="14"/>
  <c r="I313" i="41"/>
  <c r="H313" i="41"/>
  <c r="J313" i="41"/>
  <c r="AW314" i="6"/>
  <c r="BF314" i="6" s="1"/>
  <c r="BG314" i="6" s="1"/>
  <c r="BH314" i="6" s="1"/>
  <c r="O313" i="41"/>
  <c r="A315" i="14"/>
  <c r="E315" i="6"/>
  <c r="C314" i="41" s="1"/>
  <c r="G314" i="41"/>
  <c r="F315" i="6"/>
  <c r="A314" i="41"/>
  <c r="D314" i="41" s="1"/>
  <c r="C315" i="6"/>
  <c r="B314" i="41" s="1"/>
  <c r="H315" i="6"/>
  <c r="AU315" i="6" s="1"/>
  <c r="B315" i="6"/>
  <c r="D315" i="6"/>
  <c r="I315" i="6"/>
  <c r="J315" i="6"/>
  <c r="AV315" i="6" s="1"/>
  <c r="U315" i="6"/>
  <c r="N315" i="6"/>
  <c r="V315" i="6"/>
  <c r="G315" i="6"/>
  <c r="T315" i="6"/>
  <c r="S315" i="6"/>
  <c r="R315" i="6"/>
  <c r="AA315" i="6"/>
  <c r="AQ315" i="6"/>
  <c r="Z315" i="6"/>
  <c r="M315" i="6"/>
  <c r="M314" i="41" s="1"/>
  <c r="P314" i="41" s="1"/>
  <c r="AB315" i="6"/>
  <c r="L315" i="6"/>
  <c r="AD315" i="6"/>
  <c r="AY315" i="6" s="1"/>
  <c r="BB315" i="6" s="1"/>
  <c r="AH315" i="6"/>
  <c r="K315" i="6"/>
  <c r="AX315" i="6"/>
  <c r="BA315" i="6" s="1"/>
  <c r="AZ315" i="6"/>
  <c r="BC315" i="6" s="1"/>
  <c r="O315" i="6"/>
  <c r="N314" i="41" s="1"/>
  <c r="Y315" i="6"/>
  <c r="AF315" i="6"/>
  <c r="AE315" i="6"/>
  <c r="AG315" i="6"/>
  <c r="AR315" i="6"/>
  <c r="A316" i="6"/>
  <c r="X316" i="6" l="1"/>
  <c r="AJ316" i="6"/>
  <c r="Q316" i="6"/>
  <c r="AM316" i="6"/>
  <c r="AK316" i="6"/>
  <c r="AL316" i="6"/>
  <c r="AN316" i="6"/>
  <c r="AO316" i="6"/>
  <c r="AW315" i="6"/>
  <c r="BF315" i="6" s="1"/>
  <c r="BG315" i="6" s="1"/>
  <c r="BH315" i="6" s="1"/>
  <c r="O314" i="41"/>
  <c r="S315" i="14"/>
  <c r="M315" i="14"/>
  <c r="X315" i="14"/>
  <c r="Y315" i="14"/>
  <c r="P315" i="14"/>
  <c r="AB315" i="14"/>
  <c r="O315" i="14"/>
  <c r="AJ315" i="14"/>
  <c r="H315" i="14"/>
  <c r="K315" i="14"/>
  <c r="AG315" i="14"/>
  <c r="J315" i="14"/>
  <c r="AI315" i="14"/>
  <c r="AE315" i="14"/>
  <c r="I315" i="14"/>
  <c r="L315" i="14"/>
  <c r="AC315" i="14"/>
  <c r="AF315" i="14"/>
  <c r="W315" i="14"/>
  <c r="AH315" i="14"/>
  <c r="E315" i="14"/>
  <c r="F315" i="14"/>
  <c r="AA315" i="14"/>
  <c r="N315" i="14"/>
  <c r="Z315" i="14"/>
  <c r="D315" i="14"/>
  <c r="V315" i="14"/>
  <c r="C315" i="14"/>
  <c r="R315" i="14"/>
  <c r="Q315" i="14"/>
  <c r="T315" i="14"/>
  <c r="AD315" i="14"/>
  <c r="G315" i="14"/>
  <c r="U315" i="14"/>
  <c r="H314" i="41"/>
  <c r="I314" i="41"/>
  <c r="J314" i="41"/>
  <c r="C316" i="6"/>
  <c r="B315" i="41" s="1"/>
  <c r="B316" i="6"/>
  <c r="G316" i="6"/>
  <c r="D316" i="6"/>
  <c r="A316" i="14"/>
  <c r="E316" i="6"/>
  <c r="C315" i="41" s="1"/>
  <c r="G315" i="41"/>
  <c r="F316" i="6"/>
  <c r="A315" i="41"/>
  <c r="D315" i="41" s="1"/>
  <c r="H316" i="6"/>
  <c r="AU316" i="6" s="1"/>
  <c r="N316" i="6"/>
  <c r="I316" i="6"/>
  <c r="J316" i="6"/>
  <c r="AV316" i="6" s="1"/>
  <c r="U316" i="6"/>
  <c r="V316" i="6"/>
  <c r="S316" i="6"/>
  <c r="T316" i="6"/>
  <c r="Z316" i="6"/>
  <c r="L316" i="6"/>
  <c r="M316" i="6"/>
  <c r="M315" i="41" s="1"/>
  <c r="P315" i="41" s="1"/>
  <c r="AA316" i="6"/>
  <c r="AQ316" i="6"/>
  <c r="AH316" i="6"/>
  <c r="K316" i="6"/>
  <c r="Y316" i="6"/>
  <c r="O316" i="6"/>
  <c r="N315" i="41" s="1"/>
  <c r="AB316" i="6"/>
  <c r="AR316" i="6"/>
  <c r="AX316" i="6"/>
  <c r="BA316" i="6" s="1"/>
  <c r="AD316" i="6"/>
  <c r="AY316" i="6" s="1"/>
  <c r="BB316" i="6" s="1"/>
  <c r="R316" i="6"/>
  <c r="AZ316" i="6"/>
  <c r="BC316" i="6" s="1"/>
  <c r="AG316" i="6"/>
  <c r="AE316" i="6"/>
  <c r="AF316" i="6"/>
  <c r="A317" i="6"/>
  <c r="X317" i="6" l="1"/>
  <c r="AX317" i="6" s="1"/>
  <c r="BA317" i="6" s="1"/>
  <c r="AJ317" i="6"/>
  <c r="Q317" i="6"/>
  <c r="AK317" i="6"/>
  <c r="AL317" i="6"/>
  <c r="AM317" i="6"/>
  <c r="AN317" i="6"/>
  <c r="AO317" i="6"/>
  <c r="H315" i="41"/>
  <c r="I315" i="41"/>
  <c r="J315" i="41"/>
  <c r="O315" i="41"/>
  <c r="AW316" i="6"/>
  <c r="BF316" i="6" s="1"/>
  <c r="BG316" i="6" s="1"/>
  <c r="BH316" i="6" s="1"/>
  <c r="F316" i="14"/>
  <c r="T316" i="14"/>
  <c r="X316" i="14"/>
  <c r="K316" i="14"/>
  <c r="AH316" i="14"/>
  <c r="S316" i="14"/>
  <c r="O316" i="14"/>
  <c r="N316" i="14"/>
  <c r="AE316" i="14"/>
  <c r="D316" i="14"/>
  <c r="C316" i="14"/>
  <c r="Y316" i="14"/>
  <c r="AI316" i="14"/>
  <c r="P316" i="14"/>
  <c r="AD316" i="14"/>
  <c r="Z316" i="14"/>
  <c r="AJ316" i="14"/>
  <c r="H316" i="14"/>
  <c r="M316" i="14"/>
  <c r="W316" i="14"/>
  <c r="AF316" i="14"/>
  <c r="AG316" i="14"/>
  <c r="U316" i="14"/>
  <c r="R316" i="14"/>
  <c r="J316" i="14"/>
  <c r="AA316" i="14"/>
  <c r="Q316" i="14"/>
  <c r="L316" i="14"/>
  <c r="I316" i="14"/>
  <c r="V316" i="14"/>
  <c r="E316" i="14"/>
  <c r="AB316" i="14"/>
  <c r="G316" i="14"/>
  <c r="AC316" i="14"/>
  <c r="C317" i="6"/>
  <c r="B316" i="41" s="1"/>
  <c r="H317" i="6"/>
  <c r="AU317" i="6" s="1"/>
  <c r="B317" i="6"/>
  <c r="G317" i="6"/>
  <c r="D317" i="6"/>
  <c r="A317" i="14"/>
  <c r="E317" i="6"/>
  <c r="C316" i="41" s="1"/>
  <c r="G316" i="41"/>
  <c r="F317" i="6"/>
  <c r="A316" i="41"/>
  <c r="D316" i="41" s="1"/>
  <c r="N317" i="6"/>
  <c r="J317" i="6"/>
  <c r="AV317" i="6" s="1"/>
  <c r="U317" i="6"/>
  <c r="R317" i="6"/>
  <c r="T317" i="6"/>
  <c r="V317" i="6"/>
  <c r="I317" i="6"/>
  <c r="O317" i="6"/>
  <c r="N316" i="41" s="1"/>
  <c r="AD317" i="6"/>
  <c r="AY317" i="6" s="1"/>
  <c r="BB317" i="6" s="1"/>
  <c r="AZ317" i="6"/>
  <c r="BC317" i="6" s="1"/>
  <c r="Z317" i="6"/>
  <c r="M317" i="6"/>
  <c r="M316" i="41" s="1"/>
  <c r="P316" i="41" s="1"/>
  <c r="Y317" i="6"/>
  <c r="AR317" i="6"/>
  <c r="AQ317" i="6"/>
  <c r="L317" i="6"/>
  <c r="AA317" i="6"/>
  <c r="S317" i="6"/>
  <c r="AF317" i="6"/>
  <c r="AH317" i="6"/>
  <c r="AE317" i="6"/>
  <c r="K317" i="6"/>
  <c r="AG317" i="6"/>
  <c r="AB317" i="6"/>
  <c r="A318" i="6"/>
  <c r="X318" i="6" l="1"/>
  <c r="AJ318" i="6"/>
  <c r="Q318" i="6"/>
  <c r="AK318" i="6"/>
  <c r="AN318" i="6"/>
  <c r="AO318" i="6"/>
  <c r="AL318" i="6"/>
  <c r="AM318" i="6"/>
  <c r="I316" i="41"/>
  <c r="H316" i="41"/>
  <c r="J316" i="41"/>
  <c r="AC317" i="14"/>
  <c r="AA317" i="14"/>
  <c r="AH317" i="14"/>
  <c r="W317" i="14"/>
  <c r="AG317" i="14"/>
  <c r="F317" i="14"/>
  <c r="AI317" i="14"/>
  <c r="Z317" i="14"/>
  <c r="N317" i="14"/>
  <c r="K317" i="14"/>
  <c r="V317" i="14"/>
  <c r="R317" i="14"/>
  <c r="C317" i="14"/>
  <c r="E317" i="14"/>
  <c r="T317" i="14"/>
  <c r="G317" i="14"/>
  <c r="AD317" i="14"/>
  <c r="U317" i="14"/>
  <c r="S317" i="14"/>
  <c r="X317" i="14"/>
  <c r="M317" i="14"/>
  <c r="Y317" i="14"/>
  <c r="P317" i="14"/>
  <c r="O317" i="14"/>
  <c r="AB317" i="14"/>
  <c r="AJ317" i="14"/>
  <c r="H317" i="14"/>
  <c r="D317" i="14"/>
  <c r="Q317" i="14"/>
  <c r="AF317" i="14"/>
  <c r="I317" i="14"/>
  <c r="AE317" i="14"/>
  <c r="L317" i="14"/>
  <c r="J317" i="14"/>
  <c r="O316" i="41"/>
  <c r="AW317" i="6"/>
  <c r="BF317" i="6" s="1"/>
  <c r="BG317" i="6" s="1"/>
  <c r="BH317" i="6" s="1"/>
  <c r="G317" i="41"/>
  <c r="A317" i="41"/>
  <c r="D317" i="41" s="1"/>
  <c r="C318" i="6"/>
  <c r="B317" i="41" s="1"/>
  <c r="H318" i="6"/>
  <c r="AU318" i="6" s="1"/>
  <c r="B318" i="6"/>
  <c r="F318" i="6"/>
  <c r="G318" i="6"/>
  <c r="A318" i="14"/>
  <c r="D318" i="6"/>
  <c r="E318" i="6"/>
  <c r="C317" i="41" s="1"/>
  <c r="N318" i="6"/>
  <c r="J318" i="6"/>
  <c r="AV318" i="6" s="1"/>
  <c r="V318" i="6"/>
  <c r="I318" i="6"/>
  <c r="U318" i="6"/>
  <c r="S318" i="6"/>
  <c r="R318" i="6"/>
  <c r="T318" i="6"/>
  <c r="AD318" i="6"/>
  <c r="AY318" i="6" s="1"/>
  <c r="BB318" i="6" s="1"/>
  <c r="Y318" i="6"/>
  <c r="AZ318" i="6"/>
  <c r="BC318" i="6" s="1"/>
  <c r="AR318" i="6"/>
  <c r="M318" i="6"/>
  <c r="M317" i="41" s="1"/>
  <c r="P317" i="41" s="1"/>
  <c r="AQ318" i="6"/>
  <c r="L318" i="6"/>
  <c r="AA318" i="6"/>
  <c r="K318" i="6"/>
  <c r="AH318" i="6"/>
  <c r="O318" i="6"/>
  <c r="N317" i="41" s="1"/>
  <c r="AX318" i="6"/>
  <c r="BA318" i="6" s="1"/>
  <c r="AG318" i="6"/>
  <c r="AB318" i="6"/>
  <c r="Z318" i="6"/>
  <c r="AF318" i="6"/>
  <c r="AE318" i="6"/>
  <c r="A319" i="6"/>
  <c r="Q319" i="6" l="1"/>
  <c r="X319" i="6"/>
  <c r="AJ319" i="6"/>
  <c r="AN319" i="6"/>
  <c r="AK319" i="6"/>
  <c r="AL319" i="6"/>
  <c r="AM319" i="6"/>
  <c r="AO319" i="6"/>
  <c r="I317" i="41"/>
  <c r="H317" i="41"/>
  <c r="J317" i="41"/>
  <c r="AI318" i="14"/>
  <c r="H318" i="14"/>
  <c r="G318" i="14"/>
  <c r="I318" i="14"/>
  <c r="J318" i="14"/>
  <c r="AF318" i="14"/>
  <c r="U318" i="14"/>
  <c r="AG318" i="14"/>
  <c r="AD318" i="14"/>
  <c r="AC318" i="14"/>
  <c r="AJ318" i="14"/>
  <c r="L318" i="14"/>
  <c r="Q318" i="14"/>
  <c r="C318" i="14"/>
  <c r="F318" i="14"/>
  <c r="AA318" i="14"/>
  <c r="AB318" i="14"/>
  <c r="E318" i="14"/>
  <c r="W318" i="14"/>
  <c r="T318" i="14"/>
  <c r="K318" i="14"/>
  <c r="X318" i="14"/>
  <c r="N318" i="14"/>
  <c r="S318" i="14"/>
  <c r="AH318" i="14"/>
  <c r="O318" i="14"/>
  <c r="M318" i="14"/>
  <c r="V318" i="14"/>
  <c r="Z318" i="14"/>
  <c r="D318" i="14"/>
  <c r="P318" i="14"/>
  <c r="R318" i="14"/>
  <c r="AE318" i="14"/>
  <c r="Y318" i="14"/>
  <c r="O317" i="41"/>
  <c r="AW318" i="6"/>
  <c r="BF318" i="6" s="1"/>
  <c r="BG318" i="6" s="1"/>
  <c r="BH318" i="6" s="1"/>
  <c r="A319" i="14"/>
  <c r="E319" i="6"/>
  <c r="C318" i="41" s="1"/>
  <c r="B319" i="6"/>
  <c r="G318" i="41"/>
  <c r="F319" i="6"/>
  <c r="A318" i="41"/>
  <c r="D318" i="41" s="1"/>
  <c r="G319" i="6"/>
  <c r="C319" i="6"/>
  <c r="B318" i="41" s="1"/>
  <c r="H319" i="6"/>
  <c r="AU319" i="6" s="1"/>
  <c r="D319" i="6"/>
  <c r="I319" i="6"/>
  <c r="N319" i="6"/>
  <c r="U319" i="6"/>
  <c r="V319" i="6"/>
  <c r="J319" i="6"/>
  <c r="AV319" i="6" s="1"/>
  <c r="R319" i="6"/>
  <c r="T319" i="6"/>
  <c r="L319" i="6"/>
  <c r="AX319" i="6"/>
  <c r="BA319" i="6" s="1"/>
  <c r="AZ319" i="6"/>
  <c r="BC319" i="6" s="1"/>
  <c r="K319" i="6"/>
  <c r="Y319" i="6"/>
  <c r="AH319" i="6"/>
  <c r="O319" i="6"/>
  <c r="N318" i="41" s="1"/>
  <c r="AB319" i="6"/>
  <c r="S319" i="6"/>
  <c r="AD319" i="6"/>
  <c r="AY319" i="6" s="1"/>
  <c r="BB319" i="6" s="1"/>
  <c r="Z319" i="6"/>
  <c r="AR319" i="6"/>
  <c r="M319" i="6"/>
  <c r="M318" i="41" s="1"/>
  <c r="P318" i="41" s="1"/>
  <c r="AA319" i="6"/>
  <c r="AF319" i="6"/>
  <c r="AE319" i="6"/>
  <c r="AG319" i="6"/>
  <c r="AQ319" i="6"/>
  <c r="A320" i="6"/>
  <c r="AJ320" i="6" l="1"/>
  <c r="AZ320" i="6" s="1"/>
  <c r="BC320" i="6" s="1"/>
  <c r="Q320" i="6"/>
  <c r="X320" i="6"/>
  <c r="AX320" i="6" s="1"/>
  <c r="BA320" i="6" s="1"/>
  <c r="AL320" i="6"/>
  <c r="AM320" i="6"/>
  <c r="AN320" i="6"/>
  <c r="AO320" i="6"/>
  <c r="AK320" i="6"/>
  <c r="AJ319" i="14"/>
  <c r="M319" i="14"/>
  <c r="E319" i="14"/>
  <c r="Y319" i="14"/>
  <c r="AI319" i="14"/>
  <c r="P319" i="14"/>
  <c r="AB319" i="14"/>
  <c r="X319" i="14"/>
  <c r="AF319" i="14"/>
  <c r="H319" i="14"/>
  <c r="K319" i="14"/>
  <c r="U319" i="14"/>
  <c r="J319" i="14"/>
  <c r="AA319" i="14"/>
  <c r="AE319" i="14"/>
  <c r="I319" i="14"/>
  <c r="Q319" i="14"/>
  <c r="AC319" i="14"/>
  <c r="T319" i="14"/>
  <c r="W319" i="14"/>
  <c r="AH319" i="14"/>
  <c r="O319" i="14"/>
  <c r="F319" i="14"/>
  <c r="V319" i="14"/>
  <c r="N319" i="14"/>
  <c r="Z319" i="14"/>
  <c r="D319" i="14"/>
  <c r="S319" i="14"/>
  <c r="C319" i="14"/>
  <c r="R319" i="14"/>
  <c r="AG319" i="14"/>
  <c r="G319" i="14"/>
  <c r="L319" i="14"/>
  <c r="AD319" i="14"/>
  <c r="O318" i="41"/>
  <c r="AW319" i="6"/>
  <c r="BF319" i="6" s="1"/>
  <c r="BG319" i="6" s="1"/>
  <c r="BH319" i="6" s="1"/>
  <c r="I318" i="41"/>
  <c r="H318" i="41"/>
  <c r="J318" i="41"/>
  <c r="C320" i="6"/>
  <c r="B319" i="41" s="1"/>
  <c r="H320" i="6"/>
  <c r="AU320" i="6" s="1"/>
  <c r="B320" i="6"/>
  <c r="G320" i="6"/>
  <c r="D320" i="6"/>
  <c r="A320" i="14"/>
  <c r="E320" i="6"/>
  <c r="C319" i="41" s="1"/>
  <c r="G319" i="41"/>
  <c r="F320" i="6"/>
  <c r="A319" i="41"/>
  <c r="D319" i="41" s="1"/>
  <c r="N320" i="6"/>
  <c r="V320" i="6"/>
  <c r="I320" i="6"/>
  <c r="J320" i="6"/>
  <c r="AV320" i="6" s="1"/>
  <c r="S320" i="6"/>
  <c r="R320" i="6"/>
  <c r="U320" i="6"/>
  <c r="T320" i="6"/>
  <c r="AB320" i="6"/>
  <c r="Y320" i="6"/>
  <c r="AD320" i="6"/>
  <c r="AY320" i="6" s="1"/>
  <c r="BB320" i="6" s="1"/>
  <c r="L320" i="6"/>
  <c r="AQ320" i="6"/>
  <c r="AH320" i="6"/>
  <c r="K320" i="6"/>
  <c r="O320" i="6"/>
  <c r="N319" i="41" s="1"/>
  <c r="M320" i="6"/>
  <c r="M319" i="41" s="1"/>
  <c r="P319" i="41" s="1"/>
  <c r="AR320" i="6"/>
  <c r="AA320" i="6"/>
  <c r="AG320" i="6"/>
  <c r="Z320" i="6"/>
  <c r="AF320" i="6"/>
  <c r="AE320" i="6"/>
  <c r="A321" i="6"/>
  <c r="AJ321" i="6" l="1"/>
  <c r="AZ321" i="6" s="1"/>
  <c r="BC321" i="6" s="1"/>
  <c r="Q321" i="6"/>
  <c r="X321" i="6"/>
  <c r="AL321" i="6"/>
  <c r="AO321" i="6"/>
  <c r="AK321" i="6"/>
  <c r="AM321" i="6"/>
  <c r="AN321" i="6"/>
  <c r="I319" i="41"/>
  <c r="H319" i="41"/>
  <c r="J319" i="41"/>
  <c r="F320" i="14"/>
  <c r="S320" i="14"/>
  <c r="E320" i="14"/>
  <c r="AB320" i="14"/>
  <c r="C320" i="14"/>
  <c r="V320" i="14"/>
  <c r="X320" i="14"/>
  <c r="K320" i="14"/>
  <c r="R320" i="14"/>
  <c r="T320" i="14"/>
  <c r="O320" i="14"/>
  <c r="W320" i="14"/>
  <c r="Z320" i="14"/>
  <c r="D320" i="14"/>
  <c r="N320" i="14"/>
  <c r="Y320" i="14"/>
  <c r="AI320" i="14"/>
  <c r="P320" i="14"/>
  <c r="AD320" i="14"/>
  <c r="AH320" i="14"/>
  <c r="AJ320" i="14"/>
  <c r="H320" i="14"/>
  <c r="M320" i="14"/>
  <c r="I320" i="14"/>
  <c r="J320" i="14"/>
  <c r="AF320" i="14"/>
  <c r="AG320" i="14"/>
  <c r="U320" i="14"/>
  <c r="AE320" i="14"/>
  <c r="G320" i="14"/>
  <c r="AC320" i="14"/>
  <c r="AA320" i="14"/>
  <c r="Q320" i="14"/>
  <c r="L320" i="14"/>
  <c r="O319" i="41"/>
  <c r="AW320" i="6"/>
  <c r="BF320" i="6" s="1"/>
  <c r="BG320" i="6" s="1"/>
  <c r="BH320" i="6" s="1"/>
  <c r="A320" i="41"/>
  <c r="D320" i="41" s="1"/>
  <c r="C321" i="6"/>
  <c r="B320" i="41" s="1"/>
  <c r="B321" i="6"/>
  <c r="D321" i="6"/>
  <c r="E321" i="6"/>
  <c r="C320" i="41" s="1"/>
  <c r="H321" i="6"/>
  <c r="AU321" i="6" s="1"/>
  <c r="F321" i="6"/>
  <c r="A321" i="14"/>
  <c r="G321" i="6"/>
  <c r="J321" i="6"/>
  <c r="AV321" i="6" s="1"/>
  <c r="G320" i="41"/>
  <c r="I321" i="6"/>
  <c r="U321" i="6"/>
  <c r="N321" i="6"/>
  <c r="V321" i="6"/>
  <c r="S321" i="6"/>
  <c r="R321" i="6"/>
  <c r="AR321" i="6"/>
  <c r="AH321" i="6"/>
  <c r="AQ321" i="6"/>
  <c r="AX321" i="6"/>
  <c r="BA321" i="6" s="1"/>
  <c r="M321" i="6"/>
  <c r="M320" i="41" s="1"/>
  <c r="P320" i="41" s="1"/>
  <c r="L321" i="6"/>
  <c r="AB321" i="6"/>
  <c r="K321" i="6"/>
  <c r="Y321" i="6"/>
  <c r="AD321" i="6"/>
  <c r="AY321" i="6" s="1"/>
  <c r="BB321" i="6" s="1"/>
  <c r="AF321" i="6"/>
  <c r="T321" i="6"/>
  <c r="AE321" i="6"/>
  <c r="Z321" i="6"/>
  <c r="O321" i="6"/>
  <c r="N320" i="41" s="1"/>
  <c r="AG321" i="6"/>
  <c r="AA321" i="6"/>
  <c r="A322" i="6"/>
  <c r="AJ322" i="6" l="1"/>
  <c r="Q322" i="6"/>
  <c r="X322" i="6"/>
  <c r="AO322" i="6"/>
  <c r="AK322" i="6"/>
  <c r="AL322" i="6"/>
  <c r="AM322" i="6"/>
  <c r="AN322" i="6"/>
  <c r="Y321" i="14"/>
  <c r="AI321" i="14"/>
  <c r="H321" i="14"/>
  <c r="D321" i="14"/>
  <c r="AB321" i="14"/>
  <c r="AF321" i="14"/>
  <c r="I321" i="14"/>
  <c r="AE321" i="14"/>
  <c r="U321" i="14"/>
  <c r="J321" i="14"/>
  <c r="AA321" i="14"/>
  <c r="AH321" i="14"/>
  <c r="W321" i="14"/>
  <c r="E321" i="14"/>
  <c r="AC321" i="14"/>
  <c r="V321" i="14"/>
  <c r="Z321" i="14"/>
  <c r="N321" i="14"/>
  <c r="AG321" i="14"/>
  <c r="F321" i="14"/>
  <c r="T321" i="14"/>
  <c r="R321" i="14"/>
  <c r="C321" i="14"/>
  <c r="Q321" i="14"/>
  <c r="S321" i="14"/>
  <c r="G321" i="14"/>
  <c r="AD321" i="14"/>
  <c r="K321" i="14"/>
  <c r="X321" i="14"/>
  <c r="M321" i="14"/>
  <c r="AJ321" i="14"/>
  <c r="P321" i="14"/>
  <c r="O321" i="14"/>
  <c r="L321" i="14"/>
  <c r="O320" i="41"/>
  <c r="AW321" i="6"/>
  <c r="BF321" i="6" s="1"/>
  <c r="BG321" i="6" s="1"/>
  <c r="BH321" i="6" s="1"/>
  <c r="I320" i="41"/>
  <c r="H320" i="41"/>
  <c r="J320" i="41"/>
  <c r="A322" i="14"/>
  <c r="E322" i="6"/>
  <c r="C321" i="41" s="1"/>
  <c r="G321" i="41"/>
  <c r="A321" i="41"/>
  <c r="D321" i="41" s="1"/>
  <c r="F322" i="6"/>
  <c r="G322" i="6"/>
  <c r="C322" i="6"/>
  <c r="B321" i="41" s="1"/>
  <c r="H322" i="6"/>
  <c r="AU322" i="6" s="1"/>
  <c r="B322" i="6"/>
  <c r="D322" i="6"/>
  <c r="N322" i="6"/>
  <c r="J322" i="6"/>
  <c r="AV322" i="6" s="1"/>
  <c r="U322" i="6"/>
  <c r="I322" i="6"/>
  <c r="V322" i="6"/>
  <c r="S322" i="6"/>
  <c r="R322" i="6"/>
  <c r="L322" i="6"/>
  <c r="Z322" i="6"/>
  <c r="AQ322" i="6"/>
  <c r="T322" i="6"/>
  <c r="K322" i="6"/>
  <c r="Y322" i="6"/>
  <c r="AR322" i="6"/>
  <c r="O322" i="6"/>
  <c r="N321" i="41" s="1"/>
  <c r="AA322" i="6"/>
  <c r="M322" i="6"/>
  <c r="M321" i="41" s="1"/>
  <c r="P321" i="41" s="1"/>
  <c r="AB322" i="6"/>
  <c r="AX322" i="6"/>
  <c r="BA322" i="6" s="1"/>
  <c r="AD322" i="6"/>
  <c r="AY322" i="6" s="1"/>
  <c r="BB322" i="6" s="1"/>
  <c r="AZ322" i="6"/>
  <c r="BC322" i="6" s="1"/>
  <c r="AH322" i="6"/>
  <c r="AF322" i="6"/>
  <c r="AG322" i="6"/>
  <c r="AE322" i="6"/>
  <c r="A323" i="6"/>
  <c r="X323" i="6" l="1"/>
  <c r="AX323" i="6" s="1"/>
  <c r="BA323" i="6" s="1"/>
  <c r="AJ323" i="6"/>
  <c r="Q323" i="6"/>
  <c r="AM323" i="6"/>
  <c r="AN323" i="6"/>
  <c r="AO323" i="6"/>
  <c r="AK323" i="6"/>
  <c r="AL323" i="6"/>
  <c r="AJ322" i="14"/>
  <c r="H322" i="14"/>
  <c r="G322" i="14"/>
  <c r="M322" i="14"/>
  <c r="Y322" i="14"/>
  <c r="AF322" i="14"/>
  <c r="U322" i="14"/>
  <c r="AG322" i="14"/>
  <c r="AE322" i="14"/>
  <c r="AA322" i="14"/>
  <c r="L322" i="14"/>
  <c r="Q322" i="14"/>
  <c r="I322" i="14"/>
  <c r="J322" i="14"/>
  <c r="V322" i="14"/>
  <c r="AB322" i="14"/>
  <c r="E322" i="14"/>
  <c r="AD322" i="14"/>
  <c r="AC322" i="14"/>
  <c r="T322" i="14"/>
  <c r="K322" i="14"/>
  <c r="X322" i="14"/>
  <c r="C322" i="14"/>
  <c r="F322" i="14"/>
  <c r="S322" i="14"/>
  <c r="AH322" i="14"/>
  <c r="O322" i="14"/>
  <c r="W322" i="14"/>
  <c r="Z322" i="14"/>
  <c r="D322" i="14"/>
  <c r="AI322" i="14"/>
  <c r="P322" i="14"/>
  <c r="R322" i="14"/>
  <c r="N322" i="14"/>
  <c r="AW322" i="6"/>
  <c r="BF322" i="6" s="1"/>
  <c r="BG322" i="6" s="1"/>
  <c r="BH322" i="6" s="1"/>
  <c r="O321" i="41"/>
  <c r="I321" i="41"/>
  <c r="H321" i="41"/>
  <c r="J321" i="41"/>
  <c r="G323" i="6"/>
  <c r="D323" i="6"/>
  <c r="A323" i="14"/>
  <c r="E323" i="6"/>
  <c r="C322" i="41" s="1"/>
  <c r="F323" i="6"/>
  <c r="G322" i="41"/>
  <c r="A322" i="41"/>
  <c r="D322" i="41" s="1"/>
  <c r="H323" i="6"/>
  <c r="AU323" i="6" s="1"/>
  <c r="B323" i="6"/>
  <c r="U323" i="6"/>
  <c r="V323" i="6"/>
  <c r="C323" i="6"/>
  <c r="B322" i="41" s="1"/>
  <c r="N323" i="6"/>
  <c r="J323" i="6"/>
  <c r="AV323" i="6" s="1"/>
  <c r="R323" i="6"/>
  <c r="I323" i="6"/>
  <c r="K323" i="6"/>
  <c r="M323" i="6"/>
  <c r="M322" i="41" s="1"/>
  <c r="P322" i="41" s="1"/>
  <c r="O323" i="6"/>
  <c r="N322" i="41" s="1"/>
  <c r="AA323" i="6"/>
  <c r="T323" i="6"/>
  <c r="Z323" i="6"/>
  <c r="AZ323" i="6"/>
  <c r="BC323" i="6" s="1"/>
  <c r="Y323" i="6"/>
  <c r="S323" i="6"/>
  <c r="AB323" i="6"/>
  <c r="AR323" i="6"/>
  <c r="AH323" i="6"/>
  <c r="AF323" i="6"/>
  <c r="AE323" i="6"/>
  <c r="L323" i="6"/>
  <c r="AD323" i="6"/>
  <c r="AY323" i="6" s="1"/>
  <c r="BB323" i="6" s="1"/>
  <c r="AG323" i="6"/>
  <c r="AQ323" i="6"/>
  <c r="A324" i="6"/>
  <c r="X324" i="6" l="1"/>
  <c r="AJ324" i="6"/>
  <c r="Q324" i="6"/>
  <c r="AM324" i="6"/>
  <c r="AK324" i="6"/>
  <c r="AL324" i="6"/>
  <c r="AN324" i="6"/>
  <c r="AO324" i="6"/>
  <c r="O322" i="41"/>
  <c r="AW323" i="6"/>
  <c r="BF323" i="6" s="1"/>
  <c r="BG323" i="6" s="1"/>
  <c r="BH323" i="6" s="1"/>
  <c r="H322" i="41"/>
  <c r="I322" i="41"/>
  <c r="J322" i="41"/>
  <c r="T323" i="14"/>
  <c r="AD323" i="14"/>
  <c r="G323" i="14"/>
  <c r="L323" i="14"/>
  <c r="S323" i="14"/>
  <c r="M323" i="14"/>
  <c r="Q323" i="14"/>
  <c r="Y323" i="14"/>
  <c r="P323" i="14"/>
  <c r="AB323" i="14"/>
  <c r="E323" i="14"/>
  <c r="AJ323" i="14"/>
  <c r="H323" i="14"/>
  <c r="K323" i="14"/>
  <c r="D323" i="14"/>
  <c r="J323" i="14"/>
  <c r="AI323" i="14"/>
  <c r="AE323" i="14"/>
  <c r="I323" i="14"/>
  <c r="X323" i="14"/>
  <c r="AC323" i="14"/>
  <c r="AF323" i="14"/>
  <c r="W323" i="14"/>
  <c r="AH323" i="14"/>
  <c r="AG323" i="14"/>
  <c r="F323" i="14"/>
  <c r="AA323" i="14"/>
  <c r="N323" i="14"/>
  <c r="Z323" i="14"/>
  <c r="U323" i="14"/>
  <c r="V323" i="14"/>
  <c r="C323" i="14"/>
  <c r="R323" i="14"/>
  <c r="O323" i="14"/>
  <c r="C324" i="6"/>
  <c r="B323" i="41" s="1"/>
  <c r="H324" i="6"/>
  <c r="AU324" i="6" s="1"/>
  <c r="D324" i="6"/>
  <c r="A324" i="14"/>
  <c r="E324" i="6"/>
  <c r="C323" i="41" s="1"/>
  <c r="B324" i="6"/>
  <c r="G323" i="41"/>
  <c r="A323" i="41"/>
  <c r="D323" i="41" s="1"/>
  <c r="F324" i="6"/>
  <c r="G324" i="6"/>
  <c r="N324" i="6"/>
  <c r="U324" i="6"/>
  <c r="V324" i="6"/>
  <c r="J324" i="6"/>
  <c r="AV324" i="6" s="1"/>
  <c r="I324" i="6"/>
  <c r="AX324" i="6"/>
  <c r="BA324" i="6" s="1"/>
  <c r="AZ324" i="6"/>
  <c r="BC324" i="6" s="1"/>
  <c r="T324" i="6"/>
  <c r="Z324" i="6"/>
  <c r="AB324" i="6"/>
  <c r="AH324" i="6"/>
  <c r="L324" i="6"/>
  <c r="AD324" i="6"/>
  <c r="AY324" i="6" s="1"/>
  <c r="BB324" i="6" s="1"/>
  <c r="S324" i="6"/>
  <c r="K324" i="6"/>
  <c r="Y324" i="6"/>
  <c r="R324" i="6"/>
  <c r="O324" i="6"/>
  <c r="N323" i="41" s="1"/>
  <c r="M324" i="6"/>
  <c r="M323" i="41" s="1"/>
  <c r="P323" i="41" s="1"/>
  <c r="AR324" i="6"/>
  <c r="AA324" i="6"/>
  <c r="AQ324" i="6"/>
  <c r="AF324" i="6"/>
  <c r="AE324" i="6"/>
  <c r="AG324" i="6"/>
  <c r="A325" i="6"/>
  <c r="X325" i="6" l="1"/>
  <c r="AX325" i="6" s="1"/>
  <c r="BA325" i="6" s="1"/>
  <c r="AJ325" i="6"/>
  <c r="Q325" i="6"/>
  <c r="AK325" i="6"/>
  <c r="AL325" i="6"/>
  <c r="AM325" i="6"/>
  <c r="AN325" i="6"/>
  <c r="AO325" i="6"/>
  <c r="I323" i="41"/>
  <c r="H323" i="41"/>
  <c r="J323" i="41"/>
  <c r="AW324" i="6"/>
  <c r="BF324" i="6" s="1"/>
  <c r="BG324" i="6" s="1"/>
  <c r="BH324" i="6" s="1"/>
  <c r="O323" i="41"/>
  <c r="F324" i="14"/>
  <c r="AA324" i="14"/>
  <c r="E324" i="14"/>
  <c r="AB324" i="14"/>
  <c r="AH324" i="14"/>
  <c r="V324" i="14"/>
  <c r="X324" i="14"/>
  <c r="K324" i="14"/>
  <c r="Z324" i="14"/>
  <c r="T324" i="14"/>
  <c r="O324" i="14"/>
  <c r="AE324" i="14"/>
  <c r="I324" i="14"/>
  <c r="S324" i="14"/>
  <c r="D324" i="14"/>
  <c r="G324" i="14"/>
  <c r="Y324" i="14"/>
  <c r="P324" i="14"/>
  <c r="AD324" i="14"/>
  <c r="W324" i="14"/>
  <c r="AI324" i="14"/>
  <c r="H324" i="14"/>
  <c r="M324" i="14"/>
  <c r="R324" i="14"/>
  <c r="J324" i="14"/>
  <c r="AF324" i="14"/>
  <c r="AG324" i="14"/>
  <c r="U324" i="14"/>
  <c r="N324" i="14"/>
  <c r="AJ324" i="14"/>
  <c r="Q324" i="14"/>
  <c r="L324" i="14"/>
  <c r="C324" i="14"/>
  <c r="AC324" i="14"/>
  <c r="G324" i="41"/>
  <c r="F325" i="6"/>
  <c r="A324" i="41"/>
  <c r="D324" i="41" s="1"/>
  <c r="C325" i="6"/>
  <c r="B324" i="41" s="1"/>
  <c r="H325" i="6"/>
  <c r="AU325" i="6" s="1"/>
  <c r="B325" i="6"/>
  <c r="G325" i="6"/>
  <c r="D325" i="6"/>
  <c r="A325" i="14"/>
  <c r="E325" i="6"/>
  <c r="C324" i="41" s="1"/>
  <c r="J325" i="6"/>
  <c r="AV325" i="6" s="1"/>
  <c r="I325" i="6"/>
  <c r="N325" i="6"/>
  <c r="V325" i="6"/>
  <c r="U325" i="6"/>
  <c r="AH325" i="6"/>
  <c r="T325" i="6"/>
  <c r="M325" i="6"/>
  <c r="M324" i="41" s="1"/>
  <c r="P324" i="41" s="1"/>
  <c r="AB325" i="6"/>
  <c r="L325" i="6"/>
  <c r="AD325" i="6"/>
  <c r="AY325" i="6" s="1"/>
  <c r="BB325" i="6" s="1"/>
  <c r="K325" i="6"/>
  <c r="AR325" i="6"/>
  <c r="O325" i="6"/>
  <c r="N324" i="41" s="1"/>
  <c r="Y325" i="6"/>
  <c r="AQ325" i="6"/>
  <c r="AA325" i="6"/>
  <c r="S325" i="6"/>
  <c r="R325" i="6"/>
  <c r="AE325" i="6"/>
  <c r="AF325" i="6"/>
  <c r="AG325" i="6"/>
  <c r="Z325" i="6"/>
  <c r="AZ325" i="6"/>
  <c r="BC325" i="6" s="1"/>
  <c r="A326" i="6"/>
  <c r="X326" i="6" l="1"/>
  <c r="AJ326" i="6"/>
  <c r="Q326" i="6"/>
  <c r="AK326" i="6"/>
  <c r="AN326" i="6"/>
  <c r="AO326" i="6"/>
  <c r="AL326" i="6"/>
  <c r="AM326" i="6"/>
  <c r="AJ325" i="14"/>
  <c r="H325" i="14"/>
  <c r="D325" i="14"/>
  <c r="L325" i="14"/>
  <c r="J325" i="14"/>
  <c r="AI325" i="14"/>
  <c r="I325" i="14"/>
  <c r="AE325" i="14"/>
  <c r="AG325" i="14"/>
  <c r="AC325" i="14"/>
  <c r="AF325" i="14"/>
  <c r="AH325" i="14"/>
  <c r="W325" i="14"/>
  <c r="K325" i="14"/>
  <c r="F325" i="14"/>
  <c r="AA325" i="14"/>
  <c r="Z325" i="14"/>
  <c r="N325" i="14"/>
  <c r="E325" i="14"/>
  <c r="V325" i="14"/>
  <c r="R325" i="14"/>
  <c r="C325" i="14"/>
  <c r="AB325" i="14"/>
  <c r="T325" i="14"/>
  <c r="G325" i="14"/>
  <c r="AD325" i="14"/>
  <c r="Q325" i="14"/>
  <c r="S325" i="14"/>
  <c r="X325" i="14"/>
  <c r="M325" i="14"/>
  <c r="P325" i="14"/>
  <c r="O325" i="14"/>
  <c r="U325" i="14"/>
  <c r="Y325" i="14"/>
  <c r="O324" i="41"/>
  <c r="AW325" i="6"/>
  <c r="BF325" i="6" s="1"/>
  <c r="BG325" i="6" s="1"/>
  <c r="BH325" i="6" s="1"/>
  <c r="I324" i="41"/>
  <c r="H324" i="41"/>
  <c r="J324" i="41"/>
  <c r="A326" i="14"/>
  <c r="D326" i="6"/>
  <c r="E326" i="6"/>
  <c r="C325" i="41" s="1"/>
  <c r="G325" i="41"/>
  <c r="A325" i="41"/>
  <c r="D325" i="41" s="1"/>
  <c r="C326" i="6"/>
  <c r="B325" i="41" s="1"/>
  <c r="H326" i="6"/>
  <c r="AU326" i="6" s="1"/>
  <c r="B326" i="6"/>
  <c r="F326" i="6"/>
  <c r="G326" i="6"/>
  <c r="U326" i="6"/>
  <c r="V326" i="6"/>
  <c r="I326" i="6"/>
  <c r="J326" i="6"/>
  <c r="AV326" i="6" s="1"/>
  <c r="N326" i="6"/>
  <c r="M326" i="6"/>
  <c r="M325" i="41" s="1"/>
  <c r="P325" i="41" s="1"/>
  <c r="AA326" i="6"/>
  <c r="AB326" i="6"/>
  <c r="AD326" i="6"/>
  <c r="AY326" i="6" s="1"/>
  <c r="BB326" i="6" s="1"/>
  <c r="S326" i="6"/>
  <c r="L326" i="6"/>
  <c r="R326" i="6"/>
  <c r="T326" i="6"/>
  <c r="K326" i="6"/>
  <c r="Y326" i="6"/>
  <c r="AX326" i="6"/>
  <c r="BA326" i="6" s="1"/>
  <c r="O326" i="6"/>
  <c r="N325" i="41" s="1"/>
  <c r="AZ326" i="6"/>
  <c r="BC326" i="6" s="1"/>
  <c r="Z326" i="6"/>
  <c r="AR326" i="6"/>
  <c r="AH326" i="6"/>
  <c r="AF326" i="6"/>
  <c r="AQ326" i="6"/>
  <c r="AE326" i="6"/>
  <c r="AG326" i="6"/>
  <c r="A327" i="6"/>
  <c r="Q327" i="6" l="1"/>
  <c r="X327" i="6"/>
  <c r="AX327" i="6" s="1"/>
  <c r="BA327" i="6" s="1"/>
  <c r="AJ327" i="6"/>
  <c r="AZ327" i="6" s="1"/>
  <c r="BC327" i="6" s="1"/>
  <c r="AN327" i="6"/>
  <c r="AK327" i="6"/>
  <c r="AL327" i="6"/>
  <c r="AM327" i="6"/>
  <c r="AO327" i="6"/>
  <c r="Z326" i="14"/>
  <c r="D326" i="14"/>
  <c r="Y326" i="14"/>
  <c r="AI326" i="14"/>
  <c r="P326" i="14"/>
  <c r="R326" i="14"/>
  <c r="M326" i="14"/>
  <c r="AF326" i="14"/>
  <c r="H326" i="14"/>
  <c r="G326" i="14"/>
  <c r="W326" i="14"/>
  <c r="J326" i="14"/>
  <c r="AJ326" i="14"/>
  <c r="U326" i="14"/>
  <c r="AG326" i="14"/>
  <c r="AD326" i="14"/>
  <c r="AC326" i="14"/>
  <c r="AA326" i="14"/>
  <c r="L326" i="14"/>
  <c r="Q326" i="14"/>
  <c r="C326" i="14"/>
  <c r="F326" i="14"/>
  <c r="T326" i="14"/>
  <c r="AB326" i="14"/>
  <c r="E326" i="14"/>
  <c r="AE326" i="14"/>
  <c r="S326" i="14"/>
  <c r="K326" i="14"/>
  <c r="X326" i="14"/>
  <c r="N326" i="14"/>
  <c r="V326" i="14"/>
  <c r="AH326" i="14"/>
  <c r="O326" i="14"/>
  <c r="I326" i="14"/>
  <c r="H325" i="41"/>
  <c r="I325" i="41"/>
  <c r="J325" i="41"/>
  <c r="O325" i="41"/>
  <c r="AW326" i="6"/>
  <c r="BF326" i="6" s="1"/>
  <c r="BG326" i="6" s="1"/>
  <c r="BH326" i="6" s="1"/>
  <c r="C327" i="6"/>
  <c r="B326" i="41" s="1"/>
  <c r="H327" i="6"/>
  <c r="AU327" i="6" s="1"/>
  <c r="B327" i="6"/>
  <c r="G327" i="6"/>
  <c r="D327" i="6"/>
  <c r="A327" i="14"/>
  <c r="E327" i="6"/>
  <c r="C326" i="41" s="1"/>
  <c r="G326" i="41"/>
  <c r="A326" i="41"/>
  <c r="D326" i="41" s="1"/>
  <c r="F327" i="6"/>
  <c r="I327" i="6"/>
  <c r="J327" i="6"/>
  <c r="AV327" i="6" s="1"/>
  <c r="N327" i="6"/>
  <c r="U327" i="6"/>
  <c r="V327" i="6"/>
  <c r="AB327" i="6"/>
  <c r="Z327" i="6"/>
  <c r="AD327" i="6"/>
  <c r="AY327" i="6" s="1"/>
  <c r="BB327" i="6" s="1"/>
  <c r="AQ327" i="6"/>
  <c r="S327" i="6"/>
  <c r="L327" i="6"/>
  <c r="M327" i="6"/>
  <c r="M326" i="41" s="1"/>
  <c r="P326" i="41" s="1"/>
  <c r="AR327" i="6"/>
  <c r="R327" i="6"/>
  <c r="T327" i="6"/>
  <c r="K327" i="6"/>
  <c r="Y327" i="6"/>
  <c r="O327" i="6"/>
  <c r="N326" i="41" s="1"/>
  <c r="AA327" i="6"/>
  <c r="AH327" i="6"/>
  <c r="AG327" i="6"/>
  <c r="AE327" i="6"/>
  <c r="AF327" i="6"/>
  <c r="A328" i="6"/>
  <c r="AJ328" i="6" l="1"/>
  <c r="AZ328" i="6" s="1"/>
  <c r="BC328" i="6" s="1"/>
  <c r="Q328" i="6"/>
  <c r="X328" i="6"/>
  <c r="AL328" i="6"/>
  <c r="AM328" i="6"/>
  <c r="AN328" i="6"/>
  <c r="AO328" i="6"/>
  <c r="AK328" i="6"/>
  <c r="H326" i="41"/>
  <c r="I326" i="41"/>
  <c r="J326" i="41"/>
  <c r="V327" i="14"/>
  <c r="C327" i="14"/>
  <c r="R327" i="14"/>
  <c r="U327" i="14"/>
  <c r="S327" i="14"/>
  <c r="AD327" i="14"/>
  <c r="G327" i="14"/>
  <c r="D327" i="14"/>
  <c r="M327" i="14"/>
  <c r="Q327" i="14"/>
  <c r="Y327" i="14"/>
  <c r="AJ327" i="14"/>
  <c r="P327" i="14"/>
  <c r="AB327" i="14"/>
  <c r="O327" i="14"/>
  <c r="AI327" i="14"/>
  <c r="H327" i="14"/>
  <c r="K327" i="14"/>
  <c r="AG327" i="14"/>
  <c r="J327" i="14"/>
  <c r="AF327" i="14"/>
  <c r="AE327" i="14"/>
  <c r="I327" i="14"/>
  <c r="L327" i="14"/>
  <c r="AC327" i="14"/>
  <c r="AA327" i="14"/>
  <c r="W327" i="14"/>
  <c r="AH327" i="14"/>
  <c r="E327" i="14"/>
  <c r="N327" i="14"/>
  <c r="Z327" i="14"/>
  <c r="X327" i="14"/>
  <c r="F327" i="14"/>
  <c r="T327" i="14"/>
  <c r="AW327" i="6"/>
  <c r="BF327" i="6" s="1"/>
  <c r="BG327" i="6" s="1"/>
  <c r="BH327" i="6" s="1"/>
  <c r="O326" i="41"/>
  <c r="C328" i="6"/>
  <c r="B327" i="41" s="1"/>
  <c r="H328" i="6"/>
  <c r="AU328" i="6" s="1"/>
  <c r="B328" i="6"/>
  <c r="G328" i="6"/>
  <c r="D328" i="6"/>
  <c r="A328" i="14"/>
  <c r="E328" i="6"/>
  <c r="C327" i="41" s="1"/>
  <c r="G327" i="41"/>
  <c r="F328" i="6"/>
  <c r="J328" i="6"/>
  <c r="AV328" i="6" s="1"/>
  <c r="A327" i="41"/>
  <c r="D327" i="41" s="1"/>
  <c r="U328" i="6"/>
  <c r="V328" i="6"/>
  <c r="N328" i="6"/>
  <c r="I328" i="6"/>
  <c r="Y328" i="6"/>
  <c r="AX328" i="6"/>
  <c r="BA328" i="6" s="1"/>
  <c r="AQ328" i="6"/>
  <c r="AR328" i="6"/>
  <c r="M328" i="6"/>
  <c r="M327" i="41" s="1"/>
  <c r="P327" i="41" s="1"/>
  <c r="AB328" i="6"/>
  <c r="AD328" i="6"/>
  <c r="AY328" i="6" s="1"/>
  <c r="BB328" i="6" s="1"/>
  <c r="T328" i="6"/>
  <c r="L328" i="6"/>
  <c r="AA328" i="6"/>
  <c r="S328" i="6"/>
  <c r="K328" i="6"/>
  <c r="O328" i="6"/>
  <c r="N327" i="41" s="1"/>
  <c r="Z328" i="6"/>
  <c r="AE328" i="6"/>
  <c r="AF328" i="6"/>
  <c r="AH328" i="6"/>
  <c r="R328" i="6"/>
  <c r="AG328" i="6"/>
  <c r="A329" i="6"/>
  <c r="AJ329" i="6" l="1"/>
  <c r="Q329" i="6"/>
  <c r="X329" i="6"/>
  <c r="AL329" i="6"/>
  <c r="AO329" i="6"/>
  <c r="AK329" i="6"/>
  <c r="AM329" i="6"/>
  <c r="AN329" i="6"/>
  <c r="O327" i="41"/>
  <c r="AW328" i="6"/>
  <c r="BF328" i="6" s="1"/>
  <c r="BG328" i="6" s="1"/>
  <c r="BH328" i="6" s="1"/>
  <c r="H327" i="41"/>
  <c r="I327" i="41"/>
  <c r="J327" i="41"/>
  <c r="AC328" i="14"/>
  <c r="AA328" i="14"/>
  <c r="Q328" i="14"/>
  <c r="L328" i="14"/>
  <c r="W328" i="14"/>
  <c r="F328" i="14"/>
  <c r="S328" i="14"/>
  <c r="E328" i="14"/>
  <c r="AB328" i="14"/>
  <c r="I328" i="14"/>
  <c r="T328" i="14"/>
  <c r="X328" i="14"/>
  <c r="K328" i="14"/>
  <c r="AH328" i="14"/>
  <c r="V328" i="14"/>
  <c r="O328" i="14"/>
  <c r="R328" i="14"/>
  <c r="N328" i="14"/>
  <c r="D328" i="14"/>
  <c r="AE328" i="14"/>
  <c r="Y328" i="14"/>
  <c r="AI328" i="14"/>
  <c r="P328" i="14"/>
  <c r="AD328" i="14"/>
  <c r="G328" i="14"/>
  <c r="AJ328" i="14"/>
  <c r="H328" i="14"/>
  <c r="M328" i="14"/>
  <c r="C328" i="14"/>
  <c r="AG328" i="14"/>
  <c r="U328" i="14"/>
  <c r="Z328" i="14"/>
  <c r="J328" i="14"/>
  <c r="AF328" i="14"/>
  <c r="G328" i="41"/>
  <c r="D329" i="6"/>
  <c r="A328" i="41"/>
  <c r="D328" i="41" s="1"/>
  <c r="E329" i="6"/>
  <c r="C328" i="41" s="1"/>
  <c r="C329" i="6"/>
  <c r="B328" i="41" s="1"/>
  <c r="F329" i="6"/>
  <c r="A329" i="14"/>
  <c r="G329" i="6"/>
  <c r="B329" i="6"/>
  <c r="I329" i="6"/>
  <c r="J329" i="6"/>
  <c r="AV329" i="6" s="1"/>
  <c r="H329" i="6"/>
  <c r="AU329" i="6" s="1"/>
  <c r="U329" i="6"/>
  <c r="V329" i="6"/>
  <c r="N329" i="6"/>
  <c r="AA329" i="6"/>
  <c r="AB329" i="6"/>
  <c r="Y329" i="6"/>
  <c r="AD329" i="6"/>
  <c r="AY329" i="6" s="1"/>
  <c r="BB329" i="6" s="1"/>
  <c r="L329" i="6"/>
  <c r="AX329" i="6"/>
  <c r="BA329" i="6" s="1"/>
  <c r="AZ329" i="6"/>
  <c r="BC329" i="6" s="1"/>
  <c r="AH329" i="6"/>
  <c r="S329" i="6"/>
  <c r="K329" i="6"/>
  <c r="R329" i="6"/>
  <c r="O329" i="6"/>
  <c r="N328" i="41" s="1"/>
  <c r="AQ329" i="6"/>
  <c r="Z329" i="6"/>
  <c r="M329" i="6"/>
  <c r="M328" i="41" s="1"/>
  <c r="P328" i="41" s="1"/>
  <c r="AR329" i="6"/>
  <c r="T329" i="6"/>
  <c r="AG329" i="6"/>
  <c r="AE329" i="6"/>
  <c r="AF329" i="6"/>
  <c r="A330" i="6"/>
  <c r="AJ330" i="6" l="1"/>
  <c r="Q330" i="6"/>
  <c r="X330" i="6"/>
  <c r="AO330" i="6"/>
  <c r="AK330" i="6"/>
  <c r="AL330" i="6"/>
  <c r="AM330" i="6"/>
  <c r="AN330" i="6"/>
  <c r="O328" i="41"/>
  <c r="AW329" i="6"/>
  <c r="BF329" i="6" s="1"/>
  <c r="BG329" i="6" s="1"/>
  <c r="BH329" i="6" s="1"/>
  <c r="AJ329" i="14"/>
  <c r="H329" i="14"/>
  <c r="D329" i="14"/>
  <c r="U329" i="14"/>
  <c r="J329" i="14"/>
  <c r="AF329" i="14"/>
  <c r="I329" i="14"/>
  <c r="AE329" i="14"/>
  <c r="Q329" i="14"/>
  <c r="AC329" i="14"/>
  <c r="AI329" i="14"/>
  <c r="AH329" i="14"/>
  <c r="W329" i="14"/>
  <c r="L329" i="14"/>
  <c r="F329" i="14"/>
  <c r="AA329" i="14"/>
  <c r="Z329" i="14"/>
  <c r="N329" i="14"/>
  <c r="AB329" i="14"/>
  <c r="T329" i="14"/>
  <c r="G329" i="14"/>
  <c r="AD329" i="14"/>
  <c r="AG329" i="14"/>
  <c r="S329" i="14"/>
  <c r="X329" i="14"/>
  <c r="M329" i="14"/>
  <c r="V329" i="14"/>
  <c r="P329" i="14"/>
  <c r="Y329" i="14"/>
  <c r="R329" i="14"/>
  <c r="O329" i="14"/>
  <c r="C329" i="14"/>
  <c r="E329" i="14"/>
  <c r="K329" i="14"/>
  <c r="H328" i="41"/>
  <c r="I328" i="41"/>
  <c r="J328" i="41"/>
  <c r="G330" i="6"/>
  <c r="D330" i="6"/>
  <c r="A330" i="14"/>
  <c r="E330" i="6"/>
  <c r="C329" i="41" s="1"/>
  <c r="G329" i="41"/>
  <c r="F330" i="6"/>
  <c r="C330" i="6"/>
  <c r="B329" i="41" s="1"/>
  <c r="H330" i="6"/>
  <c r="AU330" i="6" s="1"/>
  <c r="B330" i="6"/>
  <c r="A329" i="41"/>
  <c r="D329" i="41" s="1"/>
  <c r="N330" i="6"/>
  <c r="U330" i="6"/>
  <c r="J330" i="6"/>
  <c r="AV330" i="6" s="1"/>
  <c r="V330" i="6"/>
  <c r="I330" i="6"/>
  <c r="AQ330" i="6"/>
  <c r="AH330" i="6"/>
  <c r="Z330" i="6"/>
  <c r="AR330" i="6"/>
  <c r="S330" i="6"/>
  <c r="Y330" i="6"/>
  <c r="R330" i="6"/>
  <c r="M330" i="6"/>
  <c r="M329" i="41" s="1"/>
  <c r="P329" i="41" s="1"/>
  <c r="AZ330" i="6"/>
  <c r="BC330" i="6" s="1"/>
  <c r="AA330" i="6"/>
  <c r="AB330" i="6"/>
  <c r="L330" i="6"/>
  <c r="AD330" i="6"/>
  <c r="AY330" i="6" s="1"/>
  <c r="BB330" i="6" s="1"/>
  <c r="K330" i="6"/>
  <c r="AX330" i="6"/>
  <c r="BA330" i="6" s="1"/>
  <c r="AF330" i="6"/>
  <c r="T330" i="6"/>
  <c r="AE330" i="6"/>
  <c r="AG330" i="6"/>
  <c r="O330" i="6"/>
  <c r="N329" i="41" s="1"/>
  <c r="A331" i="6"/>
  <c r="X331" i="6" l="1"/>
  <c r="AJ331" i="6"/>
  <c r="Q331" i="6"/>
  <c r="AM331" i="6"/>
  <c r="AN331" i="6"/>
  <c r="AO331" i="6"/>
  <c r="AK331" i="6"/>
  <c r="AL331" i="6"/>
  <c r="H329" i="41"/>
  <c r="I329" i="41"/>
  <c r="J329" i="41"/>
  <c r="O329" i="41"/>
  <c r="AW330" i="6"/>
  <c r="BF330" i="6" s="1"/>
  <c r="BG330" i="6" s="1"/>
  <c r="BH330" i="6" s="1"/>
  <c r="S330" i="14"/>
  <c r="AH330" i="14"/>
  <c r="O330" i="14"/>
  <c r="N330" i="14"/>
  <c r="Y330" i="14"/>
  <c r="AI330" i="14"/>
  <c r="P330" i="14"/>
  <c r="AF330" i="14"/>
  <c r="AC330" i="14"/>
  <c r="AA330" i="14"/>
  <c r="L330" i="14"/>
  <c r="Q330" i="14"/>
  <c r="F330" i="14"/>
  <c r="V330" i="14"/>
  <c r="H330" i="14"/>
  <c r="E330" i="14"/>
  <c r="W330" i="14"/>
  <c r="J330" i="14"/>
  <c r="U330" i="14"/>
  <c r="X330" i="14"/>
  <c r="AB330" i="14"/>
  <c r="D330" i="14"/>
  <c r="K330" i="14"/>
  <c r="M330" i="14"/>
  <c r="Z330" i="14"/>
  <c r="AE330" i="14"/>
  <c r="AJ330" i="14"/>
  <c r="R330" i="14"/>
  <c r="I330" i="14"/>
  <c r="T330" i="14"/>
  <c r="G330" i="14"/>
  <c r="AD330" i="14"/>
  <c r="AG330" i="14"/>
  <c r="C330" i="14"/>
  <c r="G330" i="41"/>
  <c r="A330" i="41"/>
  <c r="D330" i="41" s="1"/>
  <c r="C331" i="6"/>
  <c r="B330" i="41" s="1"/>
  <c r="H331" i="6"/>
  <c r="AU331" i="6" s="1"/>
  <c r="B331" i="6"/>
  <c r="G331" i="6"/>
  <c r="D331" i="6"/>
  <c r="A331" i="14"/>
  <c r="E331" i="6"/>
  <c r="C330" i="41" s="1"/>
  <c r="F331" i="6"/>
  <c r="V331" i="6"/>
  <c r="U331" i="6"/>
  <c r="J331" i="6"/>
  <c r="AV331" i="6" s="1"/>
  <c r="I331" i="6"/>
  <c r="N331" i="6"/>
  <c r="L331" i="6"/>
  <c r="K331" i="6"/>
  <c r="AX331" i="6"/>
  <c r="BA331" i="6" s="1"/>
  <c r="AR331" i="6"/>
  <c r="S331" i="6"/>
  <c r="O331" i="6"/>
  <c r="N330" i="41" s="1"/>
  <c r="R331" i="6"/>
  <c r="T331" i="6"/>
  <c r="M331" i="6"/>
  <c r="M330" i="41" s="1"/>
  <c r="P330" i="41" s="1"/>
  <c r="AB331" i="6"/>
  <c r="AD331" i="6"/>
  <c r="AY331" i="6" s="1"/>
  <c r="BB331" i="6" s="1"/>
  <c r="Z331" i="6"/>
  <c r="AZ331" i="6"/>
  <c r="BC331" i="6" s="1"/>
  <c r="AH331" i="6"/>
  <c r="Y331" i="6"/>
  <c r="AA331" i="6"/>
  <c r="AG331" i="6"/>
  <c r="AQ331" i="6"/>
  <c r="AF331" i="6"/>
  <c r="AE331" i="6"/>
  <c r="A332" i="6"/>
  <c r="X332" i="6" l="1"/>
  <c r="AJ332" i="6"/>
  <c r="Q332" i="6"/>
  <c r="AM332" i="6"/>
  <c r="AK332" i="6"/>
  <c r="AL332" i="6"/>
  <c r="AN332" i="6"/>
  <c r="AO332" i="6"/>
  <c r="O330" i="41"/>
  <c r="AW331" i="6"/>
  <c r="BF331" i="6" s="1"/>
  <c r="BG331" i="6" s="1"/>
  <c r="BH331" i="6" s="1"/>
  <c r="F331" i="14"/>
  <c r="V331" i="14"/>
  <c r="W331" i="14"/>
  <c r="AH331" i="14"/>
  <c r="Q331" i="14"/>
  <c r="T331" i="14"/>
  <c r="N331" i="14"/>
  <c r="Z331" i="14"/>
  <c r="O331" i="14"/>
  <c r="S331" i="14"/>
  <c r="C331" i="14"/>
  <c r="R331" i="14"/>
  <c r="E331" i="14"/>
  <c r="AD331" i="14"/>
  <c r="G331" i="14"/>
  <c r="D331" i="14"/>
  <c r="Y331" i="14"/>
  <c r="AJ331" i="14"/>
  <c r="M331" i="14"/>
  <c r="AG331" i="14"/>
  <c r="AI331" i="14"/>
  <c r="P331" i="14"/>
  <c r="AB331" i="14"/>
  <c r="L331" i="14"/>
  <c r="J331" i="14"/>
  <c r="AF331" i="14"/>
  <c r="H331" i="14"/>
  <c r="K331" i="14"/>
  <c r="X331" i="14"/>
  <c r="AA331" i="14"/>
  <c r="AE331" i="14"/>
  <c r="I331" i="14"/>
  <c r="U331" i="14"/>
  <c r="AC331" i="14"/>
  <c r="I330" i="41"/>
  <c r="H330" i="41"/>
  <c r="J330" i="41"/>
  <c r="A331" i="41"/>
  <c r="D331" i="41" s="1"/>
  <c r="F332" i="6"/>
  <c r="C332" i="6"/>
  <c r="B331" i="41" s="1"/>
  <c r="H332" i="6"/>
  <c r="AU332" i="6" s="1"/>
  <c r="B332" i="6"/>
  <c r="G332" i="6"/>
  <c r="D332" i="6"/>
  <c r="A332" i="14"/>
  <c r="E332" i="6"/>
  <c r="C331" i="41" s="1"/>
  <c r="J332" i="6"/>
  <c r="AV332" i="6" s="1"/>
  <c r="I332" i="6"/>
  <c r="U332" i="6"/>
  <c r="V332" i="6"/>
  <c r="N332" i="6"/>
  <c r="G331" i="41"/>
  <c r="R332" i="6"/>
  <c r="Z332" i="6"/>
  <c r="AD332" i="6"/>
  <c r="AY332" i="6" s="1"/>
  <c r="BB332" i="6" s="1"/>
  <c r="AQ332" i="6"/>
  <c r="AZ332" i="6"/>
  <c r="BC332" i="6" s="1"/>
  <c r="M332" i="6"/>
  <c r="M331" i="41" s="1"/>
  <c r="P331" i="41" s="1"/>
  <c r="L332" i="6"/>
  <c r="T332" i="6"/>
  <c r="K332" i="6"/>
  <c r="AA332" i="6"/>
  <c r="O332" i="6"/>
  <c r="N331" i="41" s="1"/>
  <c r="Y332" i="6"/>
  <c r="AH332" i="6"/>
  <c r="AF332" i="6"/>
  <c r="AE332" i="6"/>
  <c r="AX332" i="6"/>
  <c r="BA332" i="6" s="1"/>
  <c r="AG332" i="6"/>
  <c r="AB332" i="6"/>
  <c r="S332" i="6"/>
  <c r="AR332" i="6"/>
  <c r="A333" i="6"/>
  <c r="X333" i="6" l="1"/>
  <c r="AX333" i="6" s="1"/>
  <c r="BA333" i="6" s="1"/>
  <c r="AJ333" i="6"/>
  <c r="Q333" i="6"/>
  <c r="AK333" i="6"/>
  <c r="AL333" i="6"/>
  <c r="AM333" i="6"/>
  <c r="AN333" i="6"/>
  <c r="AO333" i="6"/>
  <c r="I331" i="41"/>
  <c r="H331" i="41"/>
  <c r="J331" i="41"/>
  <c r="AJ332" i="14"/>
  <c r="P332" i="14"/>
  <c r="AD332" i="14"/>
  <c r="N332" i="14"/>
  <c r="J332" i="14"/>
  <c r="AF332" i="14"/>
  <c r="H332" i="14"/>
  <c r="M332" i="14"/>
  <c r="AH332" i="14"/>
  <c r="AC332" i="14"/>
  <c r="AA332" i="14"/>
  <c r="AG332" i="14"/>
  <c r="U332" i="14"/>
  <c r="I332" i="14"/>
  <c r="F332" i="14"/>
  <c r="V332" i="14"/>
  <c r="Q332" i="14"/>
  <c r="L332" i="14"/>
  <c r="AE332" i="14"/>
  <c r="T332" i="14"/>
  <c r="E332" i="14"/>
  <c r="AB332" i="14"/>
  <c r="G332" i="14"/>
  <c r="S332" i="14"/>
  <c r="X332" i="14"/>
  <c r="K332" i="14"/>
  <c r="W332" i="14"/>
  <c r="O332" i="14"/>
  <c r="Z332" i="14"/>
  <c r="C332" i="14"/>
  <c r="D332" i="14"/>
  <c r="R332" i="14"/>
  <c r="Y332" i="14"/>
  <c r="AI332" i="14"/>
  <c r="AW332" i="6"/>
  <c r="BF332" i="6" s="1"/>
  <c r="BG332" i="6" s="1"/>
  <c r="BH332" i="6" s="1"/>
  <c r="O331" i="41"/>
  <c r="G333" i="6"/>
  <c r="D333" i="6"/>
  <c r="A333" i="14"/>
  <c r="E333" i="6"/>
  <c r="C332" i="41" s="1"/>
  <c r="G332" i="41"/>
  <c r="A332" i="41"/>
  <c r="D332" i="41" s="1"/>
  <c r="F333" i="6"/>
  <c r="C333" i="6"/>
  <c r="B332" i="41" s="1"/>
  <c r="N333" i="6"/>
  <c r="H333" i="6"/>
  <c r="AU333" i="6" s="1"/>
  <c r="B333" i="6"/>
  <c r="J333" i="6"/>
  <c r="AV333" i="6" s="1"/>
  <c r="U333" i="6"/>
  <c r="V333" i="6"/>
  <c r="I333" i="6"/>
  <c r="M333" i="6"/>
  <c r="M332" i="41" s="1"/>
  <c r="P332" i="41" s="1"/>
  <c r="AH333" i="6"/>
  <c r="L333" i="6"/>
  <c r="AA333" i="6"/>
  <c r="K333" i="6"/>
  <c r="AB333" i="6"/>
  <c r="AZ333" i="6"/>
  <c r="BC333" i="6" s="1"/>
  <c r="T333" i="6"/>
  <c r="O333" i="6"/>
  <c r="N332" i="41" s="1"/>
  <c r="AD333" i="6"/>
  <c r="AY333" i="6" s="1"/>
  <c r="BB333" i="6" s="1"/>
  <c r="Y333" i="6"/>
  <c r="AR333" i="6"/>
  <c r="S333" i="6"/>
  <c r="Z333" i="6"/>
  <c r="AQ333" i="6"/>
  <c r="R333" i="6"/>
  <c r="AF333" i="6"/>
  <c r="AE333" i="6"/>
  <c r="AG333" i="6"/>
  <c r="A334" i="6"/>
  <c r="X334" i="6" l="1"/>
  <c r="AX334" i="6" s="1"/>
  <c r="BA334" i="6" s="1"/>
  <c r="AJ334" i="6"/>
  <c r="Q334" i="6"/>
  <c r="AK334" i="6"/>
  <c r="AN334" i="6"/>
  <c r="AO334" i="6"/>
  <c r="AL334" i="6"/>
  <c r="AM334" i="6"/>
  <c r="H332" i="41"/>
  <c r="I332" i="41"/>
  <c r="J332" i="41"/>
  <c r="O332" i="41"/>
  <c r="AW333" i="6"/>
  <c r="BF333" i="6" s="1"/>
  <c r="BG333" i="6" s="1"/>
  <c r="BH333" i="6" s="1"/>
  <c r="S333" i="14"/>
  <c r="R333" i="14"/>
  <c r="C333" i="14"/>
  <c r="K333" i="14"/>
  <c r="G333" i="14"/>
  <c r="AD333" i="14"/>
  <c r="AG333" i="14"/>
  <c r="Y333" i="14"/>
  <c r="AJ333" i="14"/>
  <c r="X333" i="14"/>
  <c r="M333" i="14"/>
  <c r="AI333" i="14"/>
  <c r="P333" i="14"/>
  <c r="O333" i="14"/>
  <c r="Q333" i="14"/>
  <c r="J333" i="14"/>
  <c r="AF333" i="14"/>
  <c r="H333" i="14"/>
  <c r="D333" i="14"/>
  <c r="E333" i="14"/>
  <c r="AC333" i="14"/>
  <c r="AA333" i="14"/>
  <c r="I333" i="14"/>
  <c r="AE333" i="14"/>
  <c r="AB333" i="14"/>
  <c r="F333" i="14"/>
  <c r="V333" i="14"/>
  <c r="AH333" i="14"/>
  <c r="W333" i="14"/>
  <c r="U333" i="14"/>
  <c r="Z333" i="14"/>
  <c r="N333" i="14"/>
  <c r="L333" i="14"/>
  <c r="T333" i="14"/>
  <c r="C334" i="6"/>
  <c r="B333" i="41" s="1"/>
  <c r="H334" i="6"/>
  <c r="AU334" i="6" s="1"/>
  <c r="B334" i="6"/>
  <c r="F334" i="6"/>
  <c r="G334" i="6"/>
  <c r="A334" i="14"/>
  <c r="D334" i="6"/>
  <c r="I334" i="6"/>
  <c r="G333" i="41"/>
  <c r="E334" i="6"/>
  <c r="C333" i="41" s="1"/>
  <c r="J334" i="6"/>
  <c r="AV334" i="6" s="1"/>
  <c r="A333" i="41"/>
  <c r="D333" i="41" s="1"/>
  <c r="N334" i="6"/>
  <c r="V334" i="6"/>
  <c r="U334" i="6"/>
  <c r="T334" i="6"/>
  <c r="L334" i="6"/>
  <c r="M334" i="6"/>
  <c r="M333" i="41" s="1"/>
  <c r="P333" i="41" s="1"/>
  <c r="AR334" i="6"/>
  <c r="K334" i="6"/>
  <c r="Z334" i="6"/>
  <c r="AQ334" i="6"/>
  <c r="O334" i="6"/>
  <c r="N333" i="41" s="1"/>
  <c r="Y334" i="6"/>
  <c r="AB334" i="6"/>
  <c r="S334" i="6"/>
  <c r="AA334" i="6"/>
  <c r="AD334" i="6"/>
  <c r="AY334" i="6" s="1"/>
  <c r="BB334" i="6" s="1"/>
  <c r="R334" i="6"/>
  <c r="AZ334" i="6"/>
  <c r="BC334" i="6" s="1"/>
  <c r="AF334" i="6"/>
  <c r="AE334" i="6"/>
  <c r="AG334" i="6"/>
  <c r="AH334" i="6"/>
  <c r="A335" i="6"/>
  <c r="Q335" i="6" l="1"/>
  <c r="X335" i="6"/>
  <c r="AJ335" i="6"/>
  <c r="AN335" i="6"/>
  <c r="AK335" i="6"/>
  <c r="AL335" i="6"/>
  <c r="AM335" i="6"/>
  <c r="AO335" i="6"/>
  <c r="I333" i="41"/>
  <c r="H333" i="41"/>
  <c r="J333" i="41"/>
  <c r="AC334" i="14"/>
  <c r="AA334" i="14"/>
  <c r="U334" i="14"/>
  <c r="AG334" i="14"/>
  <c r="N334" i="14"/>
  <c r="F334" i="14"/>
  <c r="T334" i="14"/>
  <c r="L334" i="14"/>
  <c r="Q334" i="14"/>
  <c r="M334" i="14"/>
  <c r="S334" i="14"/>
  <c r="AB334" i="14"/>
  <c r="E334" i="14"/>
  <c r="I334" i="14"/>
  <c r="V334" i="14"/>
  <c r="K334" i="14"/>
  <c r="X334" i="14"/>
  <c r="AE334" i="14"/>
  <c r="AH334" i="14"/>
  <c r="O334" i="14"/>
  <c r="W334" i="14"/>
  <c r="Y334" i="14"/>
  <c r="AI334" i="14"/>
  <c r="Z334" i="14"/>
  <c r="D334" i="14"/>
  <c r="AF334" i="14"/>
  <c r="P334" i="14"/>
  <c r="R334" i="14"/>
  <c r="AD334" i="14"/>
  <c r="H334" i="14"/>
  <c r="G334" i="14"/>
  <c r="C334" i="14"/>
  <c r="J334" i="14"/>
  <c r="AJ334" i="14"/>
  <c r="O333" i="41"/>
  <c r="AW334" i="6"/>
  <c r="BF334" i="6" s="1"/>
  <c r="BG334" i="6" s="1"/>
  <c r="BH334" i="6" s="1"/>
  <c r="G334" i="41"/>
  <c r="A334" i="41"/>
  <c r="D334" i="41" s="1"/>
  <c r="I335" i="6"/>
  <c r="F335" i="6"/>
  <c r="G335" i="6"/>
  <c r="J335" i="6"/>
  <c r="AV335" i="6" s="1"/>
  <c r="C335" i="6"/>
  <c r="B334" i="41" s="1"/>
  <c r="H335" i="6"/>
  <c r="AU335" i="6" s="1"/>
  <c r="D335" i="6"/>
  <c r="B335" i="6"/>
  <c r="N335" i="6"/>
  <c r="A335" i="14"/>
  <c r="V335" i="6"/>
  <c r="E335" i="6"/>
  <c r="C334" i="41" s="1"/>
  <c r="U335" i="6"/>
  <c r="L335" i="6"/>
  <c r="AX335" i="6"/>
  <c r="BA335" i="6" s="1"/>
  <c r="AA335" i="6"/>
  <c r="K335" i="6"/>
  <c r="O335" i="6"/>
  <c r="N334" i="41" s="1"/>
  <c r="AZ335" i="6"/>
  <c r="BC335" i="6" s="1"/>
  <c r="S335" i="6"/>
  <c r="AB335" i="6"/>
  <c r="AQ335" i="6"/>
  <c r="AH335" i="6"/>
  <c r="R335" i="6"/>
  <c r="AD335" i="6"/>
  <c r="AY335" i="6" s="1"/>
  <c r="BB335" i="6" s="1"/>
  <c r="AR335" i="6"/>
  <c r="T335" i="6"/>
  <c r="Z335" i="6"/>
  <c r="M335" i="6"/>
  <c r="M334" i="41" s="1"/>
  <c r="P334" i="41" s="1"/>
  <c r="Y335" i="6"/>
  <c r="AG335" i="6"/>
  <c r="AF335" i="6"/>
  <c r="AE335" i="6"/>
  <c r="A336" i="6"/>
  <c r="AJ336" i="6" l="1"/>
  <c r="AZ336" i="6" s="1"/>
  <c r="BC336" i="6" s="1"/>
  <c r="Q336" i="6"/>
  <c r="X336" i="6"/>
  <c r="AX336" i="6" s="1"/>
  <c r="BA336" i="6" s="1"/>
  <c r="AL336" i="6"/>
  <c r="AM336" i="6"/>
  <c r="AN336" i="6"/>
  <c r="AO336" i="6"/>
  <c r="AK336" i="6"/>
  <c r="I334" i="41"/>
  <c r="H334" i="41"/>
  <c r="J334" i="41"/>
  <c r="Y335" i="14"/>
  <c r="AJ335" i="14"/>
  <c r="H335" i="14"/>
  <c r="K335" i="14"/>
  <c r="L335" i="14"/>
  <c r="AI335" i="14"/>
  <c r="AE335" i="14"/>
  <c r="I335" i="14"/>
  <c r="E335" i="14"/>
  <c r="J335" i="14"/>
  <c r="AF335" i="14"/>
  <c r="W335" i="14"/>
  <c r="AH335" i="14"/>
  <c r="D335" i="14"/>
  <c r="AC335" i="14"/>
  <c r="AA335" i="14"/>
  <c r="N335" i="14"/>
  <c r="Z335" i="14"/>
  <c r="Q335" i="14"/>
  <c r="F335" i="14"/>
  <c r="T335" i="14"/>
  <c r="C335" i="14"/>
  <c r="R335" i="14"/>
  <c r="O335" i="14"/>
  <c r="V335" i="14"/>
  <c r="AD335" i="14"/>
  <c r="G335" i="14"/>
  <c r="X335" i="14"/>
  <c r="S335" i="14"/>
  <c r="M335" i="14"/>
  <c r="U335" i="14"/>
  <c r="P335" i="14"/>
  <c r="AB335" i="14"/>
  <c r="AG335" i="14"/>
  <c r="O334" i="41"/>
  <c r="AW335" i="6"/>
  <c r="BF335" i="6" s="1"/>
  <c r="BG335" i="6" s="1"/>
  <c r="BH335" i="6" s="1"/>
  <c r="G336" i="6"/>
  <c r="D336" i="6"/>
  <c r="A336" i="14"/>
  <c r="E336" i="6"/>
  <c r="C335" i="41" s="1"/>
  <c r="I336" i="6"/>
  <c r="F336" i="6"/>
  <c r="J336" i="6"/>
  <c r="AV336" i="6" s="1"/>
  <c r="G335" i="41"/>
  <c r="A335" i="41"/>
  <c r="D335" i="41" s="1"/>
  <c r="N336" i="6"/>
  <c r="U336" i="6"/>
  <c r="C336" i="6"/>
  <c r="B335" i="41" s="1"/>
  <c r="H336" i="6"/>
  <c r="AU336" i="6" s="1"/>
  <c r="B336" i="6"/>
  <c r="V336" i="6"/>
  <c r="R336" i="6"/>
  <c r="Y336" i="6"/>
  <c r="AQ336" i="6"/>
  <c r="Z336" i="6"/>
  <c r="M336" i="6"/>
  <c r="M335" i="41" s="1"/>
  <c r="P335" i="41" s="1"/>
  <c r="AB336" i="6"/>
  <c r="AD336" i="6"/>
  <c r="AY336" i="6" s="1"/>
  <c r="BB336" i="6" s="1"/>
  <c r="L336" i="6"/>
  <c r="AH336" i="6"/>
  <c r="K336" i="6"/>
  <c r="AA336" i="6"/>
  <c r="AF336" i="6"/>
  <c r="AG336" i="6"/>
  <c r="T336" i="6"/>
  <c r="O336" i="6"/>
  <c r="N335" i="41" s="1"/>
  <c r="AE336" i="6"/>
  <c r="S336" i="6"/>
  <c r="AR336" i="6"/>
  <c r="A337" i="6"/>
  <c r="AJ337" i="6" l="1"/>
  <c r="AZ337" i="6" s="1"/>
  <c r="BC337" i="6" s="1"/>
  <c r="Q337" i="6"/>
  <c r="X337" i="6"/>
  <c r="AX337" i="6" s="1"/>
  <c r="BA337" i="6" s="1"/>
  <c r="AL337" i="6"/>
  <c r="AO337" i="6"/>
  <c r="AK337" i="6"/>
  <c r="AM337" i="6"/>
  <c r="AN337" i="6"/>
  <c r="H335" i="41"/>
  <c r="I335" i="41"/>
  <c r="J335" i="41"/>
  <c r="O335" i="41"/>
  <c r="AW336" i="6"/>
  <c r="BF336" i="6" s="1"/>
  <c r="BG336" i="6" s="1"/>
  <c r="BH336" i="6" s="1"/>
  <c r="V336" i="14"/>
  <c r="O336" i="14"/>
  <c r="AH336" i="14"/>
  <c r="C336" i="14"/>
  <c r="T336" i="14"/>
  <c r="D336" i="14"/>
  <c r="I336" i="14"/>
  <c r="Y336" i="14"/>
  <c r="P336" i="14"/>
  <c r="AD336" i="14"/>
  <c r="Z336" i="14"/>
  <c r="AI336" i="14"/>
  <c r="H336" i="14"/>
  <c r="M336" i="14"/>
  <c r="W336" i="14"/>
  <c r="J336" i="14"/>
  <c r="AJ336" i="14"/>
  <c r="AG336" i="14"/>
  <c r="U336" i="14"/>
  <c r="R336" i="14"/>
  <c r="AC336" i="14"/>
  <c r="AF336" i="14"/>
  <c r="Q336" i="14"/>
  <c r="L336" i="14"/>
  <c r="G336" i="14"/>
  <c r="F336" i="14"/>
  <c r="AA336" i="14"/>
  <c r="E336" i="14"/>
  <c r="AB336" i="14"/>
  <c r="AE336" i="14"/>
  <c r="X336" i="14"/>
  <c r="K336" i="14"/>
  <c r="N336" i="14"/>
  <c r="S336" i="14"/>
  <c r="J337" i="6"/>
  <c r="AV337" i="6" s="1"/>
  <c r="C337" i="6"/>
  <c r="B336" i="41" s="1"/>
  <c r="B337" i="6"/>
  <c r="D337" i="6"/>
  <c r="E337" i="6"/>
  <c r="C336" i="41" s="1"/>
  <c r="H337" i="6"/>
  <c r="AU337" i="6" s="1"/>
  <c r="F337" i="6"/>
  <c r="G336" i="41"/>
  <c r="A337" i="14"/>
  <c r="G337" i="6"/>
  <c r="A336" i="41"/>
  <c r="D336" i="41" s="1"/>
  <c r="V337" i="6"/>
  <c r="U337" i="6"/>
  <c r="I337" i="6"/>
  <c r="N337" i="6"/>
  <c r="R337" i="6"/>
  <c r="Y337" i="6"/>
  <c r="T337" i="6"/>
  <c r="AB337" i="6"/>
  <c r="M337" i="6"/>
  <c r="M336" i="41" s="1"/>
  <c r="P336" i="41" s="1"/>
  <c r="AD337" i="6"/>
  <c r="AY337" i="6" s="1"/>
  <c r="BB337" i="6" s="1"/>
  <c r="AR337" i="6"/>
  <c r="L337" i="6"/>
  <c r="AQ337" i="6"/>
  <c r="AH337" i="6"/>
  <c r="K337" i="6"/>
  <c r="O337" i="6"/>
  <c r="N336" i="41" s="1"/>
  <c r="AA337" i="6"/>
  <c r="S337" i="6"/>
  <c r="Z337" i="6"/>
  <c r="AF337" i="6"/>
  <c r="AE337" i="6"/>
  <c r="AG337" i="6"/>
  <c r="A338" i="6"/>
  <c r="AJ338" i="6" l="1"/>
  <c r="Q338" i="6"/>
  <c r="X338" i="6"/>
  <c r="AO338" i="6"/>
  <c r="AK338" i="6"/>
  <c r="AL338" i="6"/>
  <c r="AM338" i="6"/>
  <c r="AN338" i="6"/>
  <c r="I336" i="41"/>
  <c r="H336" i="41"/>
  <c r="J336" i="41"/>
  <c r="J337" i="14"/>
  <c r="AA337" i="14"/>
  <c r="AH337" i="14"/>
  <c r="W337" i="14"/>
  <c r="K337" i="14"/>
  <c r="AC337" i="14"/>
  <c r="V337" i="14"/>
  <c r="Z337" i="14"/>
  <c r="N337" i="14"/>
  <c r="E337" i="14"/>
  <c r="F337" i="14"/>
  <c r="T337" i="14"/>
  <c r="R337" i="14"/>
  <c r="C337" i="14"/>
  <c r="AB337" i="14"/>
  <c r="S337" i="14"/>
  <c r="G337" i="14"/>
  <c r="AD337" i="14"/>
  <c r="U337" i="14"/>
  <c r="X337" i="14"/>
  <c r="M337" i="14"/>
  <c r="AJ337" i="14"/>
  <c r="P337" i="14"/>
  <c r="O337" i="14"/>
  <c r="Q337" i="14"/>
  <c r="Y337" i="14"/>
  <c r="AI337" i="14"/>
  <c r="H337" i="14"/>
  <c r="D337" i="14"/>
  <c r="L337" i="14"/>
  <c r="AE337" i="14"/>
  <c r="AG337" i="14"/>
  <c r="AF337" i="14"/>
  <c r="I337" i="14"/>
  <c r="AW337" i="6"/>
  <c r="BF337" i="6" s="1"/>
  <c r="BG337" i="6" s="1"/>
  <c r="BH337" i="6" s="1"/>
  <c r="O336" i="41"/>
  <c r="A337" i="41"/>
  <c r="D337" i="41" s="1"/>
  <c r="F338" i="6"/>
  <c r="G338" i="6"/>
  <c r="C338" i="6"/>
  <c r="B337" i="41" s="1"/>
  <c r="H338" i="6"/>
  <c r="AU338" i="6" s="1"/>
  <c r="B338" i="6"/>
  <c r="D338" i="6"/>
  <c r="A338" i="14"/>
  <c r="E338" i="6"/>
  <c r="C337" i="41" s="1"/>
  <c r="I338" i="6"/>
  <c r="G337" i="41"/>
  <c r="J338" i="6"/>
  <c r="AV338" i="6" s="1"/>
  <c r="U338" i="6"/>
  <c r="V338" i="6"/>
  <c r="N338" i="6"/>
  <c r="O338" i="6"/>
  <c r="N337" i="41" s="1"/>
  <c r="AR338" i="6"/>
  <c r="S338" i="6"/>
  <c r="T338" i="6"/>
  <c r="AX338" i="6"/>
  <c r="BA338" i="6" s="1"/>
  <c r="AQ338" i="6"/>
  <c r="AH338" i="6"/>
  <c r="R338" i="6"/>
  <c r="Y338" i="6"/>
  <c r="M338" i="6"/>
  <c r="M337" i="41" s="1"/>
  <c r="P337" i="41" s="1"/>
  <c r="AB338" i="6"/>
  <c r="AD338" i="6"/>
  <c r="AY338" i="6" s="1"/>
  <c r="BB338" i="6" s="1"/>
  <c r="L338" i="6"/>
  <c r="AE338" i="6"/>
  <c r="AG338" i="6"/>
  <c r="Z338" i="6"/>
  <c r="K338" i="6"/>
  <c r="AF338" i="6"/>
  <c r="AA338" i="6"/>
  <c r="AZ338" i="6"/>
  <c r="BC338" i="6" s="1"/>
  <c r="A339" i="6"/>
  <c r="X339" i="6" l="1"/>
  <c r="AX339" i="6" s="1"/>
  <c r="BA339" i="6" s="1"/>
  <c r="AJ339" i="6"/>
  <c r="Q339" i="6"/>
  <c r="AM339" i="6"/>
  <c r="AN339" i="6"/>
  <c r="AO339" i="6"/>
  <c r="AK339" i="6"/>
  <c r="AL339" i="6"/>
  <c r="AA338" i="14"/>
  <c r="L338" i="14"/>
  <c r="Q338" i="14"/>
  <c r="W338" i="14"/>
  <c r="J338" i="14"/>
  <c r="V338" i="14"/>
  <c r="AB338" i="14"/>
  <c r="E338" i="14"/>
  <c r="I338" i="14"/>
  <c r="AC338" i="14"/>
  <c r="T338" i="14"/>
  <c r="K338" i="14"/>
  <c r="X338" i="14"/>
  <c r="AE338" i="14"/>
  <c r="F338" i="14"/>
  <c r="S338" i="14"/>
  <c r="AH338" i="14"/>
  <c r="O338" i="14"/>
  <c r="M338" i="14"/>
  <c r="Z338" i="14"/>
  <c r="D338" i="14"/>
  <c r="AI338" i="14"/>
  <c r="P338" i="14"/>
  <c r="R338" i="14"/>
  <c r="N338" i="14"/>
  <c r="AJ338" i="14"/>
  <c r="H338" i="14"/>
  <c r="G338" i="14"/>
  <c r="AD338" i="14"/>
  <c r="C338" i="14"/>
  <c r="Y338" i="14"/>
  <c r="AF338" i="14"/>
  <c r="U338" i="14"/>
  <c r="AG338" i="14"/>
  <c r="O337" i="41"/>
  <c r="AW338" i="6"/>
  <c r="BF338" i="6" s="1"/>
  <c r="BG338" i="6" s="1"/>
  <c r="BH338" i="6" s="1"/>
  <c r="I337" i="41"/>
  <c r="H337" i="41"/>
  <c r="J337" i="41"/>
  <c r="F339" i="6"/>
  <c r="G338" i="41"/>
  <c r="G339" i="6"/>
  <c r="A338" i="41"/>
  <c r="D338" i="41" s="1"/>
  <c r="C339" i="6"/>
  <c r="B338" i="41" s="1"/>
  <c r="H339" i="6"/>
  <c r="AU339" i="6" s="1"/>
  <c r="D339" i="6"/>
  <c r="B339" i="6"/>
  <c r="I339" i="6"/>
  <c r="A339" i="14"/>
  <c r="N339" i="6"/>
  <c r="U339" i="6"/>
  <c r="E339" i="6"/>
  <c r="C338" i="41" s="1"/>
  <c r="V339" i="6"/>
  <c r="J339" i="6"/>
  <c r="AV339" i="6" s="1"/>
  <c r="Z339" i="6"/>
  <c r="S339" i="6"/>
  <c r="AH339" i="6"/>
  <c r="R339" i="6"/>
  <c r="M339" i="6"/>
  <c r="M338" i="41" s="1"/>
  <c r="P338" i="41" s="1"/>
  <c r="AA339" i="6"/>
  <c r="AQ339" i="6"/>
  <c r="L339" i="6"/>
  <c r="T339" i="6"/>
  <c r="K339" i="6"/>
  <c r="AB339" i="6"/>
  <c r="AR339" i="6"/>
  <c r="O339" i="6"/>
  <c r="N338" i="41" s="1"/>
  <c r="Y339" i="6"/>
  <c r="AD339" i="6"/>
  <c r="AY339" i="6" s="1"/>
  <c r="BB339" i="6" s="1"/>
  <c r="AZ339" i="6"/>
  <c r="BC339" i="6" s="1"/>
  <c r="AF339" i="6"/>
  <c r="AE339" i="6"/>
  <c r="AG339" i="6"/>
  <c r="A340" i="6"/>
  <c r="X340" i="6" l="1"/>
  <c r="AX340" i="6" s="1"/>
  <c r="BA340" i="6" s="1"/>
  <c r="AJ340" i="6"/>
  <c r="Q340" i="6"/>
  <c r="AM340" i="6"/>
  <c r="AK340" i="6"/>
  <c r="AL340" i="6"/>
  <c r="AN340" i="6"/>
  <c r="AO340" i="6"/>
  <c r="AW339" i="6"/>
  <c r="BF339" i="6" s="1"/>
  <c r="BG339" i="6" s="1"/>
  <c r="BH339" i="6" s="1"/>
  <c r="O338" i="41"/>
  <c r="G340" i="6"/>
  <c r="F340" i="6"/>
  <c r="A340" i="14"/>
  <c r="D340" i="6"/>
  <c r="E340" i="6"/>
  <c r="C339" i="41" s="1"/>
  <c r="G339" i="41"/>
  <c r="A339" i="41"/>
  <c r="D339" i="41" s="1"/>
  <c r="H340" i="6"/>
  <c r="AU340" i="6" s="1"/>
  <c r="B340" i="6"/>
  <c r="I340" i="6"/>
  <c r="J340" i="6"/>
  <c r="AV340" i="6" s="1"/>
  <c r="N340" i="6"/>
  <c r="U340" i="6"/>
  <c r="V340" i="6"/>
  <c r="C340" i="6"/>
  <c r="B339" i="41" s="1"/>
  <c r="R340" i="6"/>
  <c r="L340" i="6"/>
  <c r="AA340" i="6"/>
  <c r="AQ340" i="6"/>
  <c r="AH340" i="6"/>
  <c r="K340" i="6"/>
  <c r="AB340" i="6"/>
  <c r="O340" i="6"/>
  <c r="N339" i="41" s="1"/>
  <c r="AD340" i="6"/>
  <c r="AY340" i="6" s="1"/>
  <c r="BB340" i="6" s="1"/>
  <c r="Z340" i="6"/>
  <c r="M340" i="6"/>
  <c r="M339" i="41" s="1"/>
  <c r="P339" i="41" s="1"/>
  <c r="T340" i="6"/>
  <c r="Y340" i="6"/>
  <c r="AZ340" i="6"/>
  <c r="BC340" i="6" s="1"/>
  <c r="AG340" i="6"/>
  <c r="S340" i="6"/>
  <c r="AR340" i="6"/>
  <c r="AF340" i="6"/>
  <c r="AE340" i="6"/>
  <c r="A341" i="6"/>
  <c r="Y339" i="14"/>
  <c r="AJ339" i="14"/>
  <c r="H339" i="14"/>
  <c r="K339" i="14"/>
  <c r="Q339" i="14"/>
  <c r="AI339" i="14"/>
  <c r="AE339" i="14"/>
  <c r="I339" i="14"/>
  <c r="O339" i="14"/>
  <c r="J339" i="14"/>
  <c r="AF339" i="14"/>
  <c r="W339" i="14"/>
  <c r="AH339" i="14"/>
  <c r="AG339" i="14"/>
  <c r="AC339" i="14"/>
  <c r="AA339" i="14"/>
  <c r="N339" i="14"/>
  <c r="Z339" i="14"/>
  <c r="L339" i="14"/>
  <c r="F339" i="14"/>
  <c r="V339" i="14"/>
  <c r="C339" i="14"/>
  <c r="R339" i="14"/>
  <c r="E339" i="14"/>
  <c r="T339" i="14"/>
  <c r="AD339" i="14"/>
  <c r="G339" i="14"/>
  <c r="X339" i="14"/>
  <c r="S339" i="14"/>
  <c r="M339" i="14"/>
  <c r="D339" i="14"/>
  <c r="P339" i="14"/>
  <c r="AB339" i="14"/>
  <c r="U339" i="14"/>
  <c r="I338" i="41"/>
  <c r="H338" i="41"/>
  <c r="J338" i="41"/>
  <c r="X341" i="6" l="1"/>
  <c r="AJ341" i="6"/>
  <c r="Q341" i="6"/>
  <c r="AK341" i="6"/>
  <c r="AL341" i="6"/>
  <c r="AM341" i="6"/>
  <c r="AN341" i="6"/>
  <c r="AO341" i="6"/>
  <c r="H339" i="41"/>
  <c r="I339" i="41"/>
  <c r="J339" i="41"/>
  <c r="S340" i="14"/>
  <c r="O340" i="14"/>
  <c r="AH340" i="14"/>
  <c r="N340" i="14"/>
  <c r="D340" i="14"/>
  <c r="I340" i="14"/>
  <c r="Y340" i="14"/>
  <c r="AI340" i="14"/>
  <c r="P340" i="14"/>
  <c r="AD340" i="14"/>
  <c r="AE340" i="14"/>
  <c r="AF340" i="14"/>
  <c r="H340" i="14"/>
  <c r="M340" i="14"/>
  <c r="G340" i="14"/>
  <c r="J340" i="14"/>
  <c r="AA340" i="14"/>
  <c r="AG340" i="14"/>
  <c r="U340" i="14"/>
  <c r="C340" i="14"/>
  <c r="AC340" i="14"/>
  <c r="AJ340" i="14"/>
  <c r="Q340" i="14"/>
  <c r="L340" i="14"/>
  <c r="Z340" i="14"/>
  <c r="F340" i="14"/>
  <c r="V340" i="14"/>
  <c r="E340" i="14"/>
  <c r="AB340" i="14"/>
  <c r="W340" i="14"/>
  <c r="T340" i="14"/>
  <c r="X340" i="14"/>
  <c r="K340" i="14"/>
  <c r="R340" i="14"/>
  <c r="C341" i="6"/>
  <c r="B340" i="41" s="1"/>
  <c r="H341" i="6"/>
  <c r="AU341" i="6" s="1"/>
  <c r="B341" i="6"/>
  <c r="G341" i="6"/>
  <c r="D341" i="6"/>
  <c r="A341" i="14"/>
  <c r="E341" i="6"/>
  <c r="C340" i="41" s="1"/>
  <c r="G340" i="41"/>
  <c r="F341" i="6"/>
  <c r="A340" i="41"/>
  <c r="D340" i="41" s="1"/>
  <c r="J341" i="6"/>
  <c r="AV341" i="6" s="1"/>
  <c r="N341" i="6"/>
  <c r="I341" i="6"/>
  <c r="V341" i="6"/>
  <c r="U341" i="6"/>
  <c r="O341" i="6"/>
  <c r="N340" i="41" s="1"/>
  <c r="Z341" i="6"/>
  <c r="AX341" i="6"/>
  <c r="BA341" i="6" s="1"/>
  <c r="AH341" i="6"/>
  <c r="Y341" i="6"/>
  <c r="T341" i="6"/>
  <c r="AA341" i="6"/>
  <c r="AZ341" i="6"/>
  <c r="BC341" i="6" s="1"/>
  <c r="AR341" i="6"/>
  <c r="AB341" i="6"/>
  <c r="AQ341" i="6"/>
  <c r="S341" i="6"/>
  <c r="L341" i="6"/>
  <c r="AD341" i="6"/>
  <c r="AY341" i="6" s="1"/>
  <c r="BB341" i="6" s="1"/>
  <c r="AF341" i="6"/>
  <c r="AG341" i="6"/>
  <c r="R341" i="6"/>
  <c r="K341" i="6"/>
  <c r="AE341" i="6"/>
  <c r="M341" i="6"/>
  <c r="M340" i="41" s="1"/>
  <c r="P340" i="41" s="1"/>
  <c r="A342" i="6"/>
  <c r="O339" i="41"/>
  <c r="AW340" i="6"/>
  <c r="BF340" i="6" s="1"/>
  <c r="BG340" i="6" s="1"/>
  <c r="BH340" i="6" s="1"/>
  <c r="X342" i="6" l="1"/>
  <c r="AJ342" i="6"/>
  <c r="AZ342" i="6" s="1"/>
  <c r="BC342" i="6" s="1"/>
  <c r="Q342" i="6"/>
  <c r="AK342" i="6"/>
  <c r="AN342" i="6"/>
  <c r="AO342" i="6"/>
  <c r="AL342" i="6"/>
  <c r="AM342" i="6"/>
  <c r="I340" i="41"/>
  <c r="H340" i="41"/>
  <c r="J340" i="41"/>
  <c r="F341" i="14"/>
  <c r="AA341" i="14"/>
  <c r="Z341" i="14"/>
  <c r="N341" i="14"/>
  <c r="E341" i="14"/>
  <c r="V341" i="14"/>
  <c r="R341" i="14"/>
  <c r="C341" i="14"/>
  <c r="AB341" i="14"/>
  <c r="T341" i="14"/>
  <c r="G341" i="14"/>
  <c r="AD341" i="14"/>
  <c r="L341" i="14"/>
  <c r="S341" i="14"/>
  <c r="X341" i="14"/>
  <c r="M341" i="14"/>
  <c r="Y341" i="14"/>
  <c r="P341" i="14"/>
  <c r="O341" i="14"/>
  <c r="AG341" i="14"/>
  <c r="AJ341" i="14"/>
  <c r="H341" i="14"/>
  <c r="D341" i="14"/>
  <c r="K341" i="14"/>
  <c r="J341" i="14"/>
  <c r="AI341" i="14"/>
  <c r="I341" i="14"/>
  <c r="AE341" i="14"/>
  <c r="U341" i="14"/>
  <c r="AF341" i="14"/>
  <c r="AH341" i="14"/>
  <c r="W341" i="14"/>
  <c r="Q341" i="14"/>
  <c r="AC341" i="14"/>
  <c r="O340" i="41"/>
  <c r="AW341" i="6"/>
  <c r="BF341" i="6" s="1"/>
  <c r="BG341" i="6" s="1"/>
  <c r="BH341" i="6" s="1"/>
  <c r="A341" i="41"/>
  <c r="D341" i="41" s="1"/>
  <c r="F342" i="6"/>
  <c r="C342" i="6"/>
  <c r="B341" i="41" s="1"/>
  <c r="H342" i="6"/>
  <c r="AU342" i="6" s="1"/>
  <c r="G342" i="6"/>
  <c r="B342" i="6"/>
  <c r="A342" i="14"/>
  <c r="D342" i="6"/>
  <c r="E342" i="6"/>
  <c r="C341" i="41" s="1"/>
  <c r="G341" i="41"/>
  <c r="N342" i="6"/>
  <c r="V342" i="6"/>
  <c r="U342" i="6"/>
  <c r="I342" i="6"/>
  <c r="J342" i="6"/>
  <c r="AV342" i="6" s="1"/>
  <c r="AH342" i="6"/>
  <c r="AB342" i="6"/>
  <c r="L342" i="6"/>
  <c r="Y342" i="6"/>
  <c r="AD342" i="6"/>
  <c r="AY342" i="6" s="1"/>
  <c r="BB342" i="6" s="1"/>
  <c r="K342" i="6"/>
  <c r="AX342" i="6"/>
  <c r="BA342" i="6" s="1"/>
  <c r="T342" i="6"/>
  <c r="O342" i="6"/>
  <c r="N341" i="41" s="1"/>
  <c r="AR342" i="6"/>
  <c r="S342" i="6"/>
  <c r="Z342" i="6"/>
  <c r="M342" i="6"/>
  <c r="M341" i="41" s="1"/>
  <c r="P341" i="41" s="1"/>
  <c r="AQ342" i="6"/>
  <c r="R342" i="6"/>
  <c r="AF342" i="6"/>
  <c r="AA342" i="6"/>
  <c r="AE342" i="6"/>
  <c r="AG342" i="6"/>
  <c r="A343" i="6"/>
  <c r="Q343" i="6" l="1"/>
  <c r="X343" i="6"/>
  <c r="AJ343" i="6"/>
  <c r="AN343" i="6"/>
  <c r="AK343" i="6"/>
  <c r="AL343" i="6"/>
  <c r="AM343" i="6"/>
  <c r="AO343" i="6"/>
  <c r="J342" i="14"/>
  <c r="AA342" i="14"/>
  <c r="L342" i="14"/>
  <c r="Q342" i="14"/>
  <c r="AE342" i="14"/>
  <c r="AC342" i="14"/>
  <c r="T342" i="14"/>
  <c r="AB342" i="14"/>
  <c r="E342" i="14"/>
  <c r="I342" i="14"/>
  <c r="F342" i="14"/>
  <c r="S342" i="14"/>
  <c r="K342" i="14"/>
  <c r="X342" i="14"/>
  <c r="AD342" i="14"/>
  <c r="V342" i="14"/>
  <c r="AH342" i="14"/>
  <c r="O342" i="14"/>
  <c r="C342" i="14"/>
  <c r="Z342" i="14"/>
  <c r="D342" i="14"/>
  <c r="AI342" i="14"/>
  <c r="P342" i="14"/>
  <c r="R342" i="14"/>
  <c r="W342" i="14"/>
  <c r="Y342" i="14"/>
  <c r="AF342" i="14"/>
  <c r="H342" i="14"/>
  <c r="G342" i="14"/>
  <c r="N342" i="14"/>
  <c r="AJ342" i="14"/>
  <c r="U342" i="14"/>
  <c r="AG342" i="14"/>
  <c r="M342" i="14"/>
  <c r="O341" i="41"/>
  <c r="AW342" i="6"/>
  <c r="BF342" i="6" s="1"/>
  <c r="BG342" i="6" s="1"/>
  <c r="BH342" i="6" s="1"/>
  <c r="F343" i="6"/>
  <c r="G342" i="41"/>
  <c r="G343" i="6"/>
  <c r="A342" i="41"/>
  <c r="D342" i="41" s="1"/>
  <c r="I343" i="6"/>
  <c r="C343" i="6"/>
  <c r="B342" i="41" s="1"/>
  <c r="H343" i="6"/>
  <c r="AU343" i="6" s="1"/>
  <c r="J343" i="6"/>
  <c r="AV343" i="6" s="1"/>
  <c r="D343" i="6"/>
  <c r="N343" i="6"/>
  <c r="B343" i="6"/>
  <c r="V343" i="6"/>
  <c r="A343" i="14"/>
  <c r="U343" i="6"/>
  <c r="E343" i="6"/>
  <c r="C342" i="41" s="1"/>
  <c r="T343" i="6"/>
  <c r="Z343" i="6"/>
  <c r="O343" i="6"/>
  <c r="N342" i="41" s="1"/>
  <c r="AZ343" i="6"/>
  <c r="BC343" i="6" s="1"/>
  <c r="M343" i="6"/>
  <c r="M342" i="41" s="1"/>
  <c r="P342" i="41" s="1"/>
  <c r="Y343" i="6"/>
  <c r="AA343" i="6"/>
  <c r="AR343" i="6"/>
  <c r="S343" i="6"/>
  <c r="AQ343" i="6"/>
  <c r="AH343" i="6"/>
  <c r="R343" i="6"/>
  <c r="L343" i="6"/>
  <c r="AB343" i="6"/>
  <c r="AD343" i="6"/>
  <c r="AY343" i="6" s="1"/>
  <c r="BB343" i="6" s="1"/>
  <c r="AE343" i="6"/>
  <c r="AX343" i="6"/>
  <c r="BA343" i="6" s="1"/>
  <c r="AG343" i="6"/>
  <c r="AF343" i="6"/>
  <c r="K343" i="6"/>
  <c r="A344" i="6"/>
  <c r="I341" i="41"/>
  <c r="H341" i="41"/>
  <c r="J341" i="41"/>
  <c r="AJ344" i="6" l="1"/>
  <c r="Q344" i="6"/>
  <c r="X344" i="6"/>
  <c r="AL344" i="6"/>
  <c r="AM344" i="6"/>
  <c r="AN344" i="6"/>
  <c r="AO344" i="6"/>
  <c r="AK344" i="6"/>
  <c r="O342" i="41"/>
  <c r="AW343" i="6"/>
  <c r="BF343" i="6" s="1"/>
  <c r="BG343" i="6" s="1"/>
  <c r="BH343" i="6" s="1"/>
  <c r="I342" i="41"/>
  <c r="H342" i="41"/>
  <c r="J342" i="41"/>
  <c r="C344" i="6"/>
  <c r="B343" i="41" s="1"/>
  <c r="H344" i="6"/>
  <c r="AU344" i="6" s="1"/>
  <c r="B344" i="6"/>
  <c r="F344" i="6"/>
  <c r="D344" i="6"/>
  <c r="A344" i="14"/>
  <c r="E344" i="6"/>
  <c r="C343" i="41" s="1"/>
  <c r="J344" i="6"/>
  <c r="AV344" i="6" s="1"/>
  <c r="G343" i="41"/>
  <c r="G344" i="6"/>
  <c r="I344" i="6"/>
  <c r="A343" i="41"/>
  <c r="D343" i="41" s="1"/>
  <c r="U344" i="6"/>
  <c r="N344" i="6"/>
  <c r="V344" i="6"/>
  <c r="L344" i="6"/>
  <c r="S344" i="6"/>
  <c r="K344" i="6"/>
  <c r="M344" i="6"/>
  <c r="M343" i="41" s="1"/>
  <c r="P343" i="41" s="1"/>
  <c r="AA344" i="6"/>
  <c r="R344" i="6"/>
  <c r="T344" i="6"/>
  <c r="O344" i="6"/>
  <c r="N343" i="41" s="1"/>
  <c r="Y344" i="6"/>
  <c r="AX344" i="6"/>
  <c r="BA344" i="6" s="1"/>
  <c r="AQ344" i="6"/>
  <c r="Z344" i="6"/>
  <c r="AZ344" i="6"/>
  <c r="BC344" i="6" s="1"/>
  <c r="AR344" i="6"/>
  <c r="AB344" i="6"/>
  <c r="AH344" i="6"/>
  <c r="AF344" i="6"/>
  <c r="AD344" i="6"/>
  <c r="AY344" i="6" s="1"/>
  <c r="BB344" i="6" s="1"/>
  <c r="AE344" i="6"/>
  <c r="AG344" i="6"/>
  <c r="A345" i="6"/>
  <c r="Y343" i="14"/>
  <c r="AI343" i="14"/>
  <c r="P343" i="14"/>
  <c r="AB343" i="14"/>
  <c r="D343" i="14"/>
  <c r="AF343" i="14"/>
  <c r="H343" i="14"/>
  <c r="K343" i="14"/>
  <c r="X343" i="14"/>
  <c r="J343" i="14"/>
  <c r="AA343" i="14"/>
  <c r="AE343" i="14"/>
  <c r="I343" i="14"/>
  <c r="U343" i="14"/>
  <c r="AC343" i="14"/>
  <c r="T343" i="14"/>
  <c r="W343" i="14"/>
  <c r="AH343" i="14"/>
  <c r="E343" i="14"/>
  <c r="F343" i="14"/>
  <c r="V343" i="14"/>
  <c r="N343" i="14"/>
  <c r="Z343" i="14"/>
  <c r="L343" i="14"/>
  <c r="S343" i="14"/>
  <c r="C343" i="14"/>
  <c r="R343" i="14"/>
  <c r="AG343" i="14"/>
  <c r="AD343" i="14"/>
  <c r="G343" i="14"/>
  <c r="Q343" i="14"/>
  <c r="M343" i="14"/>
  <c r="O343" i="14"/>
  <c r="AJ343" i="14"/>
  <c r="AJ345" i="6" l="1"/>
  <c r="Q345" i="6"/>
  <c r="X345" i="6"/>
  <c r="AL345" i="6"/>
  <c r="AO345" i="6"/>
  <c r="AK345" i="6"/>
  <c r="AM345" i="6"/>
  <c r="AN345" i="6"/>
  <c r="J345" i="6"/>
  <c r="AV345" i="6" s="1"/>
  <c r="C345" i="6"/>
  <c r="B344" i="41" s="1"/>
  <c r="H345" i="6"/>
  <c r="AU345" i="6" s="1"/>
  <c r="I345" i="6"/>
  <c r="F345" i="6"/>
  <c r="B345" i="6"/>
  <c r="A345" i="14"/>
  <c r="G345" i="6"/>
  <c r="G344" i="41"/>
  <c r="D345" i="6"/>
  <c r="V345" i="6"/>
  <c r="U345" i="6"/>
  <c r="E345" i="6"/>
  <c r="C344" i="41" s="1"/>
  <c r="A344" i="41"/>
  <c r="D344" i="41" s="1"/>
  <c r="N345" i="6"/>
  <c r="O345" i="6"/>
  <c r="N344" i="41" s="1"/>
  <c r="Y345" i="6"/>
  <c r="S345" i="6"/>
  <c r="AA345" i="6"/>
  <c r="R345" i="6"/>
  <c r="Z345" i="6"/>
  <c r="AB345" i="6"/>
  <c r="AX345" i="6"/>
  <c r="BA345" i="6" s="1"/>
  <c r="AD345" i="6"/>
  <c r="AY345" i="6" s="1"/>
  <c r="BB345" i="6" s="1"/>
  <c r="AR345" i="6"/>
  <c r="M345" i="6"/>
  <c r="M344" i="41" s="1"/>
  <c r="P344" i="41" s="1"/>
  <c r="AQ345" i="6"/>
  <c r="T345" i="6"/>
  <c r="L345" i="6"/>
  <c r="AZ345" i="6"/>
  <c r="BC345" i="6" s="1"/>
  <c r="AE345" i="6"/>
  <c r="K345" i="6"/>
  <c r="AG345" i="6"/>
  <c r="AH345" i="6"/>
  <c r="AF345" i="6"/>
  <c r="A346" i="6"/>
  <c r="H343" i="41"/>
  <c r="I343" i="41"/>
  <c r="J343" i="41"/>
  <c r="O343" i="41"/>
  <c r="AW344" i="6"/>
  <c r="BF344" i="6" s="1"/>
  <c r="BG344" i="6" s="1"/>
  <c r="BH344" i="6" s="1"/>
  <c r="V344" i="14"/>
  <c r="X344" i="14"/>
  <c r="K344" i="14"/>
  <c r="W344" i="14"/>
  <c r="T344" i="14"/>
  <c r="O344" i="14"/>
  <c r="C344" i="14"/>
  <c r="G344" i="14"/>
  <c r="D344" i="14"/>
  <c r="R344" i="14"/>
  <c r="Y344" i="14"/>
  <c r="AI344" i="14"/>
  <c r="P344" i="14"/>
  <c r="AD344" i="14"/>
  <c r="N344" i="14"/>
  <c r="AJ344" i="14"/>
  <c r="H344" i="14"/>
  <c r="M344" i="14"/>
  <c r="AH344" i="14"/>
  <c r="J344" i="14"/>
  <c r="AF344" i="14"/>
  <c r="AG344" i="14"/>
  <c r="U344" i="14"/>
  <c r="I344" i="14"/>
  <c r="AC344" i="14"/>
  <c r="AA344" i="14"/>
  <c r="Q344" i="14"/>
  <c r="L344" i="14"/>
  <c r="AE344" i="14"/>
  <c r="E344" i="14"/>
  <c r="AB344" i="14"/>
  <c r="Z344" i="14"/>
  <c r="F344" i="14"/>
  <c r="S344" i="14"/>
  <c r="AJ346" i="6" l="1"/>
  <c r="Q346" i="6"/>
  <c r="X346" i="6"/>
  <c r="AO346" i="6"/>
  <c r="AK346" i="6"/>
  <c r="AL346" i="6"/>
  <c r="AM346" i="6"/>
  <c r="AN346" i="6"/>
  <c r="AC345" i="14"/>
  <c r="V345" i="14"/>
  <c r="Z345" i="14"/>
  <c r="N345" i="14"/>
  <c r="U345" i="14"/>
  <c r="F345" i="14"/>
  <c r="T345" i="14"/>
  <c r="R345" i="14"/>
  <c r="C345" i="14"/>
  <c r="Q345" i="14"/>
  <c r="S345" i="14"/>
  <c r="G345" i="14"/>
  <c r="AD345" i="14"/>
  <c r="L345" i="14"/>
  <c r="X345" i="14"/>
  <c r="M345" i="14"/>
  <c r="AJ345" i="14"/>
  <c r="P345" i="14"/>
  <c r="O345" i="14"/>
  <c r="AG345" i="14"/>
  <c r="Y345" i="14"/>
  <c r="AF345" i="14"/>
  <c r="H345" i="14"/>
  <c r="D345" i="14"/>
  <c r="K345" i="14"/>
  <c r="AA345" i="14"/>
  <c r="I345" i="14"/>
  <c r="AE345" i="14"/>
  <c r="E345" i="14"/>
  <c r="AH345" i="14"/>
  <c r="W345" i="14"/>
  <c r="AB345" i="14"/>
  <c r="J345" i="14"/>
  <c r="AI345" i="14"/>
  <c r="O344" i="41"/>
  <c r="AW345" i="6"/>
  <c r="BF345" i="6" s="1"/>
  <c r="BG345" i="6" s="1"/>
  <c r="BH345" i="6" s="1"/>
  <c r="F346" i="6"/>
  <c r="G345" i="41"/>
  <c r="A345" i="41"/>
  <c r="D345" i="41" s="1"/>
  <c r="C346" i="6"/>
  <c r="B345" i="41" s="1"/>
  <c r="H346" i="6"/>
  <c r="AU346" i="6" s="1"/>
  <c r="B346" i="6"/>
  <c r="G346" i="6"/>
  <c r="D346" i="6"/>
  <c r="A346" i="14"/>
  <c r="E346" i="6"/>
  <c r="C345" i="41" s="1"/>
  <c r="I346" i="6"/>
  <c r="N346" i="6"/>
  <c r="V346" i="6"/>
  <c r="J346" i="6"/>
  <c r="AV346" i="6" s="1"/>
  <c r="U346" i="6"/>
  <c r="R346" i="6"/>
  <c r="O346" i="6"/>
  <c r="N345" i="41" s="1"/>
  <c r="AX346" i="6"/>
  <c r="BA346" i="6" s="1"/>
  <c r="Y346" i="6"/>
  <c r="M346" i="6"/>
  <c r="M345" i="41" s="1"/>
  <c r="P345" i="41" s="1"/>
  <c r="Z346" i="6"/>
  <c r="AH346" i="6"/>
  <c r="AB346" i="6"/>
  <c r="AR346" i="6"/>
  <c r="AD346" i="6"/>
  <c r="AY346" i="6" s="1"/>
  <c r="BB346" i="6" s="1"/>
  <c r="AQ346" i="6"/>
  <c r="T346" i="6"/>
  <c r="L346" i="6"/>
  <c r="AA346" i="6"/>
  <c r="S346" i="6"/>
  <c r="AF346" i="6"/>
  <c r="K346" i="6"/>
  <c r="AE346" i="6"/>
  <c r="AG346" i="6"/>
  <c r="AZ346" i="6"/>
  <c r="BC346" i="6" s="1"/>
  <c r="A347" i="6"/>
  <c r="I344" i="41"/>
  <c r="H344" i="41"/>
  <c r="J344" i="41"/>
  <c r="X347" i="6" l="1"/>
  <c r="AX347" i="6" s="1"/>
  <c r="BA347" i="6" s="1"/>
  <c r="AJ347" i="6"/>
  <c r="Q347" i="6"/>
  <c r="AM347" i="6"/>
  <c r="AN347" i="6"/>
  <c r="AO347" i="6"/>
  <c r="AK347" i="6"/>
  <c r="AL347" i="6"/>
  <c r="I345" i="41"/>
  <c r="H345" i="41"/>
  <c r="J345" i="41"/>
  <c r="AF346" i="14"/>
  <c r="H346" i="14"/>
  <c r="G346" i="14"/>
  <c r="I346" i="14"/>
  <c r="J346" i="14"/>
  <c r="AJ346" i="14"/>
  <c r="U346" i="14"/>
  <c r="AG346" i="14"/>
  <c r="W346" i="14"/>
  <c r="AC346" i="14"/>
  <c r="AA346" i="14"/>
  <c r="L346" i="14"/>
  <c r="Q346" i="14"/>
  <c r="N346" i="14"/>
  <c r="F346" i="14"/>
  <c r="V346" i="14"/>
  <c r="AB346" i="14"/>
  <c r="E346" i="14"/>
  <c r="AD346" i="14"/>
  <c r="T346" i="14"/>
  <c r="K346" i="14"/>
  <c r="X346" i="14"/>
  <c r="M346" i="14"/>
  <c r="S346" i="14"/>
  <c r="AH346" i="14"/>
  <c r="O346" i="14"/>
  <c r="C346" i="14"/>
  <c r="Z346" i="14"/>
  <c r="D346" i="14"/>
  <c r="R346" i="14"/>
  <c r="AE346" i="14"/>
  <c r="Y346" i="14"/>
  <c r="AI346" i="14"/>
  <c r="P346" i="14"/>
  <c r="A347" i="14"/>
  <c r="E347" i="6"/>
  <c r="C346" i="41" s="1"/>
  <c r="G346" i="41"/>
  <c r="F347" i="6"/>
  <c r="A346" i="41"/>
  <c r="D346" i="41" s="1"/>
  <c r="G347" i="6"/>
  <c r="C347" i="6"/>
  <c r="B346" i="41" s="1"/>
  <c r="H347" i="6"/>
  <c r="AU347" i="6" s="1"/>
  <c r="B347" i="6"/>
  <c r="U347" i="6"/>
  <c r="N347" i="6"/>
  <c r="V347" i="6"/>
  <c r="D347" i="6"/>
  <c r="I347" i="6"/>
  <c r="J347" i="6"/>
  <c r="AV347" i="6" s="1"/>
  <c r="R347" i="6"/>
  <c r="T347" i="6"/>
  <c r="K347" i="6"/>
  <c r="AB347" i="6"/>
  <c r="O347" i="6"/>
  <c r="N346" i="41" s="1"/>
  <c r="AD347" i="6"/>
  <c r="AY347" i="6" s="1"/>
  <c r="BB347" i="6" s="1"/>
  <c r="AH347" i="6"/>
  <c r="M347" i="6"/>
  <c r="M346" i="41" s="1"/>
  <c r="P346" i="41" s="1"/>
  <c r="AZ347" i="6"/>
  <c r="BC347" i="6" s="1"/>
  <c r="AR347" i="6"/>
  <c r="Y347" i="6"/>
  <c r="AA347" i="6"/>
  <c r="AQ347" i="6"/>
  <c r="AE347" i="6"/>
  <c r="AG347" i="6"/>
  <c r="S347" i="6"/>
  <c r="Z347" i="6"/>
  <c r="L347" i="6"/>
  <c r="AF347" i="6"/>
  <c r="A348" i="6"/>
  <c r="AW346" i="6"/>
  <c r="BF346" i="6" s="1"/>
  <c r="BG346" i="6" s="1"/>
  <c r="BH346" i="6" s="1"/>
  <c r="O345" i="41"/>
  <c r="X348" i="6" l="1"/>
  <c r="AX348" i="6" s="1"/>
  <c r="BA348" i="6" s="1"/>
  <c r="AJ348" i="6"/>
  <c r="Q348" i="6"/>
  <c r="AM348" i="6"/>
  <c r="AK348" i="6"/>
  <c r="AL348" i="6"/>
  <c r="AN348" i="6"/>
  <c r="AO348" i="6"/>
  <c r="C348" i="6"/>
  <c r="B347" i="41" s="1"/>
  <c r="H348" i="6"/>
  <c r="AU348" i="6" s="1"/>
  <c r="B348" i="6"/>
  <c r="G348" i="6"/>
  <c r="D348" i="6"/>
  <c r="A348" i="14"/>
  <c r="E348" i="6"/>
  <c r="C347" i="41" s="1"/>
  <c r="F348" i="6"/>
  <c r="G347" i="41"/>
  <c r="A347" i="41"/>
  <c r="D347" i="41" s="1"/>
  <c r="V348" i="6"/>
  <c r="U348" i="6"/>
  <c r="J348" i="6"/>
  <c r="AV348" i="6" s="1"/>
  <c r="I348" i="6"/>
  <c r="N348" i="6"/>
  <c r="L348" i="6"/>
  <c r="Y348" i="6"/>
  <c r="AZ348" i="6"/>
  <c r="BC348" i="6" s="1"/>
  <c r="S348" i="6"/>
  <c r="T348" i="6"/>
  <c r="K348" i="6"/>
  <c r="R348" i="6"/>
  <c r="O348" i="6"/>
  <c r="N347" i="41" s="1"/>
  <c r="M348" i="6"/>
  <c r="M347" i="41" s="1"/>
  <c r="P347" i="41" s="1"/>
  <c r="AR348" i="6"/>
  <c r="AA348" i="6"/>
  <c r="AQ348" i="6"/>
  <c r="AB348" i="6"/>
  <c r="AD348" i="6"/>
  <c r="AY348" i="6" s="1"/>
  <c r="BB348" i="6" s="1"/>
  <c r="AE348" i="6"/>
  <c r="AF348" i="6"/>
  <c r="AH348" i="6"/>
  <c r="AG348" i="6"/>
  <c r="Z348" i="6"/>
  <c r="A349" i="6"/>
  <c r="AJ347" i="14"/>
  <c r="P347" i="14"/>
  <c r="AB347" i="14"/>
  <c r="O347" i="14"/>
  <c r="Y347" i="14"/>
  <c r="AI347" i="14"/>
  <c r="H347" i="14"/>
  <c r="K347" i="14"/>
  <c r="AG347" i="14"/>
  <c r="AF347" i="14"/>
  <c r="AE347" i="14"/>
  <c r="I347" i="14"/>
  <c r="L347" i="14"/>
  <c r="J347" i="14"/>
  <c r="AA347" i="14"/>
  <c r="W347" i="14"/>
  <c r="AH347" i="14"/>
  <c r="E347" i="14"/>
  <c r="AC347" i="14"/>
  <c r="V347" i="14"/>
  <c r="N347" i="14"/>
  <c r="Z347" i="14"/>
  <c r="D347" i="14"/>
  <c r="F347" i="14"/>
  <c r="T347" i="14"/>
  <c r="C347" i="14"/>
  <c r="R347" i="14"/>
  <c r="U347" i="14"/>
  <c r="S347" i="14"/>
  <c r="AD347" i="14"/>
  <c r="G347" i="14"/>
  <c r="Q347" i="14"/>
  <c r="M347" i="14"/>
  <c r="X347" i="14"/>
  <c r="O346" i="41"/>
  <c r="AW347" i="6"/>
  <c r="BF347" i="6" s="1"/>
  <c r="BG347" i="6" s="1"/>
  <c r="BH347" i="6" s="1"/>
  <c r="I346" i="41"/>
  <c r="H346" i="41"/>
  <c r="J346" i="41"/>
  <c r="X349" i="6" l="1"/>
  <c r="AX349" i="6" s="1"/>
  <c r="BA349" i="6" s="1"/>
  <c r="AJ349" i="6"/>
  <c r="Q349" i="6"/>
  <c r="AK349" i="6"/>
  <c r="AL349" i="6"/>
  <c r="AM349" i="6"/>
  <c r="AO349" i="6"/>
  <c r="AN349" i="6"/>
  <c r="T348" i="14"/>
  <c r="X348" i="14"/>
  <c r="K348" i="14"/>
  <c r="G348" i="14"/>
  <c r="S348" i="14"/>
  <c r="O348" i="14"/>
  <c r="N348" i="14"/>
  <c r="AH348" i="14"/>
  <c r="D348" i="14"/>
  <c r="C348" i="14"/>
  <c r="Y348" i="14"/>
  <c r="AI348" i="14"/>
  <c r="P348" i="14"/>
  <c r="AD348" i="14"/>
  <c r="Z348" i="14"/>
  <c r="AF348" i="14"/>
  <c r="H348" i="14"/>
  <c r="M348" i="14"/>
  <c r="W348" i="14"/>
  <c r="J348" i="14"/>
  <c r="AJ348" i="14"/>
  <c r="AG348" i="14"/>
  <c r="U348" i="14"/>
  <c r="AE348" i="14"/>
  <c r="AC348" i="14"/>
  <c r="AA348" i="14"/>
  <c r="Q348" i="14"/>
  <c r="L348" i="14"/>
  <c r="R348" i="14"/>
  <c r="F348" i="14"/>
  <c r="V348" i="14"/>
  <c r="E348" i="14"/>
  <c r="AB348" i="14"/>
  <c r="I348" i="14"/>
  <c r="O347" i="41"/>
  <c r="AW348" i="6"/>
  <c r="BF348" i="6" s="1"/>
  <c r="BG348" i="6" s="1"/>
  <c r="BH348" i="6" s="1"/>
  <c r="J349" i="6"/>
  <c r="AV349" i="6" s="1"/>
  <c r="I349" i="6"/>
  <c r="C349" i="6"/>
  <c r="B348" i="41" s="1"/>
  <c r="H349" i="6"/>
  <c r="AU349" i="6" s="1"/>
  <c r="B349" i="6"/>
  <c r="G349" i="6"/>
  <c r="D349" i="6"/>
  <c r="A349" i="14"/>
  <c r="E349" i="6"/>
  <c r="C348" i="41" s="1"/>
  <c r="G348" i="41"/>
  <c r="F349" i="6"/>
  <c r="U349" i="6"/>
  <c r="A348" i="41"/>
  <c r="D348" i="41" s="1"/>
  <c r="N349" i="6"/>
  <c r="V349" i="6"/>
  <c r="AD349" i="6"/>
  <c r="AY349" i="6" s="1"/>
  <c r="BB349" i="6" s="1"/>
  <c r="AQ349" i="6"/>
  <c r="M349" i="6"/>
  <c r="M348" i="41" s="1"/>
  <c r="P348" i="41" s="1"/>
  <c r="S349" i="6"/>
  <c r="L349" i="6"/>
  <c r="Y349" i="6"/>
  <c r="R349" i="6"/>
  <c r="K349" i="6"/>
  <c r="AH349" i="6"/>
  <c r="O349" i="6"/>
  <c r="N348" i="41" s="1"/>
  <c r="Z349" i="6"/>
  <c r="AZ349" i="6"/>
  <c r="BC349" i="6" s="1"/>
  <c r="AA349" i="6"/>
  <c r="T349" i="6"/>
  <c r="AG349" i="6"/>
  <c r="AB349" i="6"/>
  <c r="AF349" i="6"/>
  <c r="AR349" i="6"/>
  <c r="AE349" i="6"/>
  <c r="A350" i="6"/>
  <c r="H347" i="41"/>
  <c r="I347" i="41"/>
  <c r="J347" i="41"/>
  <c r="X350" i="6" l="1"/>
  <c r="AX350" i="6" s="1"/>
  <c r="BA350" i="6" s="1"/>
  <c r="AJ350" i="6"/>
  <c r="Q350" i="6"/>
  <c r="AK350" i="6"/>
  <c r="AN350" i="6"/>
  <c r="AL350" i="6"/>
  <c r="AM350" i="6"/>
  <c r="AO350" i="6"/>
  <c r="G349" i="41"/>
  <c r="E350" i="6"/>
  <c r="C349" i="41" s="1"/>
  <c r="A349" i="41"/>
  <c r="D349" i="41" s="1"/>
  <c r="F350" i="6"/>
  <c r="C350" i="6"/>
  <c r="B349" i="41" s="1"/>
  <c r="H350" i="6"/>
  <c r="AU350" i="6" s="1"/>
  <c r="G350" i="6"/>
  <c r="D350" i="6"/>
  <c r="V350" i="6"/>
  <c r="U350" i="6"/>
  <c r="N350" i="6"/>
  <c r="B350" i="6"/>
  <c r="J350" i="6"/>
  <c r="AV350" i="6" s="1"/>
  <c r="I350" i="6"/>
  <c r="A350" i="14"/>
  <c r="R350" i="6"/>
  <c r="Y350" i="6"/>
  <c r="AZ350" i="6"/>
  <c r="BC350" i="6" s="1"/>
  <c r="AA350" i="6"/>
  <c r="AH350" i="6"/>
  <c r="L350" i="6"/>
  <c r="K350" i="6"/>
  <c r="M350" i="6"/>
  <c r="M349" i="41" s="1"/>
  <c r="P349" i="41" s="1"/>
  <c r="AQ350" i="6"/>
  <c r="O350" i="6"/>
  <c r="N349" i="41" s="1"/>
  <c r="AR350" i="6"/>
  <c r="T350" i="6"/>
  <c r="AB350" i="6"/>
  <c r="S350" i="6"/>
  <c r="AF350" i="6"/>
  <c r="Z350" i="6"/>
  <c r="AE350" i="6"/>
  <c r="AG350" i="6"/>
  <c r="AD350" i="6"/>
  <c r="AY350" i="6" s="1"/>
  <c r="BB350" i="6" s="1"/>
  <c r="A351" i="6"/>
  <c r="I348" i="41"/>
  <c r="H348" i="41"/>
  <c r="J348" i="41"/>
  <c r="AC349" i="14"/>
  <c r="AA349" i="14"/>
  <c r="AE349" i="14"/>
  <c r="Z349" i="14"/>
  <c r="Q349" i="14"/>
  <c r="F349" i="14"/>
  <c r="V349" i="14"/>
  <c r="W349" i="14"/>
  <c r="R349" i="14"/>
  <c r="AG349" i="14"/>
  <c r="T349" i="14"/>
  <c r="N349" i="14"/>
  <c r="K349" i="14"/>
  <c r="O349" i="14"/>
  <c r="S349" i="14"/>
  <c r="AD349" i="14"/>
  <c r="G349" i="14"/>
  <c r="L349" i="14"/>
  <c r="M349" i="14"/>
  <c r="X349" i="14"/>
  <c r="E349" i="14"/>
  <c r="Y349" i="14"/>
  <c r="AJ349" i="14"/>
  <c r="AB349" i="14"/>
  <c r="D349" i="14"/>
  <c r="AF349" i="14"/>
  <c r="P349" i="14"/>
  <c r="I349" i="14"/>
  <c r="U349" i="14"/>
  <c r="J349" i="14"/>
  <c r="AI349" i="14"/>
  <c r="H349" i="14"/>
  <c r="AH349" i="14"/>
  <c r="C349" i="14"/>
  <c r="AW349" i="6"/>
  <c r="BF349" i="6" s="1"/>
  <c r="BG349" i="6" s="1"/>
  <c r="BH349" i="6" s="1"/>
  <c r="O348" i="41"/>
  <c r="Q351" i="6" l="1"/>
  <c r="X351" i="6"/>
  <c r="AJ351" i="6"/>
  <c r="AN351" i="6"/>
  <c r="AK351" i="6"/>
  <c r="AM351" i="6"/>
  <c r="AL351" i="6"/>
  <c r="AO351" i="6"/>
  <c r="O349" i="41"/>
  <c r="AW350" i="6"/>
  <c r="BF350" i="6" s="1"/>
  <c r="BG350" i="6" s="1"/>
  <c r="BH350" i="6" s="1"/>
  <c r="Y350" i="14"/>
  <c r="P350" i="14"/>
  <c r="AD350" i="14"/>
  <c r="AH350" i="14"/>
  <c r="AI350" i="14"/>
  <c r="H350" i="14"/>
  <c r="M350" i="14"/>
  <c r="I350" i="14"/>
  <c r="J350" i="14"/>
  <c r="AF350" i="14"/>
  <c r="AG350" i="14"/>
  <c r="U350" i="14"/>
  <c r="AE350" i="14"/>
  <c r="AC350" i="14"/>
  <c r="AJ350" i="14"/>
  <c r="Q350" i="14"/>
  <c r="L350" i="14"/>
  <c r="G350" i="14"/>
  <c r="F350" i="14"/>
  <c r="AA350" i="14"/>
  <c r="E350" i="14"/>
  <c r="AB350" i="14"/>
  <c r="Z350" i="14"/>
  <c r="T350" i="14"/>
  <c r="X350" i="14"/>
  <c r="K350" i="14"/>
  <c r="C350" i="14"/>
  <c r="S350" i="14"/>
  <c r="O350" i="14"/>
  <c r="W350" i="14"/>
  <c r="R350" i="14"/>
  <c r="V350" i="14"/>
  <c r="D350" i="14"/>
  <c r="N350" i="14"/>
  <c r="C351" i="6"/>
  <c r="B350" i="41" s="1"/>
  <c r="H351" i="6"/>
  <c r="AU351" i="6" s="1"/>
  <c r="D351" i="6"/>
  <c r="B351" i="6"/>
  <c r="A351" i="14"/>
  <c r="E351" i="6"/>
  <c r="C350" i="41" s="1"/>
  <c r="G350" i="41"/>
  <c r="F351" i="6"/>
  <c r="A350" i="41"/>
  <c r="D350" i="41" s="1"/>
  <c r="G351" i="6"/>
  <c r="I351" i="6"/>
  <c r="N351" i="6"/>
  <c r="V351" i="6"/>
  <c r="U351" i="6"/>
  <c r="J351" i="6"/>
  <c r="AV351" i="6" s="1"/>
  <c r="R351" i="6"/>
  <c r="T351" i="6"/>
  <c r="AA351" i="6"/>
  <c r="AB351" i="6"/>
  <c r="AR351" i="6"/>
  <c r="Z351" i="6"/>
  <c r="AD351" i="6"/>
  <c r="AY351" i="6" s="1"/>
  <c r="BB351" i="6" s="1"/>
  <c r="AQ351" i="6"/>
  <c r="M351" i="6"/>
  <c r="M350" i="41" s="1"/>
  <c r="P350" i="41" s="1"/>
  <c r="L351" i="6"/>
  <c r="Y351" i="6"/>
  <c r="AX351" i="6"/>
  <c r="BA351" i="6" s="1"/>
  <c r="AH351" i="6"/>
  <c r="K351" i="6"/>
  <c r="O351" i="6"/>
  <c r="N350" i="41" s="1"/>
  <c r="AZ351" i="6"/>
  <c r="BC351" i="6" s="1"/>
  <c r="S351" i="6"/>
  <c r="AF351" i="6"/>
  <c r="AE351" i="6"/>
  <c r="AG351" i="6"/>
  <c r="A352" i="6"/>
  <c r="H349" i="41"/>
  <c r="I349" i="41"/>
  <c r="J349" i="41"/>
  <c r="AJ352" i="6" l="1"/>
  <c r="AZ352" i="6" s="1"/>
  <c r="BC352" i="6" s="1"/>
  <c r="Q352" i="6"/>
  <c r="X352" i="6"/>
  <c r="AL352" i="6"/>
  <c r="AN352" i="6"/>
  <c r="AK352" i="6"/>
  <c r="AM352" i="6"/>
  <c r="AO352" i="6"/>
  <c r="H350" i="41"/>
  <c r="I350" i="41"/>
  <c r="J350" i="41"/>
  <c r="A351" i="41"/>
  <c r="D351" i="41" s="1"/>
  <c r="C352" i="6"/>
  <c r="B351" i="41" s="1"/>
  <c r="H352" i="6"/>
  <c r="AU352" i="6" s="1"/>
  <c r="B352" i="6"/>
  <c r="G352" i="6"/>
  <c r="D352" i="6"/>
  <c r="A352" i="14"/>
  <c r="E352" i="6"/>
  <c r="C351" i="41" s="1"/>
  <c r="I352" i="6"/>
  <c r="F352" i="6"/>
  <c r="J352" i="6"/>
  <c r="AV352" i="6" s="1"/>
  <c r="U352" i="6"/>
  <c r="N352" i="6"/>
  <c r="G351" i="41"/>
  <c r="S352" i="6"/>
  <c r="AX352" i="6"/>
  <c r="BA352" i="6" s="1"/>
  <c r="AD352" i="6"/>
  <c r="AY352" i="6" s="1"/>
  <c r="BB352" i="6" s="1"/>
  <c r="AR352" i="6"/>
  <c r="V352" i="6"/>
  <c r="R352" i="6"/>
  <c r="T352" i="6"/>
  <c r="L352" i="6"/>
  <c r="Z352" i="6"/>
  <c r="K352" i="6"/>
  <c r="Y352" i="6"/>
  <c r="O352" i="6"/>
  <c r="N351" i="41" s="1"/>
  <c r="M352" i="6"/>
  <c r="M351" i="41" s="1"/>
  <c r="P351" i="41" s="1"/>
  <c r="AA352" i="6"/>
  <c r="AB352" i="6"/>
  <c r="AE352" i="6"/>
  <c r="AG352" i="6"/>
  <c r="AQ352" i="6"/>
  <c r="AH352" i="6"/>
  <c r="AF352" i="6"/>
  <c r="A353" i="6"/>
  <c r="O350" i="41"/>
  <c r="AW351" i="6"/>
  <c r="BF351" i="6" s="1"/>
  <c r="BG351" i="6" s="1"/>
  <c r="BH351" i="6" s="1"/>
  <c r="V351" i="14"/>
  <c r="G351" i="14"/>
  <c r="AD351" i="14"/>
  <c r="E351" i="14"/>
  <c r="S351" i="14"/>
  <c r="X351" i="14"/>
  <c r="M351" i="14"/>
  <c r="P351" i="14"/>
  <c r="O351" i="14"/>
  <c r="L351" i="14"/>
  <c r="Y351" i="14"/>
  <c r="AJ351" i="14"/>
  <c r="H351" i="14"/>
  <c r="D351" i="14"/>
  <c r="AG351" i="14"/>
  <c r="AI351" i="14"/>
  <c r="I351" i="14"/>
  <c r="AE351" i="14"/>
  <c r="K351" i="14"/>
  <c r="J351" i="14"/>
  <c r="AF351" i="14"/>
  <c r="AH351" i="14"/>
  <c r="W351" i="14"/>
  <c r="AB351" i="14"/>
  <c r="AC351" i="14"/>
  <c r="AA351" i="14"/>
  <c r="Z351" i="14"/>
  <c r="N351" i="14"/>
  <c r="U351" i="14"/>
  <c r="T351" i="14"/>
  <c r="R351" i="14"/>
  <c r="C351" i="14"/>
  <c r="Q351" i="14"/>
  <c r="F351" i="14"/>
  <c r="AJ353" i="6" l="1"/>
  <c r="Q353" i="6"/>
  <c r="X353" i="6"/>
  <c r="AL353" i="6"/>
  <c r="AO353" i="6"/>
  <c r="AK353" i="6"/>
  <c r="AM353" i="6"/>
  <c r="AN353" i="6"/>
  <c r="AW352" i="6"/>
  <c r="BF352" i="6" s="1"/>
  <c r="BG352" i="6" s="1"/>
  <c r="BH352" i="6" s="1"/>
  <c r="O351" i="41"/>
  <c r="G352" i="41"/>
  <c r="D353" i="6"/>
  <c r="A352" i="41"/>
  <c r="D352" i="41" s="1"/>
  <c r="E353" i="6"/>
  <c r="C352" i="41" s="1"/>
  <c r="C353" i="6"/>
  <c r="B352" i="41" s="1"/>
  <c r="H353" i="6"/>
  <c r="AU353" i="6" s="1"/>
  <c r="B353" i="6"/>
  <c r="F353" i="6"/>
  <c r="G353" i="6"/>
  <c r="V353" i="6"/>
  <c r="J353" i="6"/>
  <c r="AV353" i="6" s="1"/>
  <c r="U353" i="6"/>
  <c r="I353" i="6"/>
  <c r="N353" i="6"/>
  <c r="A353" i="14"/>
  <c r="L353" i="6"/>
  <c r="S353" i="6"/>
  <c r="K353" i="6"/>
  <c r="AR353" i="6"/>
  <c r="R353" i="6"/>
  <c r="O353" i="6"/>
  <c r="N352" i="41" s="1"/>
  <c r="AQ353" i="6"/>
  <c r="T353" i="6"/>
  <c r="Y353" i="6"/>
  <c r="AA353" i="6"/>
  <c r="AB353" i="6"/>
  <c r="AX353" i="6"/>
  <c r="BA353" i="6" s="1"/>
  <c r="AD353" i="6"/>
  <c r="AY353" i="6" s="1"/>
  <c r="BB353" i="6" s="1"/>
  <c r="AH353" i="6"/>
  <c r="Z353" i="6"/>
  <c r="M353" i="6"/>
  <c r="M352" i="41" s="1"/>
  <c r="P352" i="41" s="1"/>
  <c r="AE353" i="6"/>
  <c r="AF353" i="6"/>
  <c r="AZ353" i="6"/>
  <c r="BC353" i="6" s="1"/>
  <c r="AG353" i="6"/>
  <c r="A354" i="6"/>
  <c r="H351" i="41"/>
  <c r="I351" i="41"/>
  <c r="J351" i="41"/>
  <c r="AC352" i="14"/>
  <c r="AJ352" i="14"/>
  <c r="U352" i="14"/>
  <c r="AG352" i="14"/>
  <c r="M352" i="14"/>
  <c r="F352" i="14"/>
  <c r="AF352" i="14"/>
  <c r="L352" i="14"/>
  <c r="Q352" i="14"/>
  <c r="AE352" i="14"/>
  <c r="AA352" i="14"/>
  <c r="AB352" i="14"/>
  <c r="E352" i="14"/>
  <c r="AD352" i="14"/>
  <c r="S352" i="14"/>
  <c r="K352" i="14"/>
  <c r="X352" i="14"/>
  <c r="I352" i="14"/>
  <c r="T352" i="14"/>
  <c r="AH352" i="14"/>
  <c r="O352" i="14"/>
  <c r="C352" i="14"/>
  <c r="Y352" i="14"/>
  <c r="V352" i="14"/>
  <c r="Z352" i="14"/>
  <c r="D352" i="14"/>
  <c r="P352" i="14"/>
  <c r="R352" i="14"/>
  <c r="W352" i="14"/>
  <c r="AI352" i="14"/>
  <c r="H352" i="14"/>
  <c r="G352" i="14"/>
  <c r="N352" i="14"/>
  <c r="J352" i="14"/>
  <c r="AJ354" i="6" l="1"/>
  <c r="Q354" i="6"/>
  <c r="X354" i="6"/>
  <c r="AO354" i="6"/>
  <c r="AL354" i="6"/>
  <c r="AN354" i="6"/>
  <c r="AK354" i="6"/>
  <c r="AM354" i="6"/>
  <c r="D354" i="6"/>
  <c r="B354" i="6"/>
  <c r="A354" i="14"/>
  <c r="E354" i="6"/>
  <c r="C353" i="41" s="1"/>
  <c r="G353" i="41"/>
  <c r="F354" i="6"/>
  <c r="A353" i="41"/>
  <c r="D353" i="41" s="1"/>
  <c r="G354" i="6"/>
  <c r="C354" i="6"/>
  <c r="B353" i="41" s="1"/>
  <c r="I354" i="6"/>
  <c r="H354" i="6"/>
  <c r="AU354" i="6" s="1"/>
  <c r="J354" i="6"/>
  <c r="AV354" i="6" s="1"/>
  <c r="U354" i="6"/>
  <c r="V354" i="6"/>
  <c r="N354" i="6"/>
  <c r="M354" i="6"/>
  <c r="M353" i="41" s="1"/>
  <c r="P353" i="41" s="1"/>
  <c r="AQ354" i="6"/>
  <c r="L354" i="6"/>
  <c r="AX354" i="6"/>
  <c r="BA354" i="6" s="1"/>
  <c r="AR354" i="6"/>
  <c r="K354" i="6"/>
  <c r="O354" i="6"/>
  <c r="N353" i="41" s="1"/>
  <c r="AZ354" i="6"/>
  <c r="BC354" i="6" s="1"/>
  <c r="AH354" i="6"/>
  <c r="AB354" i="6"/>
  <c r="S354" i="6"/>
  <c r="T354" i="6"/>
  <c r="Z354" i="6"/>
  <c r="AD354" i="6"/>
  <c r="AY354" i="6" s="1"/>
  <c r="BB354" i="6" s="1"/>
  <c r="R354" i="6"/>
  <c r="Y354" i="6"/>
  <c r="AG354" i="6"/>
  <c r="AA354" i="6"/>
  <c r="AF354" i="6"/>
  <c r="AE354" i="6"/>
  <c r="A355" i="6"/>
  <c r="O352" i="41"/>
  <c r="AW353" i="6"/>
  <c r="BF353" i="6" s="1"/>
  <c r="BG353" i="6" s="1"/>
  <c r="BH353" i="6" s="1"/>
  <c r="I352" i="41"/>
  <c r="H352" i="41"/>
  <c r="J352" i="41"/>
  <c r="Y353" i="14"/>
  <c r="AJ353" i="14"/>
  <c r="P353" i="14"/>
  <c r="AB353" i="14"/>
  <c r="O353" i="14"/>
  <c r="AF353" i="14"/>
  <c r="H353" i="14"/>
  <c r="K353" i="14"/>
  <c r="E353" i="14"/>
  <c r="J353" i="14"/>
  <c r="AI353" i="14"/>
  <c r="AE353" i="14"/>
  <c r="I353" i="14"/>
  <c r="D353" i="14"/>
  <c r="AC353" i="14"/>
  <c r="AA353" i="14"/>
  <c r="W353" i="14"/>
  <c r="AH353" i="14"/>
  <c r="X353" i="14"/>
  <c r="F353" i="14"/>
  <c r="V353" i="14"/>
  <c r="N353" i="14"/>
  <c r="Z353" i="14"/>
  <c r="U353" i="14"/>
  <c r="T353" i="14"/>
  <c r="C353" i="14"/>
  <c r="R353" i="14"/>
  <c r="L353" i="14"/>
  <c r="S353" i="14"/>
  <c r="AD353" i="14"/>
  <c r="G353" i="14"/>
  <c r="AG353" i="14"/>
  <c r="M353" i="14"/>
  <c r="Q353" i="14"/>
  <c r="X355" i="6" l="1"/>
  <c r="AJ355" i="6"/>
  <c r="Q355" i="6"/>
  <c r="AO355" i="6"/>
  <c r="AL355" i="6"/>
  <c r="AN355" i="6"/>
  <c r="AM355" i="6"/>
  <c r="AK355" i="6"/>
  <c r="O353" i="41"/>
  <c r="AW354" i="6"/>
  <c r="BF354" i="6" s="1"/>
  <c r="BG354" i="6" s="1"/>
  <c r="BH354" i="6" s="1"/>
  <c r="H353" i="41"/>
  <c r="I353" i="41"/>
  <c r="J353" i="41"/>
  <c r="D354" i="14"/>
  <c r="AE354" i="14"/>
  <c r="AI354" i="14"/>
  <c r="P354" i="14"/>
  <c r="AD354" i="14"/>
  <c r="G354" i="14"/>
  <c r="Y354" i="14"/>
  <c r="AJ354" i="14"/>
  <c r="H354" i="14"/>
  <c r="M354" i="14"/>
  <c r="C354" i="14"/>
  <c r="AF354" i="14"/>
  <c r="AG354" i="14"/>
  <c r="U354" i="14"/>
  <c r="Z354" i="14"/>
  <c r="J354" i="14"/>
  <c r="AA354" i="14"/>
  <c r="Q354" i="14"/>
  <c r="L354" i="14"/>
  <c r="W354" i="14"/>
  <c r="AC354" i="14"/>
  <c r="V354" i="14"/>
  <c r="E354" i="14"/>
  <c r="AB354" i="14"/>
  <c r="R354" i="14"/>
  <c r="F354" i="14"/>
  <c r="T354" i="14"/>
  <c r="X354" i="14"/>
  <c r="K354" i="14"/>
  <c r="N354" i="14"/>
  <c r="O354" i="14"/>
  <c r="AH354" i="14"/>
  <c r="I354" i="14"/>
  <c r="S354" i="14"/>
  <c r="C355" i="6"/>
  <c r="B354" i="41" s="1"/>
  <c r="D355" i="6"/>
  <c r="B355" i="6"/>
  <c r="A355" i="14"/>
  <c r="E355" i="6"/>
  <c r="C354" i="41" s="1"/>
  <c r="F355" i="6"/>
  <c r="G354" i="41"/>
  <c r="H355" i="6"/>
  <c r="AU355" i="6" s="1"/>
  <c r="G355" i="6"/>
  <c r="V355" i="6"/>
  <c r="U355" i="6"/>
  <c r="J355" i="6"/>
  <c r="AV355" i="6" s="1"/>
  <c r="I355" i="6"/>
  <c r="A354" i="41"/>
  <c r="D354" i="41" s="1"/>
  <c r="N355" i="6"/>
  <c r="T355" i="6"/>
  <c r="Z355" i="6"/>
  <c r="AX355" i="6"/>
  <c r="BA355" i="6" s="1"/>
  <c r="AQ355" i="6"/>
  <c r="AR355" i="6"/>
  <c r="M355" i="6"/>
  <c r="M354" i="41" s="1"/>
  <c r="P354" i="41" s="1"/>
  <c r="AB355" i="6"/>
  <c r="L355" i="6"/>
  <c r="AD355" i="6"/>
  <c r="AY355" i="6" s="1"/>
  <c r="BB355" i="6" s="1"/>
  <c r="K355" i="6"/>
  <c r="AH355" i="6"/>
  <c r="S355" i="6"/>
  <c r="O355" i="6"/>
  <c r="N354" i="41" s="1"/>
  <c r="Y355" i="6"/>
  <c r="AZ355" i="6"/>
  <c r="BC355" i="6" s="1"/>
  <c r="R355" i="6"/>
  <c r="AF355" i="6"/>
  <c r="AG355" i="6"/>
  <c r="AE355" i="6"/>
  <c r="AA355" i="6"/>
  <c r="A356" i="6"/>
  <c r="X356" i="6" l="1"/>
  <c r="AJ356" i="6"/>
  <c r="Q356" i="6"/>
  <c r="AK356" i="6"/>
  <c r="AL356" i="6"/>
  <c r="AM356" i="6"/>
  <c r="AO356" i="6"/>
  <c r="AN356" i="6"/>
  <c r="AW355" i="6"/>
  <c r="BF355" i="6" s="1"/>
  <c r="BG355" i="6" s="1"/>
  <c r="BH355" i="6" s="1"/>
  <c r="O354" i="41"/>
  <c r="H354" i="41"/>
  <c r="I354" i="41"/>
  <c r="J354" i="41"/>
  <c r="AC355" i="14"/>
  <c r="V355" i="14"/>
  <c r="R355" i="14"/>
  <c r="C355" i="14"/>
  <c r="E355" i="14"/>
  <c r="F355" i="14"/>
  <c r="T355" i="14"/>
  <c r="G355" i="14"/>
  <c r="AD355" i="14"/>
  <c r="AB355" i="14"/>
  <c r="S355" i="14"/>
  <c r="X355" i="14"/>
  <c r="M355" i="14"/>
  <c r="P355" i="14"/>
  <c r="O355" i="14"/>
  <c r="U355" i="14"/>
  <c r="Y355" i="14"/>
  <c r="AJ355" i="14"/>
  <c r="H355" i="14"/>
  <c r="D355" i="14"/>
  <c r="Q355" i="14"/>
  <c r="AI355" i="14"/>
  <c r="I355" i="14"/>
  <c r="AE355" i="14"/>
  <c r="L355" i="14"/>
  <c r="AF355" i="14"/>
  <c r="AH355" i="14"/>
  <c r="W355" i="14"/>
  <c r="AG355" i="14"/>
  <c r="N355" i="14"/>
  <c r="K355" i="14"/>
  <c r="J355" i="14"/>
  <c r="AA355" i="14"/>
  <c r="Z355" i="14"/>
  <c r="G355" i="41"/>
  <c r="A355" i="41"/>
  <c r="D355" i="41" s="1"/>
  <c r="C356" i="6"/>
  <c r="B355" i="41" s="1"/>
  <c r="H356" i="6"/>
  <c r="AU356" i="6" s="1"/>
  <c r="B356" i="6"/>
  <c r="F356" i="6"/>
  <c r="G356" i="6"/>
  <c r="A356" i="14"/>
  <c r="D356" i="6"/>
  <c r="E356" i="6"/>
  <c r="C355" i="41" s="1"/>
  <c r="I356" i="6"/>
  <c r="V356" i="6"/>
  <c r="J356" i="6"/>
  <c r="AV356" i="6" s="1"/>
  <c r="N356" i="6"/>
  <c r="U356" i="6"/>
  <c r="Z356" i="6"/>
  <c r="AD356" i="6"/>
  <c r="AY356" i="6" s="1"/>
  <c r="BB356" i="6" s="1"/>
  <c r="S356" i="6"/>
  <c r="AA356" i="6"/>
  <c r="AR356" i="6"/>
  <c r="R356" i="6"/>
  <c r="M356" i="6"/>
  <c r="M355" i="41" s="1"/>
  <c r="P355" i="41" s="1"/>
  <c r="AH356" i="6"/>
  <c r="AQ356" i="6"/>
  <c r="L356" i="6"/>
  <c r="AZ356" i="6"/>
  <c r="BC356" i="6" s="1"/>
  <c r="T356" i="6"/>
  <c r="K356" i="6"/>
  <c r="Y356" i="6"/>
  <c r="AX356" i="6"/>
  <c r="BA356" i="6" s="1"/>
  <c r="O356" i="6"/>
  <c r="N355" i="41" s="1"/>
  <c r="AB356" i="6"/>
  <c r="AF356" i="6"/>
  <c r="AE356" i="6"/>
  <c r="AG356" i="6"/>
  <c r="A357" i="6"/>
  <c r="X357" i="6" l="1"/>
  <c r="AJ357" i="6"/>
  <c r="Q357" i="6"/>
  <c r="AK357" i="6"/>
  <c r="AM357" i="6"/>
  <c r="AN357" i="6"/>
  <c r="AL357" i="6"/>
  <c r="AO357" i="6"/>
  <c r="I355" i="41"/>
  <c r="H355" i="41"/>
  <c r="J355" i="41"/>
  <c r="J356" i="14"/>
  <c r="AF356" i="14"/>
  <c r="H356" i="14"/>
  <c r="G356" i="14"/>
  <c r="M356" i="14"/>
  <c r="AC356" i="14"/>
  <c r="AA356" i="14"/>
  <c r="U356" i="14"/>
  <c r="AG356" i="14"/>
  <c r="AE356" i="14"/>
  <c r="F356" i="14"/>
  <c r="AJ356" i="14"/>
  <c r="L356" i="14"/>
  <c r="Q356" i="14"/>
  <c r="I356" i="14"/>
  <c r="V356" i="14"/>
  <c r="AB356" i="14"/>
  <c r="E356" i="14"/>
  <c r="AD356" i="14"/>
  <c r="T356" i="14"/>
  <c r="K356" i="14"/>
  <c r="X356" i="14"/>
  <c r="C356" i="14"/>
  <c r="S356" i="14"/>
  <c r="AH356" i="14"/>
  <c r="O356" i="14"/>
  <c r="W356" i="14"/>
  <c r="Y356" i="14"/>
  <c r="Z356" i="14"/>
  <c r="D356" i="14"/>
  <c r="R356" i="14"/>
  <c r="N356" i="14"/>
  <c r="AI356" i="14"/>
  <c r="P356" i="14"/>
  <c r="A357" i="14"/>
  <c r="E357" i="6"/>
  <c r="C356" i="41" s="1"/>
  <c r="G356" i="41"/>
  <c r="J357" i="6"/>
  <c r="AV357" i="6" s="1"/>
  <c r="A356" i="41"/>
  <c r="D356" i="41" s="1"/>
  <c r="I357" i="6"/>
  <c r="G357" i="6"/>
  <c r="C357" i="6"/>
  <c r="B356" i="41" s="1"/>
  <c r="F357" i="6"/>
  <c r="D357" i="6"/>
  <c r="H357" i="6"/>
  <c r="AU357" i="6" s="1"/>
  <c r="N357" i="6"/>
  <c r="B357" i="6"/>
  <c r="U357" i="6"/>
  <c r="V357" i="6"/>
  <c r="R357" i="6"/>
  <c r="O357" i="6"/>
  <c r="N356" i="41" s="1"/>
  <c r="AZ357" i="6"/>
  <c r="BC357" i="6" s="1"/>
  <c r="AQ357" i="6"/>
  <c r="T357" i="6"/>
  <c r="Z357" i="6"/>
  <c r="Y357" i="6"/>
  <c r="AA357" i="6"/>
  <c r="AH357" i="6"/>
  <c r="AB357" i="6"/>
  <c r="L357" i="6"/>
  <c r="AX357" i="6"/>
  <c r="BA357" i="6" s="1"/>
  <c r="AD357" i="6"/>
  <c r="AY357" i="6" s="1"/>
  <c r="BB357" i="6" s="1"/>
  <c r="M357" i="6"/>
  <c r="M356" i="41" s="1"/>
  <c r="P356" i="41" s="1"/>
  <c r="AE357" i="6"/>
  <c r="AG357" i="6"/>
  <c r="K357" i="6"/>
  <c r="S357" i="6"/>
  <c r="AR357" i="6"/>
  <c r="AF357" i="6"/>
  <c r="A358" i="6"/>
  <c r="O355" i="41"/>
  <c r="AW356" i="6"/>
  <c r="BF356" i="6" s="1"/>
  <c r="BG356" i="6" s="1"/>
  <c r="BH356" i="6" s="1"/>
  <c r="X358" i="6" l="1"/>
  <c r="AX358" i="6" s="1"/>
  <c r="BA358" i="6" s="1"/>
  <c r="AJ358" i="6"/>
  <c r="Q358" i="6"/>
  <c r="AN358" i="6"/>
  <c r="AO358" i="6"/>
  <c r="AK358" i="6"/>
  <c r="AL358" i="6"/>
  <c r="AM358" i="6"/>
  <c r="AJ357" i="14"/>
  <c r="M357" i="14"/>
  <c r="D357" i="14"/>
  <c r="Y357" i="14"/>
  <c r="AI357" i="14"/>
  <c r="P357" i="14"/>
  <c r="AB357" i="14"/>
  <c r="X357" i="14"/>
  <c r="AF357" i="14"/>
  <c r="H357" i="14"/>
  <c r="K357" i="14"/>
  <c r="U357" i="14"/>
  <c r="AA357" i="14"/>
  <c r="AE357" i="14"/>
  <c r="I357" i="14"/>
  <c r="Q357" i="14"/>
  <c r="J357" i="14"/>
  <c r="V357" i="14"/>
  <c r="W357" i="14"/>
  <c r="AH357" i="14"/>
  <c r="O357" i="14"/>
  <c r="AC357" i="14"/>
  <c r="T357" i="14"/>
  <c r="N357" i="14"/>
  <c r="Z357" i="14"/>
  <c r="AG357" i="14"/>
  <c r="F357" i="14"/>
  <c r="S357" i="14"/>
  <c r="C357" i="14"/>
  <c r="R357" i="14"/>
  <c r="L357" i="14"/>
  <c r="E357" i="14"/>
  <c r="AD357" i="14"/>
  <c r="G357" i="14"/>
  <c r="H356" i="41"/>
  <c r="I356" i="41"/>
  <c r="J356" i="41"/>
  <c r="C358" i="6"/>
  <c r="B357" i="41" s="1"/>
  <c r="H358" i="6"/>
  <c r="AU358" i="6" s="1"/>
  <c r="B358" i="6"/>
  <c r="F358" i="6"/>
  <c r="G358" i="6"/>
  <c r="A358" i="14"/>
  <c r="D358" i="6"/>
  <c r="E358" i="6"/>
  <c r="C357" i="41" s="1"/>
  <c r="G357" i="41"/>
  <c r="A357" i="41"/>
  <c r="D357" i="41" s="1"/>
  <c r="I358" i="6"/>
  <c r="J358" i="6"/>
  <c r="AV358" i="6" s="1"/>
  <c r="V358" i="6"/>
  <c r="U358" i="6"/>
  <c r="N358" i="6"/>
  <c r="L358" i="6"/>
  <c r="Y358" i="6"/>
  <c r="T358" i="6"/>
  <c r="K358" i="6"/>
  <c r="AA358" i="6"/>
  <c r="O358" i="6"/>
  <c r="N357" i="41" s="1"/>
  <c r="AR358" i="6"/>
  <c r="AH358" i="6"/>
  <c r="AZ358" i="6"/>
  <c r="BC358" i="6" s="1"/>
  <c r="AQ358" i="6"/>
  <c r="Z358" i="6"/>
  <c r="AB358" i="6"/>
  <c r="AD358" i="6"/>
  <c r="AY358" i="6" s="1"/>
  <c r="BB358" i="6" s="1"/>
  <c r="S358" i="6"/>
  <c r="AF358" i="6"/>
  <c r="M358" i="6"/>
  <c r="M357" i="41" s="1"/>
  <c r="P357" i="41" s="1"/>
  <c r="AE358" i="6"/>
  <c r="AG358" i="6"/>
  <c r="R358" i="6"/>
  <c r="A359" i="6"/>
  <c r="AW357" i="6"/>
  <c r="BF357" i="6" s="1"/>
  <c r="BG357" i="6" s="1"/>
  <c r="BH357" i="6" s="1"/>
  <c r="O356" i="41"/>
  <c r="Q359" i="6" l="1"/>
  <c r="X359" i="6"/>
  <c r="AX359" i="6" s="1"/>
  <c r="BA359" i="6" s="1"/>
  <c r="AJ359" i="6"/>
  <c r="AK359" i="6"/>
  <c r="AL359" i="6"/>
  <c r="AM359" i="6"/>
  <c r="AN359" i="6"/>
  <c r="AO359" i="6"/>
  <c r="H357" i="41"/>
  <c r="I357" i="41"/>
  <c r="J357" i="41"/>
  <c r="A359" i="14"/>
  <c r="E359" i="6"/>
  <c r="C358" i="41" s="1"/>
  <c r="F359" i="6"/>
  <c r="H359" i="6"/>
  <c r="AU359" i="6" s="1"/>
  <c r="G358" i="41"/>
  <c r="C359" i="6"/>
  <c r="B358" i="41" s="1"/>
  <c r="B359" i="6"/>
  <c r="A358" i="41"/>
  <c r="D358" i="41" s="1"/>
  <c r="I359" i="6"/>
  <c r="G359" i="6"/>
  <c r="J359" i="6"/>
  <c r="AV359" i="6" s="1"/>
  <c r="U359" i="6"/>
  <c r="D359" i="6"/>
  <c r="N359" i="6"/>
  <c r="V359" i="6"/>
  <c r="AR359" i="6"/>
  <c r="Y359" i="6"/>
  <c r="AQ359" i="6"/>
  <c r="Z359" i="6"/>
  <c r="M359" i="6"/>
  <c r="M358" i="41" s="1"/>
  <c r="P358" i="41" s="1"/>
  <c r="S359" i="6"/>
  <c r="T359" i="6"/>
  <c r="L359" i="6"/>
  <c r="AB359" i="6"/>
  <c r="R359" i="6"/>
  <c r="K359" i="6"/>
  <c r="AD359" i="6"/>
  <c r="AY359" i="6" s="1"/>
  <c r="BB359" i="6" s="1"/>
  <c r="AG359" i="6"/>
  <c r="AE359" i="6"/>
  <c r="O359" i="6"/>
  <c r="N358" i="41" s="1"/>
  <c r="AA359" i="6"/>
  <c r="AZ359" i="6"/>
  <c r="BC359" i="6" s="1"/>
  <c r="AH359" i="6"/>
  <c r="AF359" i="6"/>
  <c r="A360" i="6"/>
  <c r="AF358" i="14"/>
  <c r="H358" i="14"/>
  <c r="M358" i="14"/>
  <c r="I358" i="14"/>
  <c r="AJ358" i="14"/>
  <c r="AG358" i="14"/>
  <c r="U358" i="14"/>
  <c r="AE358" i="14"/>
  <c r="AA358" i="14"/>
  <c r="Q358" i="14"/>
  <c r="L358" i="14"/>
  <c r="G358" i="14"/>
  <c r="Y358" i="14"/>
  <c r="T358" i="14"/>
  <c r="E358" i="14"/>
  <c r="AB358" i="14"/>
  <c r="C358" i="14"/>
  <c r="S358" i="14"/>
  <c r="X358" i="14"/>
  <c r="K358" i="14"/>
  <c r="Z358" i="14"/>
  <c r="J358" i="14"/>
  <c r="V358" i="14"/>
  <c r="O358" i="14"/>
  <c r="R358" i="14"/>
  <c r="W358" i="14"/>
  <c r="AC358" i="14"/>
  <c r="D358" i="14"/>
  <c r="N358" i="14"/>
  <c r="F358" i="14"/>
  <c r="P358" i="14"/>
  <c r="AD358" i="14"/>
  <c r="AH358" i="14"/>
  <c r="AI358" i="14"/>
  <c r="AW358" i="6"/>
  <c r="BF358" i="6" s="1"/>
  <c r="BG358" i="6" s="1"/>
  <c r="BH358" i="6" s="1"/>
  <c r="O357" i="41"/>
  <c r="AJ360" i="6" l="1"/>
  <c r="AZ360" i="6" s="1"/>
  <c r="BC360" i="6" s="1"/>
  <c r="Q360" i="6"/>
  <c r="X360" i="6"/>
  <c r="AL360" i="6"/>
  <c r="AN360" i="6"/>
  <c r="AM360" i="6"/>
  <c r="AO360" i="6"/>
  <c r="AK360" i="6"/>
  <c r="C360" i="6"/>
  <c r="B359" i="41" s="1"/>
  <c r="D360" i="6"/>
  <c r="B360" i="6"/>
  <c r="G360" i="6"/>
  <c r="E360" i="6"/>
  <c r="C359" i="41" s="1"/>
  <c r="A360" i="14"/>
  <c r="H360" i="6"/>
  <c r="AU360" i="6" s="1"/>
  <c r="G359" i="41"/>
  <c r="F360" i="6"/>
  <c r="A359" i="41"/>
  <c r="D359" i="41" s="1"/>
  <c r="V360" i="6"/>
  <c r="I360" i="6"/>
  <c r="J360" i="6"/>
  <c r="AV360" i="6" s="1"/>
  <c r="N360" i="6"/>
  <c r="U360" i="6"/>
  <c r="T360" i="6"/>
  <c r="Z360" i="6"/>
  <c r="M360" i="6"/>
  <c r="M359" i="41" s="1"/>
  <c r="P359" i="41" s="1"/>
  <c r="AQ360" i="6"/>
  <c r="AH360" i="6"/>
  <c r="AR360" i="6"/>
  <c r="Y360" i="6"/>
  <c r="L360" i="6"/>
  <c r="AX360" i="6"/>
  <c r="BA360" i="6" s="1"/>
  <c r="K360" i="6"/>
  <c r="AA360" i="6"/>
  <c r="AB360" i="6"/>
  <c r="S360" i="6"/>
  <c r="O360" i="6"/>
  <c r="N359" i="41" s="1"/>
  <c r="AD360" i="6"/>
  <c r="AY360" i="6" s="1"/>
  <c r="BB360" i="6" s="1"/>
  <c r="AF360" i="6"/>
  <c r="AE360" i="6"/>
  <c r="R360" i="6"/>
  <c r="AG360" i="6"/>
  <c r="A361" i="6"/>
  <c r="O358" i="41"/>
  <c r="AW359" i="6"/>
  <c r="BF359" i="6" s="1"/>
  <c r="BG359" i="6" s="1"/>
  <c r="BH359" i="6" s="1"/>
  <c r="X359" i="14"/>
  <c r="M359" i="14"/>
  <c r="Y359" i="14"/>
  <c r="AJ359" i="14"/>
  <c r="P359" i="14"/>
  <c r="O359" i="14"/>
  <c r="AG359" i="14"/>
  <c r="AI359" i="14"/>
  <c r="H359" i="14"/>
  <c r="D359" i="14"/>
  <c r="K359" i="14"/>
  <c r="AF359" i="14"/>
  <c r="I359" i="14"/>
  <c r="AE359" i="14"/>
  <c r="E359" i="14"/>
  <c r="J359" i="14"/>
  <c r="AA359" i="14"/>
  <c r="AH359" i="14"/>
  <c r="W359" i="14"/>
  <c r="AB359" i="14"/>
  <c r="AC359" i="14"/>
  <c r="T359" i="14"/>
  <c r="Z359" i="14"/>
  <c r="N359" i="14"/>
  <c r="U359" i="14"/>
  <c r="F359" i="14"/>
  <c r="V359" i="14"/>
  <c r="R359" i="14"/>
  <c r="C359" i="14"/>
  <c r="Q359" i="14"/>
  <c r="G359" i="14"/>
  <c r="AD359" i="14"/>
  <c r="L359" i="14"/>
  <c r="S359" i="14"/>
  <c r="H358" i="41"/>
  <c r="I358" i="41"/>
  <c r="J358" i="41"/>
  <c r="AJ361" i="6" l="1"/>
  <c r="AZ361" i="6" s="1"/>
  <c r="BC361" i="6" s="1"/>
  <c r="Q361" i="6"/>
  <c r="X361" i="6"/>
  <c r="AO361" i="6"/>
  <c r="AK361" i="6"/>
  <c r="AL361" i="6"/>
  <c r="AN361" i="6"/>
  <c r="AM361" i="6"/>
  <c r="O359" i="41"/>
  <c r="AW360" i="6"/>
  <c r="BF360" i="6" s="1"/>
  <c r="BG360" i="6" s="1"/>
  <c r="BH360" i="6" s="1"/>
  <c r="I359" i="41"/>
  <c r="H359" i="41"/>
  <c r="J359" i="41"/>
  <c r="V360" i="14"/>
  <c r="K360" i="14"/>
  <c r="X360" i="14"/>
  <c r="AD360" i="14"/>
  <c r="T360" i="14"/>
  <c r="AH360" i="14"/>
  <c r="O360" i="14"/>
  <c r="C360" i="14"/>
  <c r="Z360" i="14"/>
  <c r="D360" i="14"/>
  <c r="Y360" i="14"/>
  <c r="AI360" i="14"/>
  <c r="P360" i="14"/>
  <c r="R360" i="14"/>
  <c r="W360" i="14"/>
  <c r="AJ360" i="14"/>
  <c r="H360" i="14"/>
  <c r="G360" i="14"/>
  <c r="N360" i="14"/>
  <c r="J360" i="14"/>
  <c r="AF360" i="14"/>
  <c r="U360" i="14"/>
  <c r="AG360" i="14"/>
  <c r="M360" i="14"/>
  <c r="AC360" i="14"/>
  <c r="AA360" i="14"/>
  <c r="L360" i="14"/>
  <c r="Q360" i="14"/>
  <c r="AE360" i="14"/>
  <c r="AB360" i="14"/>
  <c r="E360" i="14"/>
  <c r="I360" i="14"/>
  <c r="F360" i="14"/>
  <c r="S360" i="14"/>
  <c r="C361" i="6"/>
  <c r="B360" i="41" s="1"/>
  <c r="B361" i="6"/>
  <c r="D361" i="6"/>
  <c r="E361" i="6"/>
  <c r="C360" i="41" s="1"/>
  <c r="H361" i="6"/>
  <c r="AU361" i="6" s="1"/>
  <c r="G360" i="41"/>
  <c r="A361" i="14"/>
  <c r="F361" i="6"/>
  <c r="V361" i="6"/>
  <c r="U361" i="6"/>
  <c r="G361" i="6"/>
  <c r="A360" i="41"/>
  <c r="D360" i="41" s="1"/>
  <c r="N361" i="6"/>
  <c r="I361" i="6"/>
  <c r="J361" i="6"/>
  <c r="AV361" i="6" s="1"/>
  <c r="AA361" i="6"/>
  <c r="AB361" i="6"/>
  <c r="S361" i="6"/>
  <c r="AD361" i="6"/>
  <c r="AY361" i="6" s="1"/>
  <c r="BB361" i="6" s="1"/>
  <c r="R361" i="6"/>
  <c r="T361" i="6"/>
  <c r="L361" i="6"/>
  <c r="AX361" i="6"/>
  <c r="BA361" i="6" s="1"/>
  <c r="K361" i="6"/>
  <c r="Y361" i="6"/>
  <c r="O361" i="6"/>
  <c r="N360" i="41" s="1"/>
  <c r="M361" i="6"/>
  <c r="M360" i="41" s="1"/>
  <c r="P360" i="41" s="1"/>
  <c r="Z361" i="6"/>
  <c r="AQ361" i="6"/>
  <c r="AH361" i="6"/>
  <c r="AE361" i="6"/>
  <c r="AG361" i="6"/>
  <c r="AR361" i="6"/>
  <c r="AF361" i="6"/>
  <c r="A362" i="6"/>
  <c r="AJ362" i="6" l="1"/>
  <c r="Q362" i="6"/>
  <c r="X362" i="6"/>
  <c r="AK362" i="6"/>
  <c r="AL362" i="6"/>
  <c r="AN362" i="6"/>
  <c r="AO362" i="6"/>
  <c r="AM362" i="6"/>
  <c r="AW361" i="6"/>
  <c r="BF361" i="6" s="1"/>
  <c r="BG361" i="6" s="1"/>
  <c r="BH361" i="6" s="1"/>
  <c r="O360" i="41"/>
  <c r="AF361" i="14"/>
  <c r="AE361" i="14"/>
  <c r="I361" i="14"/>
  <c r="E361" i="14"/>
  <c r="AI361" i="14"/>
  <c r="W361" i="14"/>
  <c r="AH361" i="14"/>
  <c r="D361" i="14"/>
  <c r="J361" i="14"/>
  <c r="AA361" i="14"/>
  <c r="N361" i="14"/>
  <c r="Z361" i="14"/>
  <c r="X361" i="14"/>
  <c r="AC361" i="14"/>
  <c r="V361" i="14"/>
  <c r="C361" i="14"/>
  <c r="R361" i="14"/>
  <c r="U361" i="14"/>
  <c r="F361" i="14"/>
  <c r="T361" i="14"/>
  <c r="AD361" i="14"/>
  <c r="G361" i="14"/>
  <c r="Q361" i="14"/>
  <c r="S361" i="14"/>
  <c r="M361" i="14"/>
  <c r="O361" i="14"/>
  <c r="P361" i="14"/>
  <c r="AB361" i="14"/>
  <c r="AG361" i="14"/>
  <c r="K361" i="14"/>
  <c r="L361" i="14"/>
  <c r="Y361" i="14"/>
  <c r="AJ361" i="14"/>
  <c r="H361" i="14"/>
  <c r="I360" i="41"/>
  <c r="H360" i="41"/>
  <c r="J360" i="41"/>
  <c r="G361" i="41"/>
  <c r="A361" i="41"/>
  <c r="D361" i="41" s="1"/>
  <c r="F362" i="6"/>
  <c r="B362" i="6"/>
  <c r="C362" i="6"/>
  <c r="B361" i="41" s="1"/>
  <c r="H362" i="6"/>
  <c r="AU362" i="6" s="1"/>
  <c r="G362" i="6"/>
  <c r="D362" i="6"/>
  <c r="A362" i="14"/>
  <c r="N362" i="6"/>
  <c r="E362" i="6"/>
  <c r="C361" i="41" s="1"/>
  <c r="J362" i="6"/>
  <c r="AV362" i="6" s="1"/>
  <c r="I362" i="6"/>
  <c r="U362" i="6"/>
  <c r="V362" i="6"/>
  <c r="AD362" i="6"/>
  <c r="AY362" i="6" s="1"/>
  <c r="BB362" i="6" s="1"/>
  <c r="Z362" i="6"/>
  <c r="AB362" i="6"/>
  <c r="AQ362" i="6"/>
  <c r="T362" i="6"/>
  <c r="AR362" i="6"/>
  <c r="S362" i="6"/>
  <c r="AX362" i="6"/>
  <c r="BA362" i="6" s="1"/>
  <c r="R362" i="6"/>
  <c r="Y362" i="6"/>
  <c r="AZ362" i="6"/>
  <c r="BC362" i="6" s="1"/>
  <c r="L362" i="6"/>
  <c r="AA362" i="6"/>
  <c r="K362" i="6"/>
  <c r="O362" i="6"/>
  <c r="N361" i="41" s="1"/>
  <c r="AE362" i="6"/>
  <c r="M362" i="6"/>
  <c r="M361" i="41" s="1"/>
  <c r="P361" i="41" s="1"/>
  <c r="AF362" i="6"/>
  <c r="AH362" i="6"/>
  <c r="AG362" i="6"/>
  <c r="A363" i="6"/>
  <c r="X363" i="6" l="1"/>
  <c r="AJ363" i="6"/>
  <c r="Q363" i="6"/>
  <c r="AM363" i="6"/>
  <c r="AO363" i="6"/>
  <c r="AN363" i="6"/>
  <c r="AK363" i="6"/>
  <c r="AL363" i="6"/>
  <c r="I361" i="41"/>
  <c r="H361" i="41"/>
  <c r="J361" i="41"/>
  <c r="AW362" i="6"/>
  <c r="BF362" i="6" s="1"/>
  <c r="BG362" i="6" s="1"/>
  <c r="BH362" i="6" s="1"/>
  <c r="O361" i="41"/>
  <c r="Y362" i="14"/>
  <c r="AF362" i="14"/>
  <c r="H362" i="14"/>
  <c r="M362" i="14"/>
  <c r="R362" i="14"/>
  <c r="AJ362" i="14"/>
  <c r="AG362" i="14"/>
  <c r="U362" i="14"/>
  <c r="N362" i="14"/>
  <c r="J362" i="14"/>
  <c r="AA362" i="14"/>
  <c r="Q362" i="14"/>
  <c r="L362" i="14"/>
  <c r="AH362" i="14"/>
  <c r="AC362" i="14"/>
  <c r="V362" i="14"/>
  <c r="E362" i="14"/>
  <c r="AB362" i="14"/>
  <c r="I362" i="14"/>
  <c r="F362" i="14"/>
  <c r="T362" i="14"/>
  <c r="X362" i="14"/>
  <c r="K362" i="14"/>
  <c r="AE362" i="14"/>
  <c r="S362" i="14"/>
  <c r="O362" i="14"/>
  <c r="C362" i="14"/>
  <c r="G362" i="14"/>
  <c r="D362" i="14"/>
  <c r="Z362" i="14"/>
  <c r="W362" i="14"/>
  <c r="AI362" i="14"/>
  <c r="P362" i="14"/>
  <c r="AD362" i="14"/>
  <c r="A363" i="14"/>
  <c r="E363" i="6"/>
  <c r="C362" i="41" s="1"/>
  <c r="G362" i="41"/>
  <c r="F363" i="6"/>
  <c r="A362" i="41"/>
  <c r="D362" i="41" s="1"/>
  <c r="G363" i="6"/>
  <c r="C363" i="6"/>
  <c r="B362" i="41" s="1"/>
  <c r="H363" i="6"/>
  <c r="AU363" i="6" s="1"/>
  <c r="B363" i="6"/>
  <c r="U363" i="6"/>
  <c r="J363" i="6"/>
  <c r="AV363" i="6" s="1"/>
  <c r="V363" i="6"/>
  <c r="D363" i="6"/>
  <c r="I363" i="6"/>
  <c r="N363" i="6"/>
  <c r="AZ363" i="6"/>
  <c r="BC363" i="6" s="1"/>
  <c r="T363" i="6"/>
  <c r="M363" i="6"/>
  <c r="M362" i="41" s="1"/>
  <c r="P362" i="41" s="1"/>
  <c r="S363" i="6"/>
  <c r="Y363" i="6"/>
  <c r="AA363" i="6"/>
  <c r="R363" i="6"/>
  <c r="AQ363" i="6"/>
  <c r="L363" i="6"/>
  <c r="AX363" i="6"/>
  <c r="BA363" i="6" s="1"/>
  <c r="AR363" i="6"/>
  <c r="Z363" i="6"/>
  <c r="K363" i="6"/>
  <c r="AB363" i="6"/>
  <c r="AG363" i="6"/>
  <c r="O363" i="6"/>
  <c r="N362" i="41" s="1"/>
  <c r="AH363" i="6"/>
  <c r="AD363" i="6"/>
  <c r="AY363" i="6" s="1"/>
  <c r="BB363" i="6" s="1"/>
  <c r="AF363" i="6"/>
  <c r="AE363" i="6"/>
  <c r="A364" i="6"/>
  <c r="X364" i="6" l="1"/>
  <c r="AX364" i="6" s="1"/>
  <c r="BA364" i="6" s="1"/>
  <c r="AJ364" i="6"/>
  <c r="Q364" i="6"/>
  <c r="AL364" i="6"/>
  <c r="AM364" i="6"/>
  <c r="AK364" i="6"/>
  <c r="AO364" i="6"/>
  <c r="AN364" i="6"/>
  <c r="O362" i="41"/>
  <c r="AW363" i="6"/>
  <c r="BF363" i="6" s="1"/>
  <c r="BG363" i="6" s="1"/>
  <c r="BH363" i="6" s="1"/>
  <c r="P363" i="14"/>
  <c r="O363" i="14"/>
  <c r="Q363" i="14"/>
  <c r="Y363" i="14"/>
  <c r="AJ363" i="14"/>
  <c r="H363" i="14"/>
  <c r="D363" i="14"/>
  <c r="L363" i="14"/>
  <c r="AI363" i="14"/>
  <c r="I363" i="14"/>
  <c r="AE363" i="14"/>
  <c r="AG363" i="14"/>
  <c r="J363" i="14"/>
  <c r="AF363" i="14"/>
  <c r="AH363" i="14"/>
  <c r="W363" i="14"/>
  <c r="K363" i="14"/>
  <c r="AC363" i="14"/>
  <c r="AA363" i="14"/>
  <c r="Z363" i="14"/>
  <c r="N363" i="14"/>
  <c r="E363" i="14"/>
  <c r="F363" i="14"/>
  <c r="V363" i="14"/>
  <c r="R363" i="14"/>
  <c r="C363" i="14"/>
  <c r="AB363" i="14"/>
  <c r="T363" i="14"/>
  <c r="G363" i="14"/>
  <c r="AD363" i="14"/>
  <c r="U363" i="14"/>
  <c r="S363" i="14"/>
  <c r="X363" i="14"/>
  <c r="M363" i="14"/>
  <c r="I362" i="41"/>
  <c r="H362" i="41"/>
  <c r="J362" i="41"/>
  <c r="C364" i="6"/>
  <c r="B363" i="41" s="1"/>
  <c r="B364" i="6"/>
  <c r="D364" i="6"/>
  <c r="E364" i="6"/>
  <c r="C363" i="41" s="1"/>
  <c r="F364" i="6"/>
  <c r="A364" i="14"/>
  <c r="G364" i="6"/>
  <c r="G363" i="41"/>
  <c r="A363" i="41"/>
  <c r="D363" i="41" s="1"/>
  <c r="I364" i="6"/>
  <c r="H364" i="6"/>
  <c r="AU364" i="6" s="1"/>
  <c r="N364" i="6"/>
  <c r="U364" i="6"/>
  <c r="V364" i="6"/>
  <c r="J364" i="6"/>
  <c r="AV364" i="6" s="1"/>
  <c r="T364" i="6"/>
  <c r="K364" i="6"/>
  <c r="O364" i="6"/>
  <c r="N363" i="41" s="1"/>
  <c r="AB364" i="6"/>
  <c r="Y364" i="6"/>
  <c r="AD364" i="6"/>
  <c r="AY364" i="6" s="1"/>
  <c r="BB364" i="6" s="1"/>
  <c r="AA364" i="6"/>
  <c r="AZ364" i="6"/>
  <c r="BC364" i="6" s="1"/>
  <c r="Z364" i="6"/>
  <c r="AH364" i="6"/>
  <c r="M364" i="6"/>
  <c r="M363" i="41" s="1"/>
  <c r="P363" i="41" s="1"/>
  <c r="AQ364" i="6"/>
  <c r="S364" i="6"/>
  <c r="AG364" i="6"/>
  <c r="R364" i="6"/>
  <c r="AR364" i="6"/>
  <c r="AF364" i="6"/>
  <c r="AE364" i="6"/>
  <c r="L364" i="6"/>
  <c r="A365" i="6"/>
  <c r="X365" i="6" l="1"/>
  <c r="AJ365" i="6"/>
  <c r="Q365" i="6"/>
  <c r="AK365" i="6"/>
  <c r="AL365" i="6"/>
  <c r="AM365" i="6"/>
  <c r="AO365" i="6"/>
  <c r="AN365" i="6"/>
  <c r="H363" i="41"/>
  <c r="I363" i="41"/>
  <c r="J363" i="41"/>
  <c r="J364" i="14"/>
  <c r="AA364" i="14"/>
  <c r="AB364" i="14"/>
  <c r="E364" i="14"/>
  <c r="W364" i="14"/>
  <c r="AC364" i="14"/>
  <c r="V364" i="14"/>
  <c r="K364" i="14"/>
  <c r="X364" i="14"/>
  <c r="N364" i="14"/>
  <c r="F364" i="14"/>
  <c r="T364" i="14"/>
  <c r="AH364" i="14"/>
  <c r="O364" i="14"/>
  <c r="M364" i="14"/>
  <c r="S364" i="14"/>
  <c r="Z364" i="14"/>
  <c r="D364" i="14"/>
  <c r="P364" i="14"/>
  <c r="R364" i="14"/>
  <c r="AE364" i="14"/>
  <c r="Y364" i="14"/>
  <c r="AI364" i="14"/>
  <c r="H364" i="14"/>
  <c r="G364" i="14"/>
  <c r="I364" i="14"/>
  <c r="AF364" i="14"/>
  <c r="U364" i="14"/>
  <c r="AG364" i="14"/>
  <c r="AD364" i="14"/>
  <c r="AJ364" i="14"/>
  <c r="L364" i="14"/>
  <c r="Q364" i="14"/>
  <c r="C364" i="14"/>
  <c r="O363" i="41"/>
  <c r="AW364" i="6"/>
  <c r="BF364" i="6" s="1"/>
  <c r="BG364" i="6" s="1"/>
  <c r="BH364" i="6" s="1"/>
  <c r="B365" i="6"/>
  <c r="C365" i="6"/>
  <c r="B364" i="41" s="1"/>
  <c r="D365" i="6"/>
  <c r="G365" i="6"/>
  <c r="E365" i="6"/>
  <c r="C364" i="41" s="1"/>
  <c r="A365" i="14"/>
  <c r="G364" i="41"/>
  <c r="F365" i="6"/>
  <c r="I365" i="6"/>
  <c r="H365" i="6"/>
  <c r="AU365" i="6" s="1"/>
  <c r="A364" i="41"/>
  <c r="D364" i="41" s="1"/>
  <c r="J365" i="6"/>
  <c r="AV365" i="6" s="1"/>
  <c r="U365" i="6"/>
  <c r="N365" i="6"/>
  <c r="V365" i="6"/>
  <c r="O365" i="6"/>
  <c r="N364" i="41" s="1"/>
  <c r="AA365" i="6"/>
  <c r="AR365" i="6"/>
  <c r="AQ365" i="6"/>
  <c r="S365" i="6"/>
  <c r="AX365" i="6"/>
  <c r="BA365" i="6" s="1"/>
  <c r="AB365" i="6"/>
  <c r="R365" i="6"/>
  <c r="T365" i="6"/>
  <c r="Z365" i="6"/>
  <c r="Y365" i="6"/>
  <c r="AD365" i="6"/>
  <c r="AY365" i="6" s="1"/>
  <c r="BB365" i="6" s="1"/>
  <c r="M365" i="6"/>
  <c r="M364" i="41" s="1"/>
  <c r="P364" i="41" s="1"/>
  <c r="AZ365" i="6"/>
  <c r="BC365" i="6" s="1"/>
  <c r="AH365" i="6"/>
  <c r="L365" i="6"/>
  <c r="K365" i="6"/>
  <c r="AF365" i="6"/>
  <c r="AE365" i="6"/>
  <c r="AG365" i="6"/>
  <c r="A366" i="6"/>
  <c r="X366" i="6" l="1"/>
  <c r="AX366" i="6" s="1"/>
  <c r="BA366" i="6" s="1"/>
  <c r="AJ366" i="6"/>
  <c r="Q366" i="6"/>
  <c r="AN366" i="6"/>
  <c r="AO366" i="6"/>
  <c r="AK366" i="6"/>
  <c r="AM366" i="6"/>
  <c r="AL366" i="6"/>
  <c r="H364" i="41"/>
  <c r="I364" i="41"/>
  <c r="J364" i="41"/>
  <c r="J365" i="14"/>
  <c r="AF365" i="14"/>
  <c r="AE365" i="14"/>
  <c r="I365" i="14"/>
  <c r="O365" i="14"/>
  <c r="AC365" i="14"/>
  <c r="AI365" i="14"/>
  <c r="W365" i="14"/>
  <c r="AH365" i="14"/>
  <c r="AG365" i="14"/>
  <c r="F365" i="14"/>
  <c r="AA365" i="14"/>
  <c r="N365" i="14"/>
  <c r="Z365" i="14"/>
  <c r="L365" i="14"/>
  <c r="V365" i="14"/>
  <c r="C365" i="14"/>
  <c r="R365" i="14"/>
  <c r="E365" i="14"/>
  <c r="T365" i="14"/>
  <c r="AD365" i="14"/>
  <c r="G365" i="14"/>
  <c r="D365" i="14"/>
  <c r="S365" i="14"/>
  <c r="M365" i="14"/>
  <c r="X365" i="14"/>
  <c r="Y365" i="14"/>
  <c r="P365" i="14"/>
  <c r="AB365" i="14"/>
  <c r="U365" i="14"/>
  <c r="AJ365" i="14"/>
  <c r="H365" i="14"/>
  <c r="K365" i="14"/>
  <c r="Q365" i="14"/>
  <c r="O364" i="41"/>
  <c r="AW365" i="6"/>
  <c r="BF365" i="6" s="1"/>
  <c r="BG365" i="6" s="1"/>
  <c r="BH365" i="6" s="1"/>
  <c r="G365" i="41"/>
  <c r="H366" i="6"/>
  <c r="AU366" i="6" s="1"/>
  <c r="A365" i="41"/>
  <c r="D365" i="41" s="1"/>
  <c r="A366" i="14"/>
  <c r="G366" i="6"/>
  <c r="F366" i="6"/>
  <c r="C366" i="6"/>
  <c r="B365" i="41" s="1"/>
  <c r="B366" i="6"/>
  <c r="D366" i="6"/>
  <c r="E366" i="6"/>
  <c r="C365" i="41" s="1"/>
  <c r="I366" i="6"/>
  <c r="J366" i="6"/>
  <c r="AV366" i="6" s="1"/>
  <c r="V366" i="6"/>
  <c r="U366" i="6"/>
  <c r="N366" i="6"/>
  <c r="O366" i="6"/>
  <c r="N365" i="41" s="1"/>
  <c r="Y366" i="6"/>
  <c r="AD366" i="6"/>
  <c r="AY366" i="6" s="1"/>
  <c r="BB366" i="6" s="1"/>
  <c r="AA366" i="6"/>
  <c r="AZ366" i="6"/>
  <c r="BC366" i="6" s="1"/>
  <c r="Z366" i="6"/>
  <c r="AQ366" i="6"/>
  <c r="AH366" i="6"/>
  <c r="AR366" i="6"/>
  <c r="S366" i="6"/>
  <c r="T366" i="6"/>
  <c r="R366" i="6"/>
  <c r="L366" i="6"/>
  <c r="M366" i="6"/>
  <c r="M365" i="41" s="1"/>
  <c r="P365" i="41" s="1"/>
  <c r="K366" i="6"/>
  <c r="AE366" i="6"/>
  <c r="AG366" i="6"/>
  <c r="AB366" i="6"/>
  <c r="AF366" i="6"/>
  <c r="A367" i="6"/>
  <c r="Q367" i="6" l="1"/>
  <c r="X367" i="6"/>
  <c r="AJ367" i="6"/>
  <c r="AK367" i="6"/>
  <c r="AM367" i="6"/>
  <c r="AN367" i="6"/>
  <c r="AO367" i="6"/>
  <c r="AL367" i="6"/>
  <c r="H365" i="41"/>
  <c r="I365" i="41"/>
  <c r="J365" i="41"/>
  <c r="AW366" i="6"/>
  <c r="BF366" i="6" s="1"/>
  <c r="BG366" i="6" s="1"/>
  <c r="BH366" i="6" s="1"/>
  <c r="O365" i="41"/>
  <c r="D366" i="14"/>
  <c r="AH366" i="14"/>
  <c r="AI366" i="14"/>
  <c r="P366" i="14"/>
  <c r="AD366" i="14"/>
  <c r="I366" i="14"/>
  <c r="Y366" i="14"/>
  <c r="AF366" i="14"/>
  <c r="H366" i="14"/>
  <c r="M366" i="14"/>
  <c r="AE366" i="14"/>
  <c r="AJ366" i="14"/>
  <c r="AG366" i="14"/>
  <c r="U366" i="14"/>
  <c r="G366" i="14"/>
  <c r="AA366" i="14"/>
  <c r="Q366" i="14"/>
  <c r="L366" i="14"/>
  <c r="C366" i="14"/>
  <c r="J366" i="14"/>
  <c r="T366" i="14"/>
  <c r="E366" i="14"/>
  <c r="AB366" i="14"/>
  <c r="Z366" i="14"/>
  <c r="AC366" i="14"/>
  <c r="S366" i="14"/>
  <c r="X366" i="14"/>
  <c r="K366" i="14"/>
  <c r="W366" i="14"/>
  <c r="F366" i="14"/>
  <c r="V366" i="14"/>
  <c r="O366" i="14"/>
  <c r="N366" i="14"/>
  <c r="R366" i="14"/>
  <c r="C367" i="6"/>
  <c r="B366" i="41" s="1"/>
  <c r="H367" i="6"/>
  <c r="AU367" i="6" s="1"/>
  <c r="G367" i="6"/>
  <c r="D367" i="6"/>
  <c r="A367" i="14"/>
  <c r="E367" i="6"/>
  <c r="C366" i="41" s="1"/>
  <c r="G366" i="41"/>
  <c r="A366" i="41"/>
  <c r="D366" i="41" s="1"/>
  <c r="F367" i="6"/>
  <c r="J367" i="6"/>
  <c r="AV367" i="6" s="1"/>
  <c r="N367" i="6"/>
  <c r="B367" i="6"/>
  <c r="I367" i="6"/>
  <c r="V367" i="6"/>
  <c r="U367" i="6"/>
  <c r="AH367" i="6"/>
  <c r="AR367" i="6"/>
  <c r="Z367" i="6"/>
  <c r="AA367" i="6"/>
  <c r="AQ367" i="6"/>
  <c r="L367" i="6"/>
  <c r="AZ367" i="6"/>
  <c r="BC367" i="6" s="1"/>
  <c r="K367" i="6"/>
  <c r="M367" i="6"/>
  <c r="M366" i="41" s="1"/>
  <c r="P366" i="41" s="1"/>
  <c r="AB367" i="6"/>
  <c r="S367" i="6"/>
  <c r="O367" i="6"/>
  <c r="N366" i="41" s="1"/>
  <c r="Y367" i="6"/>
  <c r="AX367" i="6"/>
  <c r="BA367" i="6" s="1"/>
  <c r="AD367" i="6"/>
  <c r="AY367" i="6" s="1"/>
  <c r="BB367" i="6" s="1"/>
  <c r="T367" i="6"/>
  <c r="R367" i="6"/>
  <c r="AF367" i="6"/>
  <c r="AE367" i="6"/>
  <c r="AG367" i="6"/>
  <c r="A368" i="6"/>
  <c r="AJ368" i="6" l="1"/>
  <c r="AZ368" i="6" s="1"/>
  <c r="BC368" i="6" s="1"/>
  <c r="Q368" i="6"/>
  <c r="X368" i="6"/>
  <c r="AX368" i="6" s="1"/>
  <c r="BA368" i="6" s="1"/>
  <c r="AL368" i="6"/>
  <c r="AM368" i="6"/>
  <c r="AN368" i="6"/>
  <c r="AK368" i="6"/>
  <c r="AO368" i="6"/>
  <c r="H366" i="41"/>
  <c r="I366" i="41"/>
  <c r="J366" i="41"/>
  <c r="O366" i="41"/>
  <c r="AW367" i="6"/>
  <c r="BF367" i="6" s="1"/>
  <c r="BG367" i="6" s="1"/>
  <c r="BH367" i="6" s="1"/>
  <c r="S367" i="14"/>
  <c r="R367" i="14"/>
  <c r="C367" i="14"/>
  <c r="K367" i="14"/>
  <c r="G367" i="14"/>
  <c r="AD367" i="14"/>
  <c r="E367" i="14"/>
  <c r="AJ367" i="14"/>
  <c r="X367" i="14"/>
  <c r="M367" i="14"/>
  <c r="Y367" i="14"/>
  <c r="AI367" i="14"/>
  <c r="P367" i="14"/>
  <c r="O367" i="14"/>
  <c r="AB367" i="14"/>
  <c r="AF367" i="14"/>
  <c r="H367" i="14"/>
  <c r="D367" i="14"/>
  <c r="U367" i="14"/>
  <c r="J367" i="14"/>
  <c r="AA367" i="14"/>
  <c r="I367" i="14"/>
  <c r="AE367" i="14"/>
  <c r="Q367" i="14"/>
  <c r="AC367" i="14"/>
  <c r="T367" i="14"/>
  <c r="AH367" i="14"/>
  <c r="W367" i="14"/>
  <c r="L367" i="14"/>
  <c r="F367" i="14"/>
  <c r="V367" i="14"/>
  <c r="Z367" i="14"/>
  <c r="N367" i="14"/>
  <c r="AG367" i="14"/>
  <c r="C368" i="6"/>
  <c r="B367" i="41" s="1"/>
  <c r="B368" i="6"/>
  <c r="G368" i="6"/>
  <c r="D368" i="6"/>
  <c r="A368" i="14"/>
  <c r="E368" i="6"/>
  <c r="C367" i="41" s="1"/>
  <c r="G367" i="41"/>
  <c r="A367" i="41"/>
  <c r="D367" i="41" s="1"/>
  <c r="F368" i="6"/>
  <c r="N368" i="6"/>
  <c r="U368" i="6"/>
  <c r="J368" i="6"/>
  <c r="AV368" i="6" s="1"/>
  <c r="I368" i="6"/>
  <c r="H368" i="6"/>
  <c r="AU368" i="6" s="1"/>
  <c r="V368" i="6"/>
  <c r="S368" i="6"/>
  <c r="K368" i="6"/>
  <c r="R368" i="6"/>
  <c r="O368" i="6"/>
  <c r="N367" i="41" s="1"/>
  <c r="AA368" i="6"/>
  <c r="AR368" i="6"/>
  <c r="AH368" i="6"/>
  <c r="AB368" i="6"/>
  <c r="AQ368" i="6"/>
  <c r="T368" i="6"/>
  <c r="Z368" i="6"/>
  <c r="AD368" i="6"/>
  <c r="AY368" i="6" s="1"/>
  <c r="BB368" i="6" s="1"/>
  <c r="Y368" i="6"/>
  <c r="AG368" i="6"/>
  <c r="L368" i="6"/>
  <c r="M368" i="6"/>
  <c r="M367" i="41" s="1"/>
  <c r="P367" i="41" s="1"/>
  <c r="AE368" i="6"/>
  <c r="AF368" i="6"/>
  <c r="A369" i="6"/>
  <c r="AJ369" i="6" l="1"/>
  <c r="AZ369" i="6" s="1"/>
  <c r="BC369" i="6" s="1"/>
  <c r="Q369" i="6"/>
  <c r="X369" i="6"/>
  <c r="AX369" i="6" s="1"/>
  <c r="BA369" i="6" s="1"/>
  <c r="AO369" i="6"/>
  <c r="AK369" i="6"/>
  <c r="AL369" i="6"/>
  <c r="AN369" i="6"/>
  <c r="AM369" i="6"/>
  <c r="I367" i="41"/>
  <c r="H367" i="41"/>
  <c r="J367" i="41"/>
  <c r="O367" i="41"/>
  <c r="AW368" i="6"/>
  <c r="BF368" i="6" s="1"/>
  <c r="BG368" i="6" s="1"/>
  <c r="BH368" i="6" s="1"/>
  <c r="J368" i="14"/>
  <c r="AA368" i="14"/>
  <c r="U368" i="14"/>
  <c r="AG368" i="14"/>
  <c r="AE368" i="14"/>
  <c r="AC368" i="14"/>
  <c r="S368" i="14"/>
  <c r="L368" i="14"/>
  <c r="Q368" i="14"/>
  <c r="I368" i="14"/>
  <c r="F368" i="14"/>
  <c r="V368" i="14"/>
  <c r="AB368" i="14"/>
  <c r="E368" i="14"/>
  <c r="AD368" i="14"/>
  <c r="T368" i="14"/>
  <c r="K368" i="14"/>
  <c r="X368" i="14"/>
  <c r="C368" i="14"/>
  <c r="AH368" i="14"/>
  <c r="O368" i="14"/>
  <c r="W368" i="14"/>
  <c r="Y368" i="14"/>
  <c r="AI368" i="14"/>
  <c r="Z368" i="14"/>
  <c r="D368" i="14"/>
  <c r="AJ368" i="14"/>
  <c r="P368" i="14"/>
  <c r="R368" i="14"/>
  <c r="N368" i="14"/>
  <c r="AF368" i="14"/>
  <c r="H368" i="14"/>
  <c r="G368" i="14"/>
  <c r="M368" i="14"/>
  <c r="G368" i="41"/>
  <c r="E369" i="6"/>
  <c r="C368" i="41" s="1"/>
  <c r="F369" i="6"/>
  <c r="J369" i="6"/>
  <c r="AV369" i="6" s="1"/>
  <c r="A368" i="41"/>
  <c r="D368" i="41" s="1"/>
  <c r="G369" i="6"/>
  <c r="A369" i="14"/>
  <c r="B369" i="6"/>
  <c r="C369" i="6"/>
  <c r="B368" i="41" s="1"/>
  <c r="H369" i="6"/>
  <c r="AU369" i="6" s="1"/>
  <c r="I369" i="6"/>
  <c r="V369" i="6"/>
  <c r="N369" i="6"/>
  <c r="U369" i="6"/>
  <c r="D369" i="6"/>
  <c r="T369" i="6"/>
  <c r="K369" i="6"/>
  <c r="O369" i="6"/>
  <c r="N368" i="41" s="1"/>
  <c r="AA369" i="6"/>
  <c r="AR369" i="6"/>
  <c r="Z369" i="6"/>
  <c r="S369" i="6"/>
  <c r="R369" i="6"/>
  <c r="Y369" i="6"/>
  <c r="AB369" i="6"/>
  <c r="AD369" i="6"/>
  <c r="AY369" i="6" s="1"/>
  <c r="BB369" i="6" s="1"/>
  <c r="AF369" i="6"/>
  <c r="AQ369" i="6"/>
  <c r="AE369" i="6"/>
  <c r="AH369" i="6"/>
  <c r="AG369" i="6"/>
  <c r="M369" i="6"/>
  <c r="M368" i="41" s="1"/>
  <c r="P368" i="41" s="1"/>
  <c r="L369" i="6"/>
  <c r="A370" i="6"/>
  <c r="AJ370" i="6" l="1"/>
  <c r="AZ370" i="6" s="1"/>
  <c r="BC370" i="6" s="1"/>
  <c r="Q370" i="6"/>
  <c r="X370" i="6"/>
  <c r="AX370" i="6" s="1"/>
  <c r="BA370" i="6" s="1"/>
  <c r="AL370" i="6"/>
  <c r="AK370" i="6"/>
  <c r="AN370" i="6"/>
  <c r="AO370" i="6"/>
  <c r="AM370" i="6"/>
  <c r="M369" i="14"/>
  <c r="E369" i="14"/>
  <c r="AJ369" i="14"/>
  <c r="P369" i="14"/>
  <c r="AB369" i="14"/>
  <c r="D369" i="14"/>
  <c r="AI369" i="14"/>
  <c r="H369" i="14"/>
  <c r="K369" i="14"/>
  <c r="X369" i="14"/>
  <c r="Y369" i="14"/>
  <c r="AF369" i="14"/>
  <c r="AE369" i="14"/>
  <c r="I369" i="14"/>
  <c r="U369" i="14"/>
  <c r="J369" i="14"/>
  <c r="AA369" i="14"/>
  <c r="W369" i="14"/>
  <c r="AH369" i="14"/>
  <c r="Q369" i="14"/>
  <c r="AC369" i="14"/>
  <c r="V369" i="14"/>
  <c r="N369" i="14"/>
  <c r="Z369" i="14"/>
  <c r="O369" i="14"/>
  <c r="F369" i="14"/>
  <c r="T369" i="14"/>
  <c r="C369" i="14"/>
  <c r="R369" i="14"/>
  <c r="L369" i="14"/>
  <c r="S369" i="14"/>
  <c r="AD369" i="14"/>
  <c r="G369" i="14"/>
  <c r="AG369" i="14"/>
  <c r="H368" i="41"/>
  <c r="I368" i="41"/>
  <c r="J368" i="41"/>
  <c r="O368" i="41"/>
  <c r="AW369" i="6"/>
  <c r="BF369" i="6" s="1"/>
  <c r="BG369" i="6" s="1"/>
  <c r="BH369" i="6" s="1"/>
  <c r="C370" i="6"/>
  <c r="B369" i="41" s="1"/>
  <c r="D370" i="6"/>
  <c r="H370" i="6"/>
  <c r="AU370" i="6" s="1"/>
  <c r="E370" i="6"/>
  <c r="C369" i="41" s="1"/>
  <c r="F370" i="6"/>
  <c r="G370" i="6"/>
  <c r="G369" i="41"/>
  <c r="A370" i="14"/>
  <c r="B370" i="6"/>
  <c r="I370" i="6"/>
  <c r="A369" i="41"/>
  <c r="D369" i="41" s="1"/>
  <c r="J370" i="6"/>
  <c r="AV370" i="6" s="1"/>
  <c r="N370" i="6"/>
  <c r="V370" i="6"/>
  <c r="U370" i="6"/>
  <c r="R370" i="6"/>
  <c r="M370" i="6"/>
  <c r="M369" i="41" s="1"/>
  <c r="P369" i="41" s="1"/>
  <c r="T370" i="6"/>
  <c r="Z370" i="6"/>
  <c r="L370" i="6"/>
  <c r="Y370" i="6"/>
  <c r="AR370" i="6"/>
  <c r="K370" i="6"/>
  <c r="AA370" i="6"/>
  <c r="AQ370" i="6"/>
  <c r="O370" i="6"/>
  <c r="N369" i="41" s="1"/>
  <c r="AB370" i="6"/>
  <c r="AH370" i="6"/>
  <c r="AG370" i="6"/>
  <c r="AD370" i="6"/>
  <c r="AY370" i="6" s="1"/>
  <c r="BB370" i="6" s="1"/>
  <c r="S370" i="6"/>
  <c r="AF370" i="6"/>
  <c r="AE370" i="6"/>
  <c r="A371" i="6"/>
  <c r="X371" i="6" l="1"/>
  <c r="AJ371" i="6"/>
  <c r="Q371" i="6"/>
  <c r="AM371" i="6"/>
  <c r="AN371" i="6"/>
  <c r="AO371" i="6"/>
  <c r="AK371" i="6"/>
  <c r="AL371" i="6"/>
  <c r="AC370" i="14"/>
  <c r="V370" i="14"/>
  <c r="Q370" i="14"/>
  <c r="L370" i="14"/>
  <c r="AE370" i="14"/>
  <c r="F370" i="14"/>
  <c r="T370" i="14"/>
  <c r="E370" i="14"/>
  <c r="AB370" i="14"/>
  <c r="G370" i="14"/>
  <c r="S370" i="14"/>
  <c r="X370" i="14"/>
  <c r="K370" i="14"/>
  <c r="C370" i="14"/>
  <c r="O370" i="14"/>
  <c r="W370" i="14"/>
  <c r="Z370" i="14"/>
  <c r="AI370" i="14"/>
  <c r="D370" i="14"/>
  <c r="R370" i="14"/>
  <c r="AF370" i="14"/>
  <c r="P370" i="14"/>
  <c r="AD370" i="14"/>
  <c r="N370" i="14"/>
  <c r="Y370" i="14"/>
  <c r="AJ370" i="14"/>
  <c r="H370" i="14"/>
  <c r="M370" i="14"/>
  <c r="AH370" i="14"/>
  <c r="AA370" i="14"/>
  <c r="AG370" i="14"/>
  <c r="U370" i="14"/>
  <c r="I370" i="14"/>
  <c r="J370" i="14"/>
  <c r="H369" i="41"/>
  <c r="I369" i="41"/>
  <c r="J369" i="41"/>
  <c r="O369" i="41"/>
  <c r="AW370" i="6"/>
  <c r="BF370" i="6" s="1"/>
  <c r="BG370" i="6" s="1"/>
  <c r="BH370" i="6" s="1"/>
  <c r="A370" i="41"/>
  <c r="D370" i="41" s="1"/>
  <c r="H371" i="6"/>
  <c r="AU371" i="6" s="1"/>
  <c r="F371" i="6"/>
  <c r="B371" i="6"/>
  <c r="A371" i="14"/>
  <c r="D371" i="6"/>
  <c r="C371" i="6"/>
  <c r="B370" i="41" s="1"/>
  <c r="E371" i="6"/>
  <c r="C370" i="41" s="1"/>
  <c r="G370" i="41"/>
  <c r="J371" i="6"/>
  <c r="AV371" i="6" s="1"/>
  <c r="I371" i="6"/>
  <c r="I11" i="6" s="1"/>
  <c r="G371" i="6"/>
  <c r="N371" i="6"/>
  <c r="M11" i="6" s="1"/>
  <c r="AB371" i="6"/>
  <c r="AR371" i="6"/>
  <c r="Y371" i="6"/>
  <c r="Z371" i="6"/>
  <c r="M371" i="6"/>
  <c r="M370" i="41" s="1"/>
  <c r="P370" i="41" s="1"/>
  <c r="AD371" i="6"/>
  <c r="AY371" i="6" s="1"/>
  <c r="BB371" i="6" s="1"/>
  <c r="AQ371" i="6"/>
  <c r="L371" i="6"/>
  <c r="R371" i="6"/>
  <c r="AH371" i="6"/>
  <c r="K371" i="6"/>
  <c r="T371" i="6"/>
  <c r="S371" i="6"/>
  <c r="O371" i="6"/>
  <c r="N370" i="41" s="1"/>
  <c r="V371" i="6"/>
  <c r="AX371" i="6"/>
  <c r="BA371" i="6" s="1"/>
  <c r="U371" i="6"/>
  <c r="AF371" i="6"/>
  <c r="AE371" i="6"/>
  <c r="AG371" i="6"/>
  <c r="AA371" i="6"/>
  <c r="AZ371" i="6"/>
  <c r="BC371" i="6" s="1"/>
  <c r="F6" i="6"/>
  <c r="E28" i="37" s="1"/>
  <c r="E30" i="37" s="1"/>
  <c r="I370" i="41" l="1"/>
  <c r="J370" i="41"/>
  <c r="H370" i="41"/>
  <c r="AW371" i="6"/>
  <c r="BF371" i="6" s="1"/>
  <c r="BG371" i="6" s="1"/>
  <c r="BH371" i="6" s="1"/>
  <c r="O370" i="41"/>
  <c r="L12" i="6"/>
  <c r="K12" i="6" s="1"/>
  <c r="O12" i="6" s="1"/>
  <c r="AV11" i="6"/>
  <c r="AV9" i="6" s="1"/>
  <c r="AF371" i="14"/>
  <c r="AF8" i="14" s="1"/>
  <c r="J61" i="37" s="1"/>
  <c r="T371" i="14"/>
  <c r="T8" i="14" s="1"/>
  <c r="J72" i="37" s="1"/>
  <c r="G371" i="14"/>
  <c r="G8" i="14" s="1"/>
  <c r="J36" i="37" s="1"/>
  <c r="AE371" i="14"/>
  <c r="AE8" i="14" s="1"/>
  <c r="J60" i="37" s="1"/>
  <c r="L371" i="14"/>
  <c r="L8" i="14" s="1"/>
  <c r="J67" i="37" s="1"/>
  <c r="AB371" i="14"/>
  <c r="AB8" i="14" s="1"/>
  <c r="J58" i="37" s="1"/>
  <c r="J371" i="14"/>
  <c r="J8" i="14" s="1"/>
  <c r="J51" i="37" s="1"/>
  <c r="I371" i="14"/>
  <c r="I8" i="14" s="1"/>
  <c r="J50" i="37" s="1"/>
  <c r="AG371" i="14"/>
  <c r="AG8" i="14" s="1"/>
  <c r="J46" i="37" s="1"/>
  <c r="AC371" i="14"/>
  <c r="AC8" i="14" s="1"/>
  <c r="J52" i="37" s="1"/>
  <c r="S371" i="14"/>
  <c r="S8" i="14" s="1"/>
  <c r="J71" i="37" s="1"/>
  <c r="X371" i="14"/>
  <c r="X8" i="14" s="1"/>
  <c r="J54" i="37" s="1"/>
  <c r="W371" i="14"/>
  <c r="W8" i="14" s="1"/>
  <c r="J38" i="37" s="1"/>
  <c r="U371" i="14"/>
  <c r="U8" i="14" s="1"/>
  <c r="J73" i="37" s="1"/>
  <c r="F371" i="14"/>
  <c r="F8" i="14" s="1"/>
  <c r="J43" i="37" s="1"/>
  <c r="AI371" i="14"/>
  <c r="AI8" i="14" s="1"/>
  <c r="J47" i="37" s="1"/>
  <c r="AH371" i="14"/>
  <c r="AH8" i="14" s="1"/>
  <c r="J39" i="37" s="1"/>
  <c r="N371" i="14"/>
  <c r="N8" i="14" s="1"/>
  <c r="K371" i="14"/>
  <c r="K8" i="14" s="1"/>
  <c r="J66" i="37" s="1"/>
  <c r="Q371" i="14"/>
  <c r="Q8" i="14" s="1"/>
  <c r="P371" i="14"/>
  <c r="P8" i="14" s="1"/>
  <c r="J69" i="37" s="1"/>
  <c r="Z371" i="14"/>
  <c r="Z8" i="14" s="1"/>
  <c r="J62" i="37" s="1"/>
  <c r="O371" i="14"/>
  <c r="O8" i="14" s="1"/>
  <c r="J68" i="37" s="1"/>
  <c r="C371" i="14"/>
  <c r="C8" i="14" s="1"/>
  <c r="J63" i="37" s="1"/>
  <c r="Y371" i="14"/>
  <c r="Y8" i="14" s="1"/>
  <c r="J55" i="37" s="1"/>
  <c r="AA371" i="14"/>
  <c r="AA8" i="14" s="1"/>
  <c r="J57" i="37" s="1"/>
  <c r="J56" i="37" s="1"/>
  <c r="D371" i="14"/>
  <c r="D8" i="14" s="1"/>
  <c r="J41" i="37" s="1"/>
  <c r="AD371" i="14"/>
  <c r="AD8" i="14" s="1"/>
  <c r="J64" i="37" s="1"/>
  <c r="AJ371" i="14"/>
  <c r="V371" i="14"/>
  <c r="V8" i="14" s="1"/>
  <c r="J37" i="37" s="1"/>
  <c r="R371" i="14"/>
  <c r="R8" i="14" s="1"/>
  <c r="J70" i="37" s="1"/>
  <c r="E371" i="14"/>
  <c r="E8" i="14" s="1"/>
  <c r="J42" i="37" s="1"/>
  <c r="H371" i="14"/>
  <c r="H8" i="14" s="1"/>
  <c r="J49" i="37" s="1"/>
  <c r="M371" i="14"/>
  <c r="M8" i="14" s="1"/>
  <c r="AU11" i="6"/>
  <c r="AU9" i="6" s="1"/>
  <c r="AG11" i="6"/>
  <c r="AA11" i="6"/>
  <c r="T11" i="6"/>
  <c r="S12" i="6" s="1"/>
  <c r="J48" i="37" l="1"/>
  <c r="J40" i="37"/>
  <c r="J45" i="37"/>
  <c r="M12" i="6"/>
  <c r="AM11" i="6"/>
  <c r="C13" i="43"/>
  <c r="C4" i="41"/>
  <c r="C7" i="41" s="1"/>
  <c r="C5" i="41" s="1"/>
  <c r="H19" i="36"/>
  <c r="F30" i="45" s="1"/>
  <c r="J25" i="37"/>
  <c r="G19" i="36"/>
  <c r="E30" i="45" s="1"/>
  <c r="AW11" i="6"/>
  <c r="AX11" i="6"/>
  <c r="I4" i="41"/>
  <c r="I7" i="41" s="1"/>
  <c r="I5" i="41" s="1"/>
  <c r="O25" i="37"/>
  <c r="B11" i="14"/>
  <c r="BD11" i="6" s="1"/>
  <c r="BD9" i="6" s="1"/>
  <c r="AJ8" i="14"/>
  <c r="J44" i="37" s="1"/>
  <c r="J75" i="37" s="1"/>
  <c r="T46" i="37" s="1"/>
  <c r="T25" i="37"/>
  <c r="O4" i="41"/>
  <c r="O7" i="41" s="1"/>
  <c r="O5" i="41" s="1"/>
  <c r="AY11" i="6"/>
  <c r="J53" i="37"/>
  <c r="J59" i="37"/>
  <c r="J65" i="37"/>
  <c r="L13" i="6" l="1"/>
  <c r="K13" i="6" s="1"/>
  <c r="O13" i="6" s="1"/>
  <c r="N12" i="41" s="1"/>
  <c r="C8" i="46"/>
  <c r="C8" i="45"/>
  <c r="C3" i="46"/>
  <c r="O43" i="37"/>
  <c r="O44" i="37"/>
  <c r="D3" i="46"/>
  <c r="E3" i="46"/>
  <c r="O45" i="37"/>
  <c r="BF11" i="6"/>
  <c r="BG11" i="6" s="1"/>
  <c r="AZ11" i="6"/>
  <c r="O35" i="37"/>
  <c r="O37" i="37" s="1"/>
  <c r="M13" i="6" l="1"/>
  <c r="O47" i="37"/>
  <c r="T43" i="37" s="1"/>
  <c r="M12" i="41" l="1"/>
  <c r="L14" i="6"/>
  <c r="K14" i="6" s="1"/>
  <c r="O14" i="6" s="1"/>
  <c r="N13" i="41" s="1"/>
  <c r="T47" i="37"/>
  <c r="C5" i="45"/>
  <c r="M14" i="6" l="1"/>
  <c r="C9" i="45"/>
  <c r="C9" i="46"/>
  <c r="M13" i="41" l="1"/>
  <c r="L15" i="6"/>
  <c r="K15" i="6" s="1"/>
  <c r="O15" i="6" s="1"/>
  <c r="N14" i="41" s="1"/>
  <c r="M15" i="6" l="1"/>
  <c r="M14" i="41" l="1"/>
  <c r="L16" i="6"/>
  <c r="K16" i="6" s="1"/>
  <c r="O16" i="6" s="1"/>
  <c r="N15" i="41" s="1"/>
  <c r="M16" i="6" l="1"/>
  <c r="L17" i="6" l="1"/>
  <c r="K17" i="6" s="1"/>
  <c r="O17" i="6" s="1"/>
  <c r="N16" i="41" s="1"/>
  <c r="M15" i="41"/>
  <c r="M17" i="6" l="1"/>
  <c r="M16" i="41" l="1"/>
  <c r="L18" i="6"/>
  <c r="K18" i="6" s="1"/>
  <c r="O18" i="6" s="1"/>
  <c r="N17" i="41" s="1"/>
  <c r="M18" i="6" l="1"/>
  <c r="L19" i="6" l="1"/>
  <c r="K19" i="6" s="1"/>
  <c r="O19" i="6" s="1"/>
  <c r="N18" i="41" s="1"/>
  <c r="M17" i="41"/>
  <c r="M19" i="6" l="1"/>
  <c r="M18" i="41" s="1"/>
  <c r="L20" i="6" l="1"/>
  <c r="K20" i="6" s="1"/>
  <c r="O20" i="6" s="1"/>
  <c r="N19" i="41" s="1"/>
  <c r="M20" i="6" l="1"/>
  <c r="L21" i="6"/>
  <c r="K21" i="6" s="1"/>
  <c r="O21" i="6" s="1"/>
  <c r="N20" i="41" s="1"/>
  <c r="M19" i="41"/>
  <c r="M21" i="6" l="1"/>
  <c r="M20" i="41" l="1"/>
  <c r="L22" i="6"/>
  <c r="K22" i="6" s="1"/>
  <c r="O22" i="6" s="1"/>
  <c r="N21" i="41" s="1"/>
  <c r="M22" i="6" l="1"/>
  <c r="M21" i="41" l="1"/>
  <c r="L23" i="6"/>
  <c r="K23" i="6" s="1"/>
  <c r="O23" i="6" s="1"/>
  <c r="N22" i="41" s="1"/>
  <c r="M23" i="6" l="1"/>
  <c r="L24" i="6" l="1"/>
  <c r="K24" i="6" s="1"/>
  <c r="O24" i="6" s="1"/>
  <c r="N23" i="41" s="1"/>
  <c r="M22" i="41"/>
  <c r="M24" i="6" l="1"/>
  <c r="L25" i="6" s="1"/>
  <c r="K25" i="6" s="1"/>
  <c r="O25" i="6" s="1"/>
  <c r="N24" i="41" s="1"/>
  <c r="M23" i="41" l="1"/>
  <c r="M25" i="6"/>
  <c r="M24" i="41" l="1"/>
  <c r="L26" i="6"/>
  <c r="K26" i="6" s="1"/>
  <c r="O26" i="6" s="1"/>
  <c r="N25" i="41" s="1"/>
  <c r="M26" i="6" l="1"/>
  <c r="M25" i="41" l="1"/>
  <c r="L27" i="6"/>
  <c r="K27" i="6" s="1"/>
  <c r="O27" i="6" s="1"/>
  <c r="N26" i="41" s="1"/>
  <c r="M27" i="6" l="1"/>
  <c r="L28" i="6" l="1"/>
  <c r="K28" i="6" s="1"/>
  <c r="O28" i="6" s="1"/>
  <c r="N27" i="41" s="1"/>
  <c r="M26" i="41"/>
  <c r="M28" i="6" l="1"/>
  <c r="L29" i="6" l="1"/>
  <c r="K29" i="6" s="1"/>
  <c r="O29" i="6" s="1"/>
  <c r="N28" i="41" s="1"/>
  <c r="M27" i="41"/>
  <c r="M29" i="6" l="1"/>
  <c r="L30" i="6" s="1"/>
  <c r="K30" i="6" s="1"/>
  <c r="O30" i="6" s="1"/>
  <c r="N29" i="41" s="1"/>
  <c r="M28" i="41" l="1"/>
  <c r="M30" i="6"/>
  <c r="L31" i="6" l="1"/>
  <c r="K31" i="6" s="1"/>
  <c r="O31" i="6" s="1"/>
  <c r="N30" i="41" s="1"/>
  <c r="M29" i="41"/>
  <c r="M31" i="6" l="1"/>
  <c r="L32" i="6" l="1"/>
  <c r="K32" i="6" s="1"/>
  <c r="O32" i="6" s="1"/>
  <c r="N31" i="41" s="1"/>
  <c r="M30" i="41"/>
  <c r="M32" i="6" l="1"/>
  <c r="M31" i="41" l="1"/>
  <c r="L33" i="6"/>
  <c r="K33" i="6" s="1"/>
  <c r="O33" i="6" s="1"/>
  <c r="N32" i="41" s="1"/>
  <c r="M33" i="6" l="1"/>
  <c r="L34" i="6" l="1"/>
  <c r="K34" i="6" s="1"/>
  <c r="O34" i="6" s="1"/>
  <c r="N33" i="41" s="1"/>
  <c r="M32" i="41"/>
  <c r="M34" i="6" l="1"/>
  <c r="M33" i="41" l="1"/>
  <c r="L35" i="6"/>
  <c r="K35" i="6" s="1"/>
  <c r="O35" i="6" s="1"/>
  <c r="N34" i="41" s="1"/>
  <c r="M35" i="6" l="1"/>
  <c r="M34" i="41" l="1"/>
  <c r="L36" i="6"/>
  <c r="K36" i="6" s="1"/>
  <c r="O36" i="6" s="1"/>
  <c r="N35" i="41" s="1"/>
  <c r="M36" i="6" l="1"/>
  <c r="L37" i="6" l="1"/>
  <c r="K37" i="6" s="1"/>
  <c r="O37" i="6" s="1"/>
  <c r="N36" i="41" s="1"/>
  <c r="M35" i="41"/>
  <c r="M37" i="6" l="1"/>
  <c r="L38" i="6" s="1"/>
  <c r="K38" i="6" s="1"/>
  <c r="O38" i="6" s="1"/>
  <c r="N37" i="41" s="1"/>
  <c r="M36" i="41" l="1"/>
  <c r="M38" i="6"/>
  <c r="M37" i="41" s="1"/>
  <c r="L39" i="6" l="1"/>
  <c r="K39" i="6" s="1"/>
  <c r="O39" i="6" s="1"/>
  <c r="N38" i="41" s="1"/>
  <c r="M39" i="6" l="1"/>
  <c r="L40" i="6" s="1"/>
  <c r="K40" i="6" s="1"/>
  <c r="O40" i="6" s="1"/>
  <c r="N39" i="41" s="1"/>
  <c r="M38" i="41" l="1"/>
  <c r="M40" i="6"/>
  <c r="L41" i="6" s="1"/>
  <c r="K41" i="6" s="1"/>
  <c r="O41" i="6" s="1"/>
  <c r="N40" i="41" s="1"/>
  <c r="M39" i="41" l="1"/>
  <c r="M41" i="6"/>
  <c r="L42" i="6" l="1"/>
  <c r="K42" i="6" s="1"/>
  <c r="O42" i="6" s="1"/>
  <c r="N41" i="41" s="1"/>
  <c r="M40" i="41"/>
  <c r="M42" i="6" l="1"/>
  <c r="L43" i="6" l="1"/>
  <c r="K43" i="6" s="1"/>
  <c r="O43" i="6" s="1"/>
  <c r="N42" i="41" s="1"/>
  <c r="M41" i="41"/>
  <c r="M43" i="6" l="1"/>
  <c r="L44" i="6" s="1"/>
  <c r="K44" i="6" s="1"/>
  <c r="O44" i="6" s="1"/>
  <c r="N43" i="41" s="1"/>
  <c r="M42" i="41" l="1"/>
  <c r="M44" i="6"/>
  <c r="M43" i="41" s="1"/>
  <c r="L45" i="6" l="1"/>
  <c r="K45" i="6" s="1"/>
  <c r="O45" i="6" s="1"/>
  <c r="N44" i="41" s="1"/>
  <c r="M45" i="6" l="1"/>
  <c r="M44" i="41"/>
  <c r="L46" i="6"/>
  <c r="K46" i="6" s="1"/>
  <c r="O46" i="6" s="1"/>
  <c r="N45" i="41" s="1"/>
  <c r="M46" i="6" l="1"/>
  <c r="M45" i="41" l="1"/>
  <c r="L47" i="6"/>
  <c r="K47" i="6" s="1"/>
  <c r="O47" i="6" s="1"/>
  <c r="N46" i="41" s="1"/>
  <c r="M47" i="6" l="1"/>
  <c r="M46" i="41" s="1"/>
  <c r="L48" i="6" l="1"/>
  <c r="K48" i="6" s="1"/>
  <c r="O48" i="6" s="1"/>
  <c r="N47" i="41" s="1"/>
  <c r="M48" i="6" l="1"/>
  <c r="M47" i="41" s="1"/>
  <c r="L49" i="6" l="1"/>
  <c r="K49" i="6" s="1"/>
  <c r="O49" i="6" s="1"/>
  <c r="N48" i="41" s="1"/>
  <c r="M49" i="6" l="1"/>
  <c r="M48" i="41" l="1"/>
  <c r="L50" i="6"/>
  <c r="K50" i="6" s="1"/>
  <c r="O50" i="6" l="1"/>
  <c r="M50" i="6"/>
  <c r="N49" i="41" l="1"/>
  <c r="M49" i="41"/>
  <c r="L51" i="6"/>
  <c r="K51" i="6" s="1"/>
  <c r="O51" i="6" l="1"/>
  <c r="M51" i="6"/>
  <c r="N50" i="41" l="1"/>
  <c r="M50" i="41"/>
  <c r="L52" i="6"/>
  <c r="K52" i="6" s="1"/>
  <c r="O52" i="6" l="1"/>
  <c r="M52" i="6"/>
  <c r="N51" i="41" l="1"/>
  <c r="L53" i="6"/>
  <c r="K53" i="6" s="1"/>
  <c r="M51" i="41"/>
  <c r="O53" i="6" l="1"/>
  <c r="M53" i="6"/>
  <c r="L54" i="6" l="1"/>
  <c r="K54" i="6" s="1"/>
  <c r="O54" i="6" s="1"/>
  <c r="M52" i="41"/>
  <c r="N52" i="41"/>
  <c r="M54" i="6" l="1"/>
  <c r="L55" i="6" s="1"/>
  <c r="K55" i="6" s="1"/>
  <c r="O55" i="6" s="1"/>
  <c r="N54" i="41" s="1"/>
  <c r="N53" i="41"/>
  <c r="M53" i="41" l="1"/>
  <c r="M55" i="6"/>
  <c r="M54" i="41" s="1"/>
  <c r="L56" i="6" l="1"/>
  <c r="K56" i="6" s="1"/>
  <c r="O56" i="6" s="1"/>
  <c r="N55" i="41" s="1"/>
  <c r="M56" i="6" l="1"/>
  <c r="M55" i="41" s="1"/>
  <c r="L57" i="6" l="1"/>
  <c r="K57" i="6" s="1"/>
  <c r="O57" i="6" s="1"/>
  <c r="N56" i="41" s="1"/>
  <c r="M57" i="6" l="1"/>
  <c r="M56" i="41" s="1"/>
  <c r="L58" i="6"/>
  <c r="K58" i="6" s="1"/>
  <c r="O58" i="6" s="1"/>
  <c r="N57" i="41" s="1"/>
  <c r="M58" i="6" l="1"/>
  <c r="M57" i="41" l="1"/>
  <c r="L59" i="6"/>
  <c r="K59" i="6" s="1"/>
  <c r="O59" i="6" s="1"/>
  <c r="N58" i="41" s="1"/>
  <c r="M59" i="6" l="1"/>
  <c r="L60" i="6" l="1"/>
  <c r="K60" i="6" s="1"/>
  <c r="O60" i="6" s="1"/>
  <c r="N59" i="41" s="1"/>
  <c r="M58" i="41"/>
  <c r="M60" i="6" l="1"/>
  <c r="M59" i="41" s="1"/>
  <c r="L61" i="6" l="1"/>
  <c r="K61" i="6" s="1"/>
  <c r="O61" i="6" s="1"/>
  <c r="N60" i="41" s="1"/>
  <c r="M61" i="6" l="1"/>
  <c r="M60" i="41" s="1"/>
  <c r="L62" i="6"/>
  <c r="K62" i="6" s="1"/>
  <c r="O62" i="6" s="1"/>
  <c r="N61" i="41" s="1"/>
  <c r="M62" i="6" l="1"/>
  <c r="L63" i="6" l="1"/>
  <c r="K63" i="6" s="1"/>
  <c r="O63" i="6" s="1"/>
  <c r="N62" i="41" s="1"/>
  <c r="M61" i="41"/>
  <c r="M63" i="6" l="1"/>
  <c r="M62" i="41" s="1"/>
  <c r="L64" i="6"/>
  <c r="K64" i="6" s="1"/>
  <c r="O64" i="6" s="1"/>
  <c r="N63" i="41" s="1"/>
  <c r="M64" i="6" l="1"/>
  <c r="M63" i="41" s="1"/>
  <c r="L65" i="6"/>
  <c r="K65" i="6" s="1"/>
  <c r="O65" i="6" s="1"/>
  <c r="N64" i="41" s="1"/>
  <c r="M65" i="6" l="1"/>
  <c r="M64" i="41" l="1"/>
  <c r="L66" i="6"/>
  <c r="K66" i="6" s="1"/>
  <c r="O66" i="6" s="1"/>
  <c r="N65" i="41" s="1"/>
  <c r="M66" i="6" l="1"/>
  <c r="L67" i="6" l="1"/>
  <c r="K67" i="6" s="1"/>
  <c r="O67" i="6" s="1"/>
  <c r="N66" i="41" s="1"/>
  <c r="M65" i="41"/>
  <c r="M67" i="6" l="1"/>
  <c r="M66" i="41" s="1"/>
  <c r="L68" i="6" l="1"/>
  <c r="K68" i="6" s="1"/>
  <c r="O68" i="6" s="1"/>
  <c r="N67" i="41" s="1"/>
  <c r="M68" i="6" l="1"/>
  <c r="M67" i="41" s="1"/>
  <c r="L69" i="6" l="1"/>
  <c r="K69" i="6" s="1"/>
  <c r="O69" i="6" s="1"/>
  <c r="N68" i="41" s="1"/>
  <c r="M69" i="6" l="1"/>
  <c r="M68" i="41" s="1"/>
  <c r="L70" i="6" l="1"/>
  <c r="K70" i="6" s="1"/>
  <c r="O70" i="6" s="1"/>
  <c r="N69" i="41" s="1"/>
  <c r="M70" i="6"/>
  <c r="L71" i="6" l="1"/>
  <c r="K71" i="6" s="1"/>
  <c r="O71" i="6" s="1"/>
  <c r="N70" i="41" s="1"/>
  <c r="M69" i="41"/>
  <c r="M71" i="6" l="1"/>
  <c r="L72" i="6" s="1"/>
  <c r="K72" i="6" s="1"/>
  <c r="O72" i="6" s="1"/>
  <c r="N71" i="41" s="1"/>
  <c r="M70" i="41" l="1"/>
  <c r="M72" i="6"/>
  <c r="L73" i="6" l="1"/>
  <c r="K73" i="6" s="1"/>
  <c r="O73" i="6" s="1"/>
  <c r="N72" i="41" s="1"/>
  <c r="M71" i="41"/>
  <c r="M73" i="6" l="1"/>
  <c r="L74" i="6" l="1"/>
  <c r="K74" i="6" s="1"/>
  <c r="O74" i="6" s="1"/>
  <c r="N73" i="41" s="1"/>
  <c r="M72" i="41"/>
  <c r="M74" i="6" l="1"/>
  <c r="M73" i="41" s="1"/>
  <c r="L75" i="6"/>
  <c r="K75" i="6" s="1"/>
  <c r="O75" i="6" s="1"/>
  <c r="N74" i="41" s="1"/>
  <c r="M75" i="6" l="1"/>
  <c r="M74" i="41" l="1"/>
  <c r="L76" i="6"/>
  <c r="K76" i="6" s="1"/>
  <c r="O76" i="6" s="1"/>
  <c r="N75" i="41" s="1"/>
  <c r="M76" i="6" l="1"/>
  <c r="M75" i="41" l="1"/>
  <c r="L77" i="6"/>
  <c r="K77" i="6" s="1"/>
  <c r="O77" i="6" s="1"/>
  <c r="N76" i="41" s="1"/>
  <c r="M77" i="6" l="1"/>
  <c r="L78" i="6" l="1"/>
  <c r="K78" i="6" s="1"/>
  <c r="O78" i="6" s="1"/>
  <c r="N77" i="41" s="1"/>
  <c r="M76" i="41"/>
  <c r="M78" i="6" l="1"/>
  <c r="L79" i="6" l="1"/>
  <c r="K79" i="6" s="1"/>
  <c r="O79" i="6" s="1"/>
  <c r="N78" i="41" s="1"/>
  <c r="M77" i="41"/>
  <c r="M79" i="6" l="1"/>
  <c r="L80" i="6" l="1"/>
  <c r="K80" i="6" s="1"/>
  <c r="O80" i="6" s="1"/>
  <c r="N79" i="41" s="1"/>
  <c r="M78" i="41"/>
  <c r="M80" i="6" l="1"/>
  <c r="L81" i="6" s="1"/>
  <c r="K81" i="6" s="1"/>
  <c r="O81" i="6" s="1"/>
  <c r="N80" i="41" s="1"/>
  <c r="M81" i="6" l="1"/>
  <c r="M80" i="41" s="1"/>
  <c r="M79" i="41"/>
  <c r="O6" i="41"/>
  <c r="T26" i="37"/>
  <c r="E6" i="46" s="1"/>
  <c r="AF12" i="6"/>
  <c r="AE12" i="6"/>
  <c r="P11" i="41" s="1"/>
  <c r="L82" i="6" l="1"/>
  <c r="K82" i="6" s="1"/>
  <c r="O82" i="6" s="1"/>
  <c r="N81" i="41" s="1"/>
  <c r="AG12" i="6"/>
  <c r="M82" i="6" l="1"/>
  <c r="L83" i="6" s="1"/>
  <c r="K83" i="6" s="1"/>
  <c r="O83" i="6" s="1"/>
  <c r="N82" i="41" s="1"/>
  <c r="AF13" i="6"/>
  <c r="AE13" i="6" s="1"/>
  <c r="P12" i="41" s="1"/>
  <c r="M81" i="41" l="1"/>
  <c r="M83" i="6"/>
  <c r="L84" i="6" s="1"/>
  <c r="K84" i="6" s="1"/>
  <c r="O84" i="6" s="1"/>
  <c r="N83" i="41" s="1"/>
  <c r="AG13" i="6"/>
  <c r="M84" i="6" l="1"/>
  <c r="M83" i="41" s="1"/>
  <c r="M82" i="41"/>
  <c r="AF14" i="6"/>
  <c r="AE14" i="6" s="1"/>
  <c r="P13" i="41" s="1"/>
  <c r="L85" i="6" l="1"/>
  <c r="K85" i="6" s="1"/>
  <c r="O85" i="6" s="1"/>
  <c r="N84" i="41" s="1"/>
  <c r="AG14" i="6"/>
  <c r="M85" i="6" l="1"/>
  <c r="AF15" i="6"/>
  <c r="AE15" i="6" s="1"/>
  <c r="P14" i="41" s="1"/>
  <c r="M84" i="41" l="1"/>
  <c r="L86" i="6"/>
  <c r="K86" i="6" s="1"/>
  <c r="AG15" i="6"/>
  <c r="O86" i="6" l="1"/>
  <c r="M86" i="6"/>
  <c r="AF16" i="6"/>
  <c r="AE16" i="6" s="1"/>
  <c r="P15" i="41" s="1"/>
  <c r="N85" i="41" l="1"/>
  <c r="M85" i="41"/>
  <c r="L87" i="6"/>
  <c r="K87" i="6" s="1"/>
  <c r="AG16" i="6"/>
  <c r="O87" i="6" l="1"/>
  <c r="M87" i="6"/>
  <c r="AF17" i="6"/>
  <c r="AE17" i="6" s="1"/>
  <c r="P16" i="41" s="1"/>
  <c r="L88" i="6" l="1"/>
  <c r="K88" i="6" s="1"/>
  <c r="O88" i="6" s="1"/>
  <c r="N87" i="41" s="1"/>
  <c r="M86" i="41"/>
  <c r="N86" i="41"/>
  <c r="AG17" i="6"/>
  <c r="M88" i="6" l="1"/>
  <c r="AF18" i="6"/>
  <c r="AE18" i="6" s="1"/>
  <c r="P17" i="41" s="1"/>
  <c r="L89" i="6" l="1"/>
  <c r="K89" i="6" s="1"/>
  <c r="O89" i="6" s="1"/>
  <c r="N88" i="41" s="1"/>
  <c r="M87" i="41"/>
  <c r="AG18" i="6"/>
  <c r="M89" i="6" l="1"/>
  <c r="AF19" i="6"/>
  <c r="AE19" i="6" s="1"/>
  <c r="P18" i="41" s="1"/>
  <c r="M88" i="41" l="1"/>
  <c r="L90" i="6"/>
  <c r="K90" i="6" s="1"/>
  <c r="O90" i="6" s="1"/>
  <c r="N89" i="41" s="1"/>
  <c r="AG19" i="6"/>
  <c r="M90" i="6" l="1"/>
  <c r="AF20" i="6"/>
  <c r="AE20" i="6" s="1"/>
  <c r="P19" i="41" s="1"/>
  <c r="L91" i="6" l="1"/>
  <c r="K91" i="6" s="1"/>
  <c r="O91" i="6" s="1"/>
  <c r="M89" i="41"/>
  <c r="AG20" i="6"/>
  <c r="M91" i="6" l="1"/>
  <c r="N90" i="41"/>
  <c r="AF21" i="6"/>
  <c r="AE21" i="6" s="1"/>
  <c r="P20" i="41" s="1"/>
  <c r="M90" i="41" l="1"/>
  <c r="L92" i="6"/>
  <c r="K92" i="6" s="1"/>
  <c r="O92" i="6" s="1"/>
  <c r="N91" i="41" s="1"/>
  <c r="AG21" i="6"/>
  <c r="M92" i="6" l="1"/>
  <c r="AF22" i="6"/>
  <c r="AE22" i="6" s="1"/>
  <c r="P21" i="41" s="1"/>
  <c r="L93" i="6" l="1"/>
  <c r="K93" i="6" s="1"/>
  <c r="O93" i="6" s="1"/>
  <c r="N92" i="41" s="1"/>
  <c r="M91" i="41"/>
  <c r="AG22" i="6"/>
  <c r="M93" i="6" l="1"/>
  <c r="AF23" i="6"/>
  <c r="AE23" i="6" s="1"/>
  <c r="P22" i="41" s="1"/>
  <c r="M92" i="41" l="1"/>
  <c r="L94" i="6"/>
  <c r="K94" i="6" s="1"/>
  <c r="O94" i="6" s="1"/>
  <c r="AG23" i="6"/>
  <c r="M94" i="6" l="1"/>
  <c r="N93" i="41"/>
  <c r="AF24" i="6"/>
  <c r="AE24" i="6" s="1"/>
  <c r="P23" i="41" s="1"/>
  <c r="M93" i="41" l="1"/>
  <c r="L95" i="6"/>
  <c r="K95" i="6" s="1"/>
  <c r="O95" i="6" s="1"/>
  <c r="N94" i="41" s="1"/>
  <c r="AG24" i="6"/>
  <c r="M95" i="6" l="1"/>
  <c r="L96" i="6" s="1"/>
  <c r="K96" i="6" s="1"/>
  <c r="O96" i="6" s="1"/>
  <c r="AF25" i="6"/>
  <c r="AE25" i="6" s="1"/>
  <c r="P24" i="41" s="1"/>
  <c r="M94" i="41" l="1"/>
  <c r="M96" i="6"/>
  <c r="L97" i="6" s="1"/>
  <c r="K97" i="6" s="1"/>
  <c r="O97" i="6" s="1"/>
  <c r="N96" i="41" s="1"/>
  <c r="N95" i="41"/>
  <c r="AG25" i="6"/>
  <c r="M95" i="41" l="1"/>
  <c r="M97" i="6"/>
  <c r="AF26" i="6"/>
  <c r="AE26" i="6" s="1"/>
  <c r="P25" i="41" s="1"/>
  <c r="M96" i="41" l="1"/>
  <c r="L98" i="6"/>
  <c r="K98" i="6" s="1"/>
  <c r="O98" i="6" s="1"/>
  <c r="N97" i="41" s="1"/>
  <c r="AG26" i="6"/>
  <c r="M98" i="6" l="1"/>
  <c r="AF27" i="6"/>
  <c r="AE27" i="6" s="1"/>
  <c r="P26" i="41" s="1"/>
  <c r="M97" i="41" l="1"/>
  <c r="L99" i="6"/>
  <c r="K99" i="6" s="1"/>
  <c r="O99" i="6" s="1"/>
  <c r="AG27" i="6"/>
  <c r="M99" i="6" l="1"/>
  <c r="N98" i="41"/>
  <c r="AF28" i="6"/>
  <c r="AE28" i="6" s="1"/>
  <c r="P27" i="41" s="1"/>
  <c r="M98" i="41" l="1"/>
  <c r="L100" i="6"/>
  <c r="K100" i="6" s="1"/>
  <c r="O100" i="6" s="1"/>
  <c r="N99" i="41" s="1"/>
  <c r="AG28" i="6"/>
  <c r="M100" i="6" l="1"/>
  <c r="M99" i="41" s="1"/>
  <c r="AF29" i="6"/>
  <c r="AE29" i="6" s="1"/>
  <c r="P28" i="41" s="1"/>
  <c r="L101" i="6" l="1"/>
  <c r="K101" i="6" s="1"/>
  <c r="O101" i="6" s="1"/>
  <c r="N100" i="41" s="1"/>
  <c r="M101" i="6"/>
  <c r="AG29" i="6"/>
  <c r="M100" i="41" l="1"/>
  <c r="L102" i="6"/>
  <c r="K102" i="6" s="1"/>
  <c r="O102" i="6" s="1"/>
  <c r="N101" i="41" s="1"/>
  <c r="AF30" i="6"/>
  <c r="AE30" i="6" s="1"/>
  <c r="P29" i="41" s="1"/>
  <c r="M102" i="6" l="1"/>
  <c r="AG30" i="6"/>
  <c r="M101" i="41" l="1"/>
  <c r="L103" i="6"/>
  <c r="K103" i="6" s="1"/>
  <c r="O103" i="6" s="1"/>
  <c r="AF31" i="6"/>
  <c r="AE31" i="6" s="1"/>
  <c r="P30" i="41" s="1"/>
  <c r="M103" i="6" l="1"/>
  <c r="N102" i="41"/>
  <c r="AG31" i="6"/>
  <c r="L104" i="6" l="1"/>
  <c r="K104" i="6" s="1"/>
  <c r="O104" i="6" s="1"/>
  <c r="N103" i="41" s="1"/>
  <c r="M102" i="41"/>
  <c r="AF32" i="6"/>
  <c r="AE32" i="6" s="1"/>
  <c r="P31" i="41" s="1"/>
  <c r="M104" i="6" l="1"/>
  <c r="AG32" i="6"/>
  <c r="L105" i="6" l="1"/>
  <c r="K105" i="6" s="1"/>
  <c r="O105" i="6" s="1"/>
  <c r="N104" i="41" s="1"/>
  <c r="M103" i="41"/>
  <c r="AF33" i="6"/>
  <c r="AE33" i="6" s="1"/>
  <c r="P32" i="41" s="1"/>
  <c r="M105" i="6" l="1"/>
  <c r="AG33" i="6"/>
  <c r="L106" i="6" l="1"/>
  <c r="K106" i="6" s="1"/>
  <c r="O106" i="6" s="1"/>
  <c r="M104" i="41"/>
  <c r="M106" i="6"/>
  <c r="AF34" i="6"/>
  <c r="AE34" i="6" s="1"/>
  <c r="P33" i="41" s="1"/>
  <c r="N105" i="41" l="1"/>
  <c r="L107" i="6"/>
  <c r="K107" i="6" s="1"/>
  <c r="O107" i="6" s="1"/>
  <c r="N106" i="41" s="1"/>
  <c r="M105" i="41"/>
  <c r="AG34" i="6"/>
  <c r="M107" i="6" l="1"/>
  <c r="AF35" i="6"/>
  <c r="AE35" i="6" s="1"/>
  <c r="P34" i="41" s="1"/>
  <c r="L108" i="6" l="1"/>
  <c r="K108" i="6" s="1"/>
  <c r="M106" i="41"/>
  <c r="AG35" i="6"/>
  <c r="O108" i="6" l="1"/>
  <c r="M108" i="6"/>
  <c r="AF36" i="6"/>
  <c r="AE36" i="6" s="1"/>
  <c r="P35" i="41" s="1"/>
  <c r="N107" i="41" l="1"/>
  <c r="L109" i="6"/>
  <c r="K109" i="6" s="1"/>
  <c r="M107" i="41"/>
  <c r="AG36" i="6"/>
  <c r="O109" i="6" l="1"/>
  <c r="N108" i="41" s="1"/>
  <c r="M109" i="6"/>
  <c r="AF37" i="6"/>
  <c r="AE37" i="6" s="1"/>
  <c r="P36" i="41" s="1"/>
  <c r="M108" i="41" l="1"/>
  <c r="L110" i="6"/>
  <c r="K110" i="6" s="1"/>
  <c r="AG37" i="6"/>
  <c r="O110" i="6" l="1"/>
  <c r="N109" i="41" s="1"/>
  <c r="M110" i="6"/>
  <c r="AF38" i="6"/>
  <c r="AE38" i="6" s="1"/>
  <c r="P37" i="41" s="1"/>
  <c r="L111" i="6" l="1"/>
  <c r="K111" i="6" s="1"/>
  <c r="O111" i="6" s="1"/>
  <c r="N110" i="41" s="1"/>
  <c r="M109" i="41"/>
  <c r="AG38" i="6"/>
  <c r="M111" i="6" l="1"/>
  <c r="AF39" i="6"/>
  <c r="AE39" i="6" s="1"/>
  <c r="P38" i="41" s="1"/>
  <c r="M110" i="41" l="1"/>
  <c r="L112" i="6"/>
  <c r="K112" i="6" s="1"/>
  <c r="O112" i="6" s="1"/>
  <c r="AG39" i="6"/>
  <c r="M112" i="6" l="1"/>
  <c r="N111" i="41"/>
  <c r="AF40" i="6"/>
  <c r="AE40" i="6" s="1"/>
  <c r="P39" i="41" s="1"/>
  <c r="L113" i="6" l="1"/>
  <c r="K113" i="6" s="1"/>
  <c r="O113" i="6" s="1"/>
  <c r="N112" i="41" s="1"/>
  <c r="M111" i="41"/>
  <c r="AG40" i="6"/>
  <c r="M113" i="6" l="1"/>
  <c r="AF41" i="6"/>
  <c r="AE41" i="6" s="1"/>
  <c r="P40" i="41" s="1"/>
  <c r="L114" i="6" l="1"/>
  <c r="K114" i="6" s="1"/>
  <c r="O114" i="6" s="1"/>
  <c r="N113" i="41" s="1"/>
  <c r="M112" i="41"/>
  <c r="AG41" i="6"/>
  <c r="M114" i="6" l="1"/>
  <c r="L115" i="6" s="1"/>
  <c r="K115" i="6" s="1"/>
  <c r="AF42" i="6"/>
  <c r="AE42" i="6" s="1"/>
  <c r="P41" i="41" s="1"/>
  <c r="M113" i="41" l="1"/>
  <c r="O115" i="6"/>
  <c r="M115" i="6"/>
  <c r="M114" i="41" s="1"/>
  <c r="N114" i="41"/>
  <c r="AG42" i="6"/>
  <c r="L116" i="6" l="1"/>
  <c r="K116" i="6" s="1"/>
  <c r="O116" i="6" s="1"/>
  <c r="N115" i="41" s="1"/>
  <c r="M116" i="6"/>
  <c r="AF43" i="6"/>
  <c r="AE43" i="6" s="1"/>
  <c r="P42" i="41" s="1"/>
  <c r="M115" i="41" l="1"/>
  <c r="L117" i="6"/>
  <c r="K117" i="6" s="1"/>
  <c r="O117" i="6" s="1"/>
  <c r="N116" i="41" s="1"/>
  <c r="AG43" i="6"/>
  <c r="M117" i="6" l="1"/>
  <c r="AF44" i="6"/>
  <c r="AE44" i="6" s="1"/>
  <c r="P43" i="41" s="1"/>
  <c r="M116" i="41" l="1"/>
  <c r="L118" i="6"/>
  <c r="K118" i="6" s="1"/>
  <c r="O118" i="6" s="1"/>
  <c r="AG44" i="6"/>
  <c r="M118" i="6" l="1"/>
  <c r="N117" i="41"/>
  <c r="AF45" i="6"/>
  <c r="AE45" i="6" s="1"/>
  <c r="P44" i="41" s="1"/>
  <c r="M117" i="41" l="1"/>
  <c r="L119" i="6"/>
  <c r="K119" i="6" s="1"/>
  <c r="O119" i="6" s="1"/>
  <c r="N118" i="41" s="1"/>
  <c r="AG45" i="6"/>
  <c r="M119" i="6" l="1"/>
  <c r="AF46" i="6"/>
  <c r="AE46" i="6" s="1"/>
  <c r="P45" i="41" s="1"/>
  <c r="M118" i="41" l="1"/>
  <c r="L120" i="6"/>
  <c r="K120" i="6" s="1"/>
  <c r="O120" i="6" s="1"/>
  <c r="N119" i="41" s="1"/>
  <c r="AG46" i="6"/>
  <c r="M120" i="6" l="1"/>
  <c r="AF47" i="6"/>
  <c r="AE47" i="6" s="1"/>
  <c r="P46" i="41" s="1"/>
  <c r="M119" i="41" l="1"/>
  <c r="L121" i="6"/>
  <c r="K121" i="6" s="1"/>
  <c r="O121" i="6" s="1"/>
  <c r="N120" i="41" s="1"/>
  <c r="AG47" i="6"/>
  <c r="M121" i="6" l="1"/>
  <c r="AF48" i="6"/>
  <c r="L122" i="6" l="1"/>
  <c r="K122" i="6" s="1"/>
  <c r="O122" i="6" s="1"/>
  <c r="M120" i="41"/>
  <c r="M122" i="6" l="1"/>
  <c r="N121" i="41"/>
  <c r="M121" i="41" l="1"/>
  <c r="L123" i="6"/>
  <c r="K123" i="6" s="1"/>
  <c r="O123" i="6" s="1"/>
  <c r="N122" i="41" s="1"/>
  <c r="M123" i="6" l="1"/>
  <c r="M122" i="41" s="1"/>
  <c r="L124" i="6" l="1"/>
  <c r="K124" i="6" s="1"/>
  <c r="O124" i="6" s="1"/>
  <c r="N123" i="41" s="1"/>
  <c r="M124" i="6" l="1"/>
  <c r="L125" i="6" s="1"/>
  <c r="K125" i="6" s="1"/>
  <c r="O125" i="6" s="1"/>
  <c r="N124" i="41" s="1"/>
  <c r="M123" i="41" l="1"/>
  <c r="M125" i="6"/>
  <c r="M124" i="41" l="1"/>
  <c r="L126" i="6"/>
  <c r="K126" i="6" s="1"/>
  <c r="O126" i="6" l="1"/>
  <c r="M126" i="6"/>
  <c r="M125" i="41" l="1"/>
  <c r="L127" i="6"/>
  <c r="K127" i="6" s="1"/>
  <c r="O127" i="6" s="1"/>
  <c r="M127" i="6"/>
  <c r="N125" i="41"/>
  <c r="M126" i="41" l="1"/>
  <c r="L128" i="6"/>
  <c r="K128" i="6" s="1"/>
  <c r="O128" i="6" s="1"/>
  <c r="N127" i="41" s="1"/>
  <c r="N126" i="41"/>
  <c r="M128" i="6"/>
  <c r="M127" i="41" s="1"/>
  <c r="L129" i="6" l="1"/>
  <c r="K129" i="6" s="1"/>
  <c r="O129" i="6" s="1"/>
  <c r="N128" i="41" s="1"/>
  <c r="M129" i="6" l="1"/>
  <c r="M128" i="41" s="1"/>
  <c r="L130" i="6"/>
  <c r="K130" i="6" s="1"/>
  <c r="O130" i="6" s="1"/>
  <c r="N129" i="41" s="1"/>
  <c r="M130" i="6" l="1"/>
  <c r="L131" i="6" l="1"/>
  <c r="K131" i="6" s="1"/>
  <c r="O131" i="6" s="1"/>
  <c r="N130" i="41" s="1"/>
  <c r="M129" i="41"/>
  <c r="M131" i="6" l="1"/>
  <c r="M130" i="41" s="1"/>
  <c r="L132" i="6" l="1"/>
  <c r="K132" i="6" s="1"/>
  <c r="O132" i="6" s="1"/>
  <c r="N131" i="41" l="1"/>
  <c r="M132" i="6"/>
  <c r="M131" i="41"/>
  <c r="L133" i="6"/>
  <c r="K133" i="6" s="1"/>
  <c r="O133" i="6" s="1"/>
  <c r="N132" i="41" l="1"/>
  <c r="M133" i="6"/>
  <c r="M132" i="41" l="1"/>
  <c r="P132" i="41" s="1"/>
  <c r="L134" i="6"/>
  <c r="K134" i="6" s="1"/>
  <c r="O134" i="6" s="1"/>
  <c r="M134" i="6" l="1"/>
  <c r="L135" i="6" s="1"/>
  <c r="K135" i="6" s="1"/>
  <c r="O135" i="6" s="1"/>
  <c r="N133" i="41"/>
  <c r="M133" i="41" l="1"/>
  <c r="P133" i="41" s="1"/>
  <c r="N134" i="41"/>
  <c r="M135" i="6"/>
  <c r="M134" i="41" l="1"/>
  <c r="P134" i="41" s="1"/>
  <c r="L136" i="6"/>
  <c r="K136" i="6" s="1"/>
  <c r="O136" i="6" s="1"/>
  <c r="N135" i="41" l="1"/>
  <c r="M136" i="6"/>
  <c r="M135" i="41" l="1"/>
  <c r="P135" i="41" s="1"/>
  <c r="L137" i="6"/>
  <c r="K137" i="6" s="1"/>
  <c r="O137" i="6" s="1"/>
  <c r="M137" i="6" l="1"/>
  <c r="M136" i="41" s="1"/>
  <c r="P136" i="41" s="1"/>
  <c r="N136" i="41"/>
  <c r="L138" i="6" l="1"/>
  <c r="K138" i="6" s="1"/>
  <c r="O138" i="6" s="1"/>
  <c r="N137" i="41" s="1"/>
  <c r="M138" i="6" l="1"/>
  <c r="M137" i="41" s="1"/>
  <c r="P137" i="41" s="1"/>
  <c r="L139" i="6"/>
  <c r="K139" i="6" s="1"/>
  <c r="O139" i="6" s="1"/>
  <c r="N138" i="41" l="1"/>
  <c r="M139" i="6"/>
  <c r="M138" i="41" l="1"/>
  <c r="P138" i="41" s="1"/>
  <c r="L140" i="6"/>
  <c r="K140" i="6" s="1"/>
  <c r="O140" i="6" s="1"/>
  <c r="M140" i="6" l="1"/>
  <c r="N139" i="41"/>
  <c r="M139" i="41" l="1"/>
  <c r="P139" i="41" s="1"/>
  <c r="L141" i="6"/>
  <c r="K141" i="6" s="1"/>
  <c r="O141" i="6" s="1"/>
  <c r="M141" i="6" l="1"/>
  <c r="M140" i="41" s="1"/>
  <c r="P140" i="41" s="1"/>
  <c r="N140" i="41"/>
  <c r="L142" i="6" l="1"/>
  <c r="K142" i="6" s="1"/>
  <c r="O142" i="6" s="1"/>
  <c r="N141" i="41" s="1"/>
  <c r="M142" i="6" l="1"/>
  <c r="M141" i="41" s="1"/>
  <c r="P141" i="41" s="1"/>
  <c r="L143" i="6"/>
  <c r="K143" i="6" s="1"/>
  <c r="O143" i="6" s="1"/>
  <c r="N142" i="41" l="1"/>
  <c r="M143" i="6"/>
  <c r="M142" i="41" l="1"/>
  <c r="P142" i="41" s="1"/>
  <c r="L144" i="6"/>
  <c r="K144" i="6" s="1"/>
  <c r="O144" i="6" s="1"/>
  <c r="M144" i="6" l="1"/>
  <c r="N143" i="41"/>
  <c r="M143" i="41" l="1"/>
  <c r="P143" i="41" s="1"/>
  <c r="L145" i="6"/>
  <c r="K145" i="6" s="1"/>
  <c r="O145" i="6" s="1"/>
  <c r="M145" i="6" l="1"/>
  <c r="N144" i="41"/>
  <c r="M144" i="41" l="1"/>
  <c r="P144" i="41" s="1"/>
  <c r="L146" i="6"/>
  <c r="K146" i="6" s="1"/>
  <c r="O146" i="6" s="1"/>
  <c r="M146" i="6" l="1"/>
  <c r="N145" i="41"/>
  <c r="M145" i="41" l="1"/>
  <c r="P145" i="41" s="1"/>
  <c r="L147" i="6"/>
  <c r="K147" i="6" s="1"/>
  <c r="O147" i="6" s="1"/>
  <c r="N146" i="41" l="1"/>
  <c r="M147" i="6"/>
  <c r="M146" i="41" l="1"/>
  <c r="P146" i="41" s="1"/>
  <c r="L148" i="6"/>
  <c r="K148" i="6" s="1"/>
  <c r="O148" i="6" s="1"/>
  <c r="M148" i="6" l="1"/>
  <c r="N147" i="41"/>
  <c r="M147" i="41" l="1"/>
  <c r="P147" i="41" s="1"/>
  <c r="L149" i="6"/>
  <c r="K149" i="6" s="1"/>
  <c r="O149" i="6" s="1"/>
  <c r="M149" i="6" l="1"/>
  <c r="N148" i="41"/>
  <c r="M148" i="41" l="1"/>
  <c r="P148" i="41" s="1"/>
  <c r="L150" i="6"/>
  <c r="K150" i="6" s="1"/>
  <c r="O150" i="6" s="1"/>
  <c r="N149" i="41" l="1"/>
  <c r="M150" i="6"/>
  <c r="M149" i="41" l="1"/>
  <c r="P149" i="41" s="1"/>
  <c r="L151" i="6"/>
  <c r="K151" i="6" s="1"/>
  <c r="O151" i="6" s="1"/>
  <c r="N150" i="41" l="1"/>
  <c r="M151" i="6"/>
  <c r="M150" i="41" l="1"/>
  <c r="P150" i="41" s="1"/>
  <c r="L152" i="6"/>
  <c r="K152" i="6" s="1"/>
  <c r="O152" i="6" s="1"/>
  <c r="N151" i="41" l="1"/>
  <c r="M152" i="6"/>
  <c r="M151" i="41" l="1"/>
  <c r="P151" i="41" s="1"/>
  <c r="L153" i="6"/>
  <c r="K153" i="6" s="1"/>
  <c r="O153" i="6" s="1"/>
  <c r="N152" i="41" l="1"/>
  <c r="M153" i="6"/>
  <c r="M152" i="41" l="1"/>
  <c r="P152" i="41" s="1"/>
  <c r="L154" i="6"/>
  <c r="K154" i="6" s="1"/>
  <c r="O154" i="6" s="1"/>
  <c r="N153" i="41" l="1"/>
  <c r="M154" i="6"/>
  <c r="M153" i="41" l="1"/>
  <c r="P153" i="41" s="1"/>
  <c r="L155" i="6"/>
  <c r="K155" i="6" s="1"/>
  <c r="O155" i="6" s="1"/>
  <c r="N154" i="41" l="1"/>
  <c r="M155" i="6"/>
  <c r="M154" i="41" l="1"/>
  <c r="P154" i="41" s="1"/>
  <c r="L156" i="6"/>
  <c r="K156" i="6" s="1"/>
  <c r="O156" i="6" s="1"/>
  <c r="N155" i="41" l="1"/>
  <c r="M156" i="6"/>
  <c r="M155" i="41" l="1"/>
  <c r="P155" i="41" s="1"/>
  <c r="L157" i="6"/>
  <c r="K157" i="6" s="1"/>
  <c r="O157" i="6" s="1"/>
  <c r="N156" i="41" l="1"/>
  <c r="M157" i="6"/>
  <c r="M156" i="41" l="1"/>
  <c r="P156" i="41" s="1"/>
  <c r="L158" i="6"/>
  <c r="K158" i="6" s="1"/>
  <c r="O158" i="6" s="1"/>
  <c r="M158" i="6" l="1"/>
  <c r="N157" i="41"/>
  <c r="M157" i="41" l="1"/>
  <c r="P157" i="41" s="1"/>
  <c r="L159" i="6"/>
  <c r="K159" i="6" s="1"/>
  <c r="O159" i="6" s="1"/>
  <c r="N158" i="41" l="1"/>
  <c r="M159" i="6"/>
  <c r="M158" i="41" l="1"/>
  <c r="P158" i="41" s="1"/>
  <c r="L160" i="6"/>
  <c r="K160" i="6" s="1"/>
  <c r="O160" i="6" s="1"/>
  <c r="N159" i="41" l="1"/>
  <c r="M160" i="6"/>
  <c r="M159" i="41" l="1"/>
  <c r="P159" i="41" s="1"/>
  <c r="L161" i="6"/>
  <c r="K161" i="6" s="1"/>
  <c r="O161" i="6" s="1"/>
  <c r="M161" i="6" l="1"/>
  <c r="N160" i="41"/>
  <c r="M160" i="41" l="1"/>
  <c r="P160" i="41" s="1"/>
  <c r="L162" i="6"/>
  <c r="K162" i="6" s="1"/>
  <c r="O162" i="6" s="1"/>
  <c r="M162" i="6" l="1"/>
  <c r="N161" i="41"/>
  <c r="M161" i="41" l="1"/>
  <c r="P161" i="41" s="1"/>
  <c r="L163" i="6"/>
  <c r="K163" i="6" s="1"/>
  <c r="O163" i="6" s="1"/>
  <c r="N162" i="41" l="1"/>
  <c r="M163" i="6"/>
  <c r="M162" i="41" l="1"/>
  <c r="P162" i="41" s="1"/>
  <c r="L164" i="6"/>
  <c r="K164" i="6" s="1"/>
  <c r="O164" i="6" s="1"/>
  <c r="N163" i="41" l="1"/>
  <c r="M164" i="6"/>
  <c r="M163" i="41" l="1"/>
  <c r="P163" i="41" s="1"/>
  <c r="L165" i="6"/>
  <c r="K165" i="6" s="1"/>
  <c r="O165" i="6" s="1"/>
  <c r="N164" i="41" l="1"/>
  <c r="M165" i="6"/>
  <c r="M164" i="41" l="1"/>
  <c r="P164" i="41" s="1"/>
  <c r="L166" i="6"/>
  <c r="K166" i="6" s="1"/>
  <c r="O166" i="6" s="1"/>
  <c r="N165" i="41" l="1"/>
  <c r="M166" i="6"/>
  <c r="M165" i="41" l="1"/>
  <c r="P165" i="41" s="1"/>
  <c r="L167" i="6"/>
  <c r="K167" i="6" s="1"/>
  <c r="O167" i="6" s="1"/>
  <c r="M167" i="6" l="1"/>
  <c r="N166" i="41"/>
  <c r="M166" i="41" l="1"/>
  <c r="P166" i="41" s="1"/>
  <c r="L168" i="6"/>
  <c r="K168" i="6" s="1"/>
  <c r="O168" i="6" s="1"/>
  <c r="M168" i="6" l="1"/>
  <c r="N167" i="41"/>
  <c r="M167" i="41" l="1"/>
  <c r="P167" i="41" s="1"/>
  <c r="L169" i="6"/>
  <c r="K169" i="6" s="1"/>
  <c r="O169" i="6" s="1"/>
  <c r="M169" i="6" l="1"/>
  <c r="N168" i="41"/>
  <c r="M168" i="41" l="1"/>
  <c r="P168" i="41" s="1"/>
  <c r="L170" i="6"/>
  <c r="K170" i="6" s="1"/>
  <c r="O170" i="6" s="1"/>
  <c r="M170" i="6" l="1"/>
  <c r="N169" i="41"/>
  <c r="M169" i="41" l="1"/>
  <c r="P169" i="41" s="1"/>
  <c r="L171" i="6"/>
  <c r="K171" i="6" s="1"/>
  <c r="O171" i="6" s="1"/>
  <c r="N170" i="41" l="1"/>
  <c r="M171" i="6"/>
  <c r="M170" i="41" l="1"/>
  <c r="P170" i="41" s="1"/>
  <c r="L172" i="6"/>
  <c r="K172" i="6" s="1"/>
  <c r="O172" i="6" s="1"/>
  <c r="N171" i="41" l="1"/>
  <c r="M172" i="6"/>
  <c r="M171" i="41" l="1"/>
  <c r="P171" i="41" s="1"/>
  <c r="L173" i="6"/>
  <c r="K173" i="6" s="1"/>
  <c r="O173" i="6" s="1"/>
  <c r="N172" i="41" l="1"/>
  <c r="M173" i="6"/>
  <c r="M172" i="41" l="1"/>
  <c r="P172" i="41" s="1"/>
  <c r="L174" i="6"/>
  <c r="K174" i="6" s="1"/>
  <c r="O174" i="6" s="1"/>
  <c r="N173" i="41" l="1"/>
  <c r="M174" i="6"/>
  <c r="M173" i="41" l="1"/>
  <c r="P173" i="41" s="1"/>
  <c r="L175" i="6"/>
  <c r="K175" i="6" s="1"/>
  <c r="O175" i="6" s="1"/>
  <c r="N174" i="41" l="1"/>
  <c r="M175" i="6"/>
  <c r="M174" i="41" l="1"/>
  <c r="P174" i="41" s="1"/>
  <c r="L176" i="6"/>
  <c r="K176" i="6" s="1"/>
  <c r="O176" i="6" s="1"/>
  <c r="M176" i="6" l="1"/>
  <c r="N175" i="41"/>
  <c r="M175" i="41" l="1"/>
  <c r="P175" i="41" s="1"/>
  <c r="L177" i="6"/>
  <c r="K177" i="6" s="1"/>
  <c r="O177" i="6" s="1"/>
  <c r="N176" i="41" l="1"/>
  <c r="M177" i="6"/>
  <c r="M176" i="41" l="1"/>
  <c r="P176" i="41" s="1"/>
  <c r="L178" i="6"/>
  <c r="K178" i="6" s="1"/>
  <c r="O178" i="6" s="1"/>
  <c r="M178" i="6" l="1"/>
  <c r="N177" i="41"/>
  <c r="M177" i="41" l="1"/>
  <c r="P177" i="41" s="1"/>
  <c r="L179" i="6"/>
  <c r="K179" i="6" s="1"/>
  <c r="O179" i="6" s="1"/>
  <c r="N178" i="41" l="1"/>
  <c r="M179" i="6"/>
  <c r="M178" i="41" l="1"/>
  <c r="P178" i="41" s="1"/>
  <c r="L180" i="6"/>
  <c r="K180" i="6" s="1"/>
  <c r="O180" i="6" s="1"/>
  <c r="N179" i="41" l="1"/>
  <c r="M180" i="6"/>
  <c r="M179" i="41" l="1"/>
  <c r="P179" i="41" s="1"/>
  <c r="L181" i="6"/>
  <c r="K181" i="6" s="1"/>
  <c r="O181" i="6" s="1"/>
  <c r="M181" i="6" l="1"/>
  <c r="N180" i="41"/>
  <c r="M180" i="41" l="1"/>
  <c r="P180" i="41" s="1"/>
  <c r="L182" i="6"/>
  <c r="K182" i="6" s="1"/>
  <c r="O182" i="6" s="1"/>
  <c r="M182" i="6" l="1"/>
  <c r="N181" i="41"/>
  <c r="M181" i="41" l="1"/>
  <c r="P181" i="41" s="1"/>
  <c r="L183" i="6"/>
  <c r="K183" i="6" s="1"/>
  <c r="O183" i="6" s="1"/>
  <c r="N182" i="41" l="1"/>
  <c r="M183" i="6"/>
  <c r="M182" i="41" l="1"/>
  <c r="P182" i="41" s="1"/>
  <c r="L184" i="6"/>
  <c r="K184" i="6" s="1"/>
  <c r="O184" i="6" s="1"/>
  <c r="N183" i="41" l="1"/>
  <c r="M184" i="6"/>
  <c r="M183" i="41" l="1"/>
  <c r="P183" i="41" s="1"/>
  <c r="L185" i="6"/>
  <c r="K185" i="6" s="1"/>
  <c r="O185" i="6" s="1"/>
  <c r="M185" i="6" l="1"/>
  <c r="N184" i="41"/>
  <c r="M184" i="41" l="1"/>
  <c r="P184" i="41" s="1"/>
  <c r="L186" i="6"/>
  <c r="K186" i="6" s="1"/>
  <c r="O186" i="6" s="1"/>
  <c r="M186" i="6" l="1"/>
  <c r="N185" i="41"/>
  <c r="M185" i="41" l="1"/>
  <c r="P185" i="41" s="1"/>
  <c r="L187" i="6"/>
  <c r="K187" i="6" s="1"/>
  <c r="O187" i="6" s="1"/>
  <c r="N186" i="41" l="1"/>
  <c r="M187" i="6"/>
  <c r="M186" i="41" l="1"/>
  <c r="P186" i="41" s="1"/>
  <c r="L188" i="6"/>
  <c r="K188" i="6" s="1"/>
  <c r="O188" i="6" s="1"/>
  <c r="N187" i="41" l="1"/>
  <c r="M188" i="6"/>
  <c r="M187" i="41" l="1"/>
  <c r="P187" i="41" s="1"/>
  <c r="L189" i="6"/>
  <c r="K189" i="6" s="1"/>
  <c r="O189" i="6" s="1"/>
  <c r="M189" i="6" l="1"/>
  <c r="N188" i="41"/>
  <c r="M188" i="41" l="1"/>
  <c r="P188" i="41" s="1"/>
  <c r="L190" i="6"/>
  <c r="K190" i="6" s="1"/>
  <c r="O190" i="6" s="1"/>
  <c r="N189" i="41" l="1"/>
  <c r="M190" i="6"/>
  <c r="M189" i="41" l="1"/>
  <c r="P189" i="41" s="1"/>
  <c r="L191" i="6"/>
  <c r="K191" i="6" s="1"/>
  <c r="O191" i="6" s="1"/>
  <c r="M191" i="6" l="1"/>
  <c r="M190" i="41" s="1"/>
  <c r="P190" i="41" s="1"/>
  <c r="N190" i="41"/>
  <c r="AE48" i="6" l="1"/>
  <c r="P47" i="41" l="1"/>
  <c r="AG48" i="6"/>
  <c r="AF49" i="6" l="1"/>
  <c r="AE49" i="6" s="1"/>
  <c r="P48" i="41" s="1"/>
  <c r="AG49" i="6" l="1"/>
  <c r="AF50" i="6" l="1"/>
  <c r="AE50" i="6" s="1"/>
  <c r="P49" i="41" s="1"/>
  <c r="AG50" i="6" l="1"/>
  <c r="AF51" i="6" l="1"/>
  <c r="AE51" i="6" s="1"/>
  <c r="P50" i="41" s="1"/>
  <c r="AG51" i="6" l="1"/>
  <c r="AF52" i="6" l="1"/>
  <c r="AE52" i="6" s="1"/>
  <c r="P51" i="41" s="1"/>
  <c r="AG52" i="6" l="1"/>
  <c r="AF53" i="6" l="1"/>
  <c r="AE53" i="6" s="1"/>
  <c r="P52" i="41" s="1"/>
  <c r="AG53" i="6" l="1"/>
  <c r="AF54" i="6" l="1"/>
  <c r="AE54" i="6" s="1"/>
  <c r="P53" i="41" s="1"/>
  <c r="AG54" i="6" l="1"/>
  <c r="AF55" i="6" l="1"/>
  <c r="AE55" i="6" s="1"/>
  <c r="P54" i="41" s="1"/>
  <c r="AG55" i="6" l="1"/>
  <c r="AF56" i="6" l="1"/>
  <c r="AE56" i="6" s="1"/>
  <c r="P55" i="41" s="1"/>
  <c r="AG56" i="6" l="1"/>
  <c r="AF57" i="6" l="1"/>
  <c r="AE57" i="6" s="1"/>
  <c r="P56" i="41" s="1"/>
  <c r="AG57" i="6" l="1"/>
  <c r="AF58" i="6" l="1"/>
  <c r="AE58" i="6" s="1"/>
  <c r="P57" i="41" s="1"/>
  <c r="AG58" i="6" l="1"/>
  <c r="AF59" i="6" l="1"/>
  <c r="AE59" i="6" s="1"/>
  <c r="P58" i="41" s="1"/>
  <c r="AG59" i="6" l="1"/>
  <c r="AF60" i="6" l="1"/>
  <c r="AE60" i="6" s="1"/>
  <c r="P59" i="41" s="1"/>
  <c r="AG60" i="6" l="1"/>
  <c r="AF61" i="6" l="1"/>
  <c r="AE61" i="6" s="1"/>
  <c r="P60" i="41" s="1"/>
  <c r="AG61" i="6" l="1"/>
  <c r="AF62" i="6" l="1"/>
  <c r="AE62" i="6" s="1"/>
  <c r="P61" i="41" s="1"/>
  <c r="AG62" i="6" l="1"/>
  <c r="AF63" i="6" l="1"/>
  <c r="AE63" i="6" s="1"/>
  <c r="P62" i="41" s="1"/>
  <c r="AG63" i="6" l="1"/>
  <c r="AF64" i="6" l="1"/>
  <c r="AE64" i="6" s="1"/>
  <c r="P63" i="41" s="1"/>
  <c r="AG64" i="6" l="1"/>
  <c r="AF65" i="6" l="1"/>
  <c r="AE65" i="6" s="1"/>
  <c r="P64" i="41" s="1"/>
  <c r="AG65" i="6" l="1"/>
  <c r="AF66" i="6" l="1"/>
  <c r="AE66" i="6" s="1"/>
  <c r="P65" i="41" s="1"/>
  <c r="AG66" i="6" l="1"/>
  <c r="AF67" i="6" l="1"/>
  <c r="AE67" i="6" s="1"/>
  <c r="P66" i="41" s="1"/>
  <c r="AG67" i="6" l="1"/>
  <c r="AF68" i="6" l="1"/>
  <c r="AE68" i="6" s="1"/>
  <c r="P67" i="41" s="1"/>
  <c r="AG68" i="6" l="1"/>
  <c r="AF69" i="6" l="1"/>
  <c r="AE69" i="6" s="1"/>
  <c r="P68" i="41" s="1"/>
  <c r="AG69" i="6" l="1"/>
  <c r="AF70" i="6" l="1"/>
  <c r="AE70" i="6" s="1"/>
  <c r="P69" i="41" s="1"/>
  <c r="AG70" i="6" l="1"/>
  <c r="AF71" i="6" l="1"/>
  <c r="AE71" i="6" s="1"/>
  <c r="P70" i="41" s="1"/>
  <c r="AG71" i="6" l="1"/>
  <c r="AF72" i="6" l="1"/>
  <c r="AE72" i="6" s="1"/>
  <c r="P71" i="41" s="1"/>
  <c r="AG72" i="6" l="1"/>
  <c r="AF73" i="6" l="1"/>
  <c r="AE73" i="6" s="1"/>
  <c r="P72" i="41" s="1"/>
  <c r="AG73" i="6" l="1"/>
  <c r="AF74" i="6" l="1"/>
  <c r="AE74" i="6" s="1"/>
  <c r="P73" i="41" s="1"/>
  <c r="AG74" i="6" l="1"/>
  <c r="AF75" i="6" l="1"/>
  <c r="AE75" i="6" s="1"/>
  <c r="P74" i="41" s="1"/>
  <c r="AG75" i="6" l="1"/>
  <c r="AF76" i="6" l="1"/>
  <c r="AE76" i="6" s="1"/>
  <c r="P75" i="41" s="1"/>
  <c r="AG76" i="6" l="1"/>
  <c r="AF77" i="6" l="1"/>
  <c r="AE77" i="6" s="1"/>
  <c r="P76" i="41" s="1"/>
  <c r="AG77" i="6" l="1"/>
  <c r="AF78" i="6" l="1"/>
  <c r="AE78" i="6" s="1"/>
  <c r="P77" i="41" s="1"/>
  <c r="AG78" i="6" l="1"/>
  <c r="AF79" i="6" l="1"/>
  <c r="AE79" i="6" s="1"/>
  <c r="P78" i="41" s="1"/>
  <c r="AG79" i="6" l="1"/>
  <c r="AF80" i="6" l="1"/>
  <c r="AE80" i="6" s="1"/>
  <c r="P79" i="41" s="1"/>
  <c r="AG80" i="6" l="1"/>
  <c r="AF81" i="6" l="1"/>
  <c r="AE81" i="6" s="1"/>
  <c r="P80" i="41" s="1"/>
  <c r="AG81" i="6" l="1"/>
  <c r="AF82" i="6" l="1"/>
  <c r="AE82" i="6" s="1"/>
  <c r="P81" i="41" s="1"/>
  <c r="AG82" i="6" l="1"/>
  <c r="AF83" i="6" l="1"/>
  <c r="AE83" i="6" s="1"/>
  <c r="P82" i="41" s="1"/>
  <c r="AG83" i="6" l="1"/>
  <c r="AF84" i="6" l="1"/>
  <c r="AE84" i="6" s="1"/>
  <c r="P83" i="41" s="1"/>
  <c r="AG84" i="6" l="1"/>
  <c r="AF85" i="6" l="1"/>
  <c r="AE85" i="6" s="1"/>
  <c r="P84" i="41" s="1"/>
  <c r="AG85" i="6" l="1"/>
  <c r="AF86" i="6" l="1"/>
  <c r="AE86" i="6" s="1"/>
  <c r="P85" i="41" s="1"/>
  <c r="AG86" i="6" l="1"/>
  <c r="AF87" i="6" l="1"/>
  <c r="AE87" i="6" s="1"/>
  <c r="P86" i="41" s="1"/>
  <c r="AG87" i="6" l="1"/>
  <c r="AF88" i="6" l="1"/>
  <c r="AE88" i="6" s="1"/>
  <c r="P87" i="41" s="1"/>
  <c r="AG88" i="6" l="1"/>
  <c r="AF89" i="6" l="1"/>
  <c r="AE89" i="6" s="1"/>
  <c r="P88" i="41" s="1"/>
  <c r="AG89" i="6" l="1"/>
  <c r="AF90" i="6" l="1"/>
  <c r="AE90" i="6" s="1"/>
  <c r="P89" i="41" s="1"/>
  <c r="AG90" i="6" l="1"/>
  <c r="AF91" i="6" l="1"/>
  <c r="AE91" i="6" s="1"/>
  <c r="P90" i="41" s="1"/>
  <c r="AG91" i="6" l="1"/>
  <c r="AF92" i="6" l="1"/>
  <c r="AE92" i="6" s="1"/>
  <c r="P91" i="41" s="1"/>
  <c r="AG92" i="6" l="1"/>
  <c r="AF93" i="6" l="1"/>
  <c r="AE93" i="6" s="1"/>
  <c r="P92" i="41" s="1"/>
  <c r="AG93" i="6" l="1"/>
  <c r="AF94" i="6" l="1"/>
  <c r="AE94" i="6" s="1"/>
  <c r="P93" i="41" s="1"/>
  <c r="AG94" i="6" l="1"/>
  <c r="AF95" i="6" l="1"/>
  <c r="AE95" i="6" s="1"/>
  <c r="P94" i="41" s="1"/>
  <c r="AG95" i="6" l="1"/>
  <c r="AF96" i="6" l="1"/>
  <c r="AE96" i="6" s="1"/>
  <c r="P95" i="41" s="1"/>
  <c r="AG96" i="6" l="1"/>
  <c r="AF97" i="6" l="1"/>
  <c r="AE97" i="6" s="1"/>
  <c r="P96" i="41" s="1"/>
  <c r="AG97" i="6" l="1"/>
  <c r="AF98" i="6" l="1"/>
  <c r="AE98" i="6" s="1"/>
  <c r="P97" i="41" s="1"/>
  <c r="AG98" i="6" l="1"/>
  <c r="AF99" i="6" l="1"/>
  <c r="AE99" i="6" s="1"/>
  <c r="P98" i="41" s="1"/>
  <c r="AG99" i="6" l="1"/>
  <c r="AF100" i="6" l="1"/>
  <c r="AE100" i="6" s="1"/>
  <c r="P99" i="41" s="1"/>
  <c r="AG100" i="6" l="1"/>
  <c r="AF101" i="6" l="1"/>
  <c r="AE101" i="6" s="1"/>
  <c r="P100" i="41" s="1"/>
  <c r="AG101" i="6" l="1"/>
  <c r="AF102" i="6" l="1"/>
  <c r="AE102" i="6" s="1"/>
  <c r="P101" i="41" s="1"/>
  <c r="AG102" i="6" l="1"/>
  <c r="AF103" i="6" l="1"/>
  <c r="AE103" i="6" s="1"/>
  <c r="P102" i="41" s="1"/>
  <c r="AG103" i="6" l="1"/>
  <c r="AF104" i="6" l="1"/>
  <c r="AE104" i="6" s="1"/>
  <c r="P103" i="41" s="1"/>
  <c r="AG104" i="6" l="1"/>
  <c r="AF105" i="6" l="1"/>
  <c r="AE105" i="6" s="1"/>
  <c r="P104" i="41" s="1"/>
  <c r="AG105" i="6" l="1"/>
  <c r="AF106" i="6" l="1"/>
  <c r="AE106" i="6" s="1"/>
  <c r="P105" i="41" s="1"/>
  <c r="AG106" i="6" l="1"/>
  <c r="AF107" i="6" l="1"/>
  <c r="AE107" i="6" s="1"/>
  <c r="P106" i="41" s="1"/>
  <c r="AG107" i="6" l="1"/>
  <c r="AF108" i="6" l="1"/>
  <c r="AE108" i="6" s="1"/>
  <c r="P107" i="41" s="1"/>
  <c r="AG108" i="6" l="1"/>
  <c r="AF109" i="6" l="1"/>
  <c r="AE109" i="6" s="1"/>
  <c r="P108" i="41" s="1"/>
  <c r="AG109" i="6" l="1"/>
  <c r="AF110" i="6" l="1"/>
  <c r="AE110" i="6" s="1"/>
  <c r="P109" i="41" s="1"/>
  <c r="AG110" i="6" l="1"/>
  <c r="AF111" i="6" l="1"/>
  <c r="AE111" i="6" s="1"/>
  <c r="P110" i="41" s="1"/>
  <c r="AG111" i="6" l="1"/>
  <c r="AF112" i="6" l="1"/>
  <c r="AE112" i="6" s="1"/>
  <c r="P111" i="41" s="1"/>
  <c r="AG112" i="6" l="1"/>
  <c r="AF113" i="6" l="1"/>
  <c r="AE113" i="6" s="1"/>
  <c r="P112" i="41" s="1"/>
  <c r="AG113" i="6" l="1"/>
  <c r="AF114" i="6" l="1"/>
  <c r="AE114" i="6" s="1"/>
  <c r="P113" i="41" s="1"/>
  <c r="AG114" i="6" l="1"/>
  <c r="AF115" i="6" l="1"/>
  <c r="AE115" i="6" s="1"/>
  <c r="P114" i="41" s="1"/>
  <c r="AG115" i="6" l="1"/>
  <c r="AF116" i="6" l="1"/>
  <c r="AE116" i="6" s="1"/>
  <c r="P115" i="41" s="1"/>
  <c r="AG116" i="6" l="1"/>
  <c r="AF117" i="6" l="1"/>
  <c r="AE117" i="6" s="1"/>
  <c r="P116" i="41" s="1"/>
  <c r="AG117" i="6" l="1"/>
  <c r="AF118" i="6" l="1"/>
  <c r="AE118" i="6" s="1"/>
  <c r="P117" i="41" s="1"/>
  <c r="AG118" i="6" l="1"/>
  <c r="AF119" i="6" l="1"/>
  <c r="AE119" i="6" s="1"/>
  <c r="P118" i="41" s="1"/>
  <c r="AG119" i="6" l="1"/>
  <c r="AF120" i="6" l="1"/>
  <c r="AE120" i="6" s="1"/>
  <c r="P119" i="41" s="1"/>
  <c r="AG120" i="6" l="1"/>
  <c r="AF121" i="6" l="1"/>
  <c r="AE121" i="6" s="1"/>
  <c r="P120" i="41" s="1"/>
  <c r="AG121" i="6" l="1"/>
  <c r="AF122" i="6" l="1"/>
  <c r="AE122" i="6" s="1"/>
  <c r="P121" i="41" s="1"/>
  <c r="AG122" i="6" l="1"/>
  <c r="AF123" i="6" l="1"/>
  <c r="AE123" i="6" s="1"/>
  <c r="P122" i="41" s="1"/>
  <c r="AG123" i="6" l="1"/>
  <c r="AF124" i="6" l="1"/>
  <c r="AE124" i="6" s="1"/>
  <c r="P123" i="41" s="1"/>
  <c r="AG124" i="6" l="1"/>
  <c r="AF125" i="6" l="1"/>
  <c r="AE125" i="6" s="1"/>
  <c r="P124" i="41" s="1"/>
  <c r="AG125" i="6" l="1"/>
  <c r="AF126" i="6" l="1"/>
  <c r="AE126" i="6" s="1"/>
  <c r="P125" i="41" s="1"/>
  <c r="AG126" i="6" l="1"/>
  <c r="AF127" i="6" l="1"/>
  <c r="AE127" i="6" s="1"/>
  <c r="P126" i="41" s="1"/>
  <c r="AG127" i="6" l="1"/>
  <c r="AF128" i="6" l="1"/>
  <c r="AE128" i="6" s="1"/>
  <c r="P127" i="41" s="1"/>
  <c r="AG128" i="6" l="1"/>
  <c r="AF129" i="6" l="1"/>
  <c r="AE129" i="6" s="1"/>
  <c r="P128" i="41" s="1"/>
  <c r="AG129" i="6" l="1"/>
  <c r="AF130" i="6" l="1"/>
  <c r="AE130" i="6" s="1"/>
  <c r="P129" i="41" s="1"/>
  <c r="AG130" i="6" l="1"/>
  <c r="AF131" i="6" l="1"/>
  <c r="AE131" i="6" s="1"/>
  <c r="P130" i="41" s="1"/>
  <c r="AG131" i="6" l="1"/>
  <c r="AH5" i="6" l="1"/>
  <c r="P131" i="41"/>
  <c r="Q132" i="6" l="1"/>
  <c r="Q133" i="6"/>
  <c r="O133" i="41"/>
  <c r="Q135" i="6"/>
  <c r="Q136" i="6"/>
  <c r="O135" i="41" s="1"/>
  <c r="Q137" i="6"/>
  <c r="Q138" i="6"/>
  <c r="Q139" i="6"/>
  <c r="Q140" i="6"/>
  <c r="Q141" i="6"/>
  <c r="Q142" i="6"/>
  <c r="Q143" i="6"/>
  <c r="Q144" i="6"/>
  <c r="O143" i="41" s="1"/>
  <c r="Q145" i="6"/>
  <c r="Q146" i="6"/>
  <c r="Q147" i="6"/>
  <c r="Q148" i="6"/>
  <c r="Q149" i="6"/>
  <c r="Q150" i="6"/>
  <c r="Q151" i="6"/>
  <c r="Q152" i="6"/>
  <c r="O151" i="41" s="1"/>
  <c r="Q153" i="6"/>
  <c r="Q154" i="6"/>
  <c r="Q155" i="6"/>
  <c r="Q156" i="6"/>
  <c r="Q157" i="6"/>
  <c r="AW157" i="6" s="1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AW174" i="6" s="1"/>
  <c r="Q175" i="6"/>
  <c r="Q176" i="6"/>
  <c r="O175" i="41" s="1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U133" i="6"/>
  <c r="U134" i="6"/>
  <c r="U136" i="6"/>
  <c r="U138" i="6"/>
  <c r="U139" i="6"/>
  <c r="U140" i="6"/>
  <c r="U143" i="6"/>
  <c r="U146" i="6"/>
  <c r="U149" i="6"/>
  <c r="U152" i="6"/>
  <c r="U154" i="6"/>
  <c r="U156" i="6"/>
  <c r="U157" i="6"/>
  <c r="U159" i="6"/>
  <c r="U162" i="6"/>
  <c r="U164" i="6"/>
  <c r="U167" i="6"/>
  <c r="U168" i="6"/>
  <c r="U174" i="6"/>
  <c r="U175" i="6"/>
  <c r="U176" i="6"/>
  <c r="U177" i="6"/>
  <c r="U182" i="6"/>
  <c r="U188" i="6"/>
  <c r="U189" i="6"/>
  <c r="U191" i="6"/>
  <c r="V191" i="6"/>
  <c r="V133" i="6"/>
  <c r="V134" i="6"/>
  <c r="V136" i="6"/>
  <c r="V139" i="6"/>
  <c r="V140" i="6"/>
  <c r="V143" i="6"/>
  <c r="V146" i="6"/>
  <c r="V149" i="6"/>
  <c r="V152" i="6"/>
  <c r="V154" i="6"/>
  <c r="V156" i="6"/>
  <c r="V157" i="6"/>
  <c r="V159" i="6"/>
  <c r="V162" i="6"/>
  <c r="V164" i="6"/>
  <c r="V165" i="6"/>
  <c r="V167" i="6"/>
  <c r="V168" i="6"/>
  <c r="V170" i="6"/>
  <c r="V174" i="6"/>
  <c r="V175" i="6"/>
  <c r="V176" i="6"/>
  <c r="V182" i="6"/>
  <c r="V183" i="6"/>
  <c r="V185" i="6"/>
  <c r="V188" i="6"/>
  <c r="V189" i="6"/>
  <c r="O181" i="41"/>
  <c r="O142" i="41"/>
  <c r="AW134" i="6"/>
  <c r="O173" i="41" l="1"/>
  <c r="AW175" i="6"/>
  <c r="AW167" i="6"/>
  <c r="X186" i="6"/>
  <c r="X178" i="6"/>
  <c r="AJ178" i="6" s="1"/>
  <c r="X170" i="6"/>
  <c r="AJ170" i="6" s="1"/>
  <c r="X162" i="6"/>
  <c r="AJ162" i="6" s="1"/>
  <c r="X138" i="6"/>
  <c r="AJ138" i="6" s="1"/>
  <c r="X139" i="6"/>
  <c r="AX139" i="6" s="1"/>
  <c r="BA139" i="6" s="1"/>
  <c r="X185" i="6"/>
  <c r="AJ185" i="6" s="1"/>
  <c r="X177" i="6"/>
  <c r="AJ177" i="6" s="1"/>
  <c r="X161" i="6"/>
  <c r="AJ161" i="6" s="1"/>
  <c r="X153" i="6"/>
  <c r="AJ153" i="6" s="1"/>
  <c r="X145" i="6"/>
  <c r="AJ145" i="6" s="1"/>
  <c r="X147" i="6"/>
  <c r="AJ147" i="6" s="1"/>
  <c r="X184" i="6"/>
  <c r="AJ184" i="6" s="1"/>
  <c r="X160" i="6"/>
  <c r="AJ160" i="6" s="1"/>
  <c r="X144" i="6"/>
  <c r="AJ144" i="6" s="1"/>
  <c r="X179" i="6"/>
  <c r="AJ179" i="6" s="1"/>
  <c r="X151" i="6"/>
  <c r="AJ151" i="6" s="1"/>
  <c r="X135" i="6"/>
  <c r="AJ135" i="6" s="1"/>
  <c r="X155" i="6"/>
  <c r="AJ155" i="6" s="1"/>
  <c r="X190" i="6"/>
  <c r="AJ190" i="6" s="1"/>
  <c r="X182" i="6"/>
  <c r="AJ182" i="6" s="1"/>
  <c r="X174" i="6"/>
  <c r="AJ174" i="6" s="1"/>
  <c r="X166" i="6"/>
  <c r="AJ166" i="6" s="1"/>
  <c r="X158" i="6"/>
  <c r="AJ158" i="6" s="1"/>
  <c r="X150" i="6"/>
  <c r="AJ150" i="6" s="1"/>
  <c r="X142" i="6"/>
  <c r="AJ142" i="6" s="1"/>
  <c r="X134" i="6"/>
  <c r="AJ134" i="6" s="1"/>
  <c r="X171" i="6"/>
  <c r="AJ171" i="6" s="1"/>
  <c r="X181" i="6"/>
  <c r="AJ181" i="6" s="1"/>
  <c r="X173" i="6"/>
  <c r="AJ173" i="6" s="1"/>
  <c r="X165" i="6"/>
  <c r="AJ165" i="6" s="1"/>
  <c r="X157" i="6"/>
  <c r="AJ157" i="6" s="1"/>
  <c r="X149" i="6"/>
  <c r="AJ149" i="6" s="1"/>
  <c r="X141" i="6"/>
  <c r="AJ141" i="6" s="1"/>
  <c r="X133" i="6"/>
  <c r="AJ133" i="6" s="1"/>
  <c r="X187" i="6"/>
  <c r="AJ187" i="6" s="1"/>
  <c r="X188" i="6"/>
  <c r="AJ188" i="6" s="1"/>
  <c r="X180" i="6"/>
  <c r="AJ180" i="6" s="1"/>
  <c r="X172" i="6"/>
  <c r="AJ172" i="6" s="1"/>
  <c r="X164" i="6"/>
  <c r="AJ164" i="6" s="1"/>
  <c r="X156" i="6"/>
  <c r="AJ156" i="6" s="1"/>
  <c r="X148" i="6"/>
  <c r="AJ148" i="6" s="1"/>
  <c r="X132" i="6"/>
  <c r="AJ132" i="6" s="1"/>
  <c r="O148" i="41"/>
  <c r="AW133" i="6"/>
  <c r="AW149" i="6"/>
  <c r="AW153" i="6"/>
  <c r="O156" i="41"/>
  <c r="AW163" i="6"/>
  <c r="X163" i="6"/>
  <c r="AJ163" i="6" s="1"/>
  <c r="AW154" i="6"/>
  <c r="X154" i="6"/>
  <c r="AJ154" i="6" s="1"/>
  <c r="O145" i="41"/>
  <c r="X146" i="6"/>
  <c r="AJ146" i="6" s="1"/>
  <c r="AW169" i="6"/>
  <c r="X169" i="6"/>
  <c r="AJ169" i="6" s="1"/>
  <c r="O136" i="41"/>
  <c r="X137" i="6"/>
  <c r="AJ137" i="6" s="1"/>
  <c r="AW176" i="6"/>
  <c r="X176" i="6"/>
  <c r="AJ176" i="6" s="1"/>
  <c r="AW168" i="6"/>
  <c r="X168" i="6"/>
  <c r="AJ168" i="6" s="1"/>
  <c r="AW152" i="6"/>
  <c r="X152" i="6"/>
  <c r="AJ152" i="6" s="1"/>
  <c r="AW136" i="6"/>
  <c r="X136" i="6"/>
  <c r="AJ136" i="6" s="1"/>
  <c r="AW140" i="6"/>
  <c r="X140" i="6"/>
  <c r="AJ140" i="6" s="1"/>
  <c r="AW182" i="6"/>
  <c r="O190" i="41"/>
  <c r="X191" i="6"/>
  <c r="AJ191" i="6" s="1"/>
  <c r="AW183" i="6"/>
  <c r="X183" i="6"/>
  <c r="AJ183" i="6" s="1"/>
  <c r="O174" i="41"/>
  <c r="X175" i="6"/>
  <c r="AJ175" i="6" s="1"/>
  <c r="O166" i="41"/>
  <c r="X167" i="6"/>
  <c r="AJ167" i="6" s="1"/>
  <c r="AW159" i="6"/>
  <c r="X159" i="6"/>
  <c r="AJ159" i="6" s="1"/>
  <c r="AW143" i="6"/>
  <c r="X143" i="6"/>
  <c r="AJ143" i="6" s="1"/>
  <c r="O188" i="41"/>
  <c r="X189" i="6"/>
  <c r="AJ189" i="6" s="1"/>
  <c r="AW146" i="6"/>
  <c r="O167" i="41"/>
  <c r="AW189" i="6"/>
  <c r="O158" i="41"/>
  <c r="O182" i="41"/>
  <c r="O138" i="41"/>
  <c r="V161" i="6"/>
  <c r="U153" i="6"/>
  <c r="V145" i="6"/>
  <c r="U170" i="6"/>
  <c r="AW139" i="6"/>
  <c r="AW137" i="6"/>
  <c r="AW191" i="6"/>
  <c r="V178" i="6"/>
  <c r="O161" i="41"/>
  <c r="O169" i="41"/>
  <c r="O164" i="41"/>
  <c r="U141" i="6"/>
  <c r="O185" i="41"/>
  <c r="AW162" i="6"/>
  <c r="AW170" i="6"/>
  <c r="AW188" i="6"/>
  <c r="V180" i="6"/>
  <c r="U172" i="6"/>
  <c r="O132" i="41"/>
  <c r="O153" i="41"/>
  <c r="AW187" i="6"/>
  <c r="O170" i="41"/>
  <c r="O139" i="41"/>
  <c r="AW156" i="6"/>
  <c r="O155" i="41"/>
  <c r="AW164" i="6"/>
  <c r="O163" i="41"/>
  <c r="O187" i="41"/>
  <c r="V163" i="6"/>
  <c r="U186" i="6"/>
  <c r="V147" i="6"/>
  <c r="V132" i="6"/>
  <c r="U163" i="6"/>
  <c r="AW132" i="6"/>
  <c r="AW147" i="6"/>
  <c r="U147" i="6"/>
  <c r="O131" i="41"/>
  <c r="O146" i="41"/>
  <c r="U132" i="6"/>
  <c r="O154" i="41"/>
  <c r="AW186" i="6"/>
  <c r="V186" i="6"/>
  <c r="AW155" i="6"/>
  <c r="V155" i="6"/>
  <c r="O162" i="41"/>
  <c r="U155" i="6"/>
  <c r="O137" i="41"/>
  <c r="O152" i="41"/>
  <c r="AW138" i="6"/>
  <c r="V153" i="6"/>
  <c r="V138" i="6"/>
  <c r="U169" i="6"/>
  <c r="U145" i="6"/>
  <c r="AW145" i="6"/>
  <c r="O144" i="41"/>
  <c r="V169" i="6"/>
  <c r="O168" i="41"/>
  <c r="V142" i="6"/>
  <c r="U150" i="6"/>
  <c r="AW173" i="6"/>
  <c r="U173" i="6"/>
  <c r="U158" i="6"/>
  <c r="O172" i="41"/>
  <c r="AW180" i="6"/>
  <c r="O186" i="41"/>
  <c r="V173" i="6"/>
  <c r="V150" i="6"/>
  <c r="AW142" i="6"/>
  <c r="O179" i="41"/>
  <c r="O141" i="41"/>
  <c r="AW150" i="6"/>
  <c r="AW158" i="6"/>
  <c r="U180" i="6"/>
  <c r="O149" i="41"/>
  <c r="U142" i="6"/>
  <c r="U178" i="6"/>
  <c r="U137" i="6"/>
  <c r="V151" i="6"/>
  <c r="O165" i="41"/>
  <c r="AW178" i="6"/>
  <c r="O184" i="41"/>
  <c r="V158" i="6"/>
  <c r="U166" i="6"/>
  <c r="O177" i="41"/>
  <c r="AW185" i="6"/>
  <c r="AW151" i="6"/>
  <c r="AW166" i="6"/>
  <c r="V166" i="6"/>
  <c r="V137" i="6"/>
  <c r="U185" i="6"/>
  <c r="O150" i="41"/>
  <c r="U183" i="6"/>
  <c r="O157" i="41"/>
  <c r="U151" i="6"/>
  <c r="AW172" i="6"/>
  <c r="O183" i="41"/>
  <c r="AW190" i="6"/>
  <c r="V184" i="6"/>
  <c r="V148" i="6"/>
  <c r="U148" i="6"/>
  <c r="O171" i="41"/>
  <c r="AW184" i="6"/>
  <c r="O189" i="41"/>
  <c r="AW135" i="6"/>
  <c r="AW141" i="6"/>
  <c r="V172" i="6"/>
  <c r="U184" i="6"/>
  <c r="O134" i="41"/>
  <c r="O140" i="41"/>
  <c r="V190" i="6"/>
  <c r="AW177" i="6"/>
  <c r="V135" i="6"/>
  <c r="U135" i="6"/>
  <c r="AW148" i="6"/>
  <c r="O176" i="41"/>
  <c r="V177" i="6"/>
  <c r="U190" i="6"/>
  <c r="O147" i="41"/>
  <c r="V141" i="6"/>
  <c r="AW165" i="6"/>
  <c r="V181" i="6"/>
  <c r="U165" i="6"/>
  <c r="AW181" i="6"/>
  <c r="AW160" i="6"/>
  <c r="O180" i="41"/>
  <c r="U181" i="6"/>
  <c r="O159" i="41"/>
  <c r="V160" i="6"/>
  <c r="V144" i="6"/>
  <c r="U160" i="6"/>
  <c r="U144" i="6"/>
  <c r="AW144" i="6"/>
  <c r="U171" i="6"/>
  <c r="V171" i="6"/>
  <c r="AW171" i="6"/>
  <c r="U179" i="6"/>
  <c r="V179" i="6"/>
  <c r="AW179" i="6"/>
  <c r="O178" i="41"/>
  <c r="U187" i="6"/>
  <c r="V187" i="6"/>
  <c r="O160" i="41"/>
  <c r="AW161" i="6"/>
  <c r="U161" i="6"/>
  <c r="AJ186" i="6" l="1"/>
  <c r="AO186" i="6" s="1"/>
  <c r="AO170" i="6"/>
  <c r="AJ139" i="6"/>
  <c r="AQ139" i="6" s="1"/>
  <c r="AX157" i="6"/>
  <c r="BA157" i="6" s="1"/>
  <c r="AX179" i="6"/>
  <c r="BA179" i="6" s="1"/>
  <c r="AX149" i="6"/>
  <c r="BA149" i="6" s="1"/>
  <c r="BF139" i="6"/>
  <c r="BG139" i="6" s="1"/>
  <c r="BH139" i="6" s="1"/>
  <c r="AO155" i="6"/>
  <c r="AR155" i="6"/>
  <c r="AZ163" i="6"/>
  <c r="BC163" i="6" s="1"/>
  <c r="AO163" i="6"/>
  <c r="AQ163" i="6"/>
  <c r="AR163" i="6"/>
  <c r="AZ154" i="6"/>
  <c r="BC154" i="6" s="1"/>
  <c r="AR154" i="6"/>
  <c r="AQ154" i="6"/>
  <c r="AO154" i="6"/>
  <c r="AQ134" i="6"/>
  <c r="AO134" i="6"/>
  <c r="AQ147" i="6"/>
  <c r="AR147" i="6"/>
  <c r="AO147" i="6"/>
  <c r="AZ147" i="6"/>
  <c r="BC147" i="6" s="1"/>
  <c r="AQ181" i="6"/>
  <c r="AO181" i="6"/>
  <c r="AR181" i="6"/>
  <c r="AZ181" i="6"/>
  <c r="BC181" i="6" s="1"/>
  <c r="AZ189" i="6"/>
  <c r="BC189" i="6" s="1"/>
  <c r="AR189" i="6"/>
  <c r="AQ189" i="6"/>
  <c r="AO189" i="6"/>
  <c r="AO139" i="6"/>
  <c r="AO178" i="6"/>
  <c r="AQ178" i="6"/>
  <c r="AX151" i="6"/>
  <c r="BA151" i="6" s="1"/>
  <c r="AX140" i="6"/>
  <c r="AZ134" i="6"/>
  <c r="BC134" i="6" s="1"/>
  <c r="AR134" i="6"/>
  <c r="AX182" i="6"/>
  <c r="AQ155" i="6"/>
  <c r="AZ155" i="6"/>
  <c r="BC155" i="6" s="1"/>
  <c r="AX185" i="6"/>
  <c r="BA185" i="6" s="1"/>
  <c r="AX150" i="6"/>
  <c r="BA150" i="6" s="1"/>
  <c r="AX137" i="6"/>
  <c r="BA137" i="6" s="1"/>
  <c r="AZ137" i="6"/>
  <c r="BC137" i="6" s="1"/>
  <c r="AX183" i="6"/>
  <c r="AX168" i="6"/>
  <c r="AZ191" i="6"/>
  <c r="BC191" i="6" s="1"/>
  <c r="AR191" i="6"/>
  <c r="AQ191" i="6"/>
  <c r="AO191" i="6"/>
  <c r="AX172" i="6"/>
  <c r="BA172" i="6" s="1"/>
  <c r="AQ172" i="6"/>
  <c r="AX153" i="6"/>
  <c r="AQ153" i="6"/>
  <c r="AX163" i="6"/>
  <c r="AX141" i="6"/>
  <c r="BA141" i="6" s="1"/>
  <c r="AX173" i="6"/>
  <c r="BA173" i="6" s="1"/>
  <c r="AX162" i="6"/>
  <c r="BA162" i="6" s="1"/>
  <c r="AX170" i="6"/>
  <c r="BA170" i="6" s="1"/>
  <c r="AX132" i="6"/>
  <c r="BA132" i="6" s="1"/>
  <c r="AX148" i="6"/>
  <c r="BA148" i="6" s="1"/>
  <c r="AX180" i="6"/>
  <c r="BA180" i="6" s="1"/>
  <c r="AX146" i="6"/>
  <c r="AX178" i="6"/>
  <c r="BA178" i="6" s="1"/>
  <c r="AX158" i="6"/>
  <c r="BA158" i="6" s="1"/>
  <c r="AX190" i="6"/>
  <c r="BA190" i="6" s="1"/>
  <c r="AX159" i="6"/>
  <c r="AX191" i="6"/>
  <c r="BA191" i="6" s="1"/>
  <c r="AX144" i="6"/>
  <c r="BA144" i="6" s="1"/>
  <c r="AX176" i="6"/>
  <c r="AX161" i="6"/>
  <c r="BA161" i="6" s="1"/>
  <c r="AX171" i="6"/>
  <c r="BA171" i="6" s="1"/>
  <c r="AX154" i="6"/>
  <c r="AX181" i="6"/>
  <c r="BA181" i="6" s="1"/>
  <c r="AX156" i="6"/>
  <c r="BA156" i="6" s="1"/>
  <c r="AX188" i="6"/>
  <c r="BA188" i="6" s="1"/>
  <c r="AX186" i="6"/>
  <c r="BA186" i="6" s="1"/>
  <c r="AX135" i="6"/>
  <c r="BA135" i="6" s="1"/>
  <c r="AX166" i="6"/>
  <c r="BA166" i="6" s="1"/>
  <c r="AX136" i="6"/>
  <c r="AX167" i="6"/>
  <c r="AX152" i="6"/>
  <c r="AX184" i="6"/>
  <c r="BA184" i="6" s="1"/>
  <c r="AX138" i="6"/>
  <c r="BA138" i="6" s="1"/>
  <c r="AX169" i="6"/>
  <c r="AR139" i="6"/>
  <c r="AX147" i="6"/>
  <c r="BA147" i="6" s="1"/>
  <c r="AX189" i="6"/>
  <c r="AX133" i="6"/>
  <c r="AX164" i="6"/>
  <c r="BA164" i="6" s="1"/>
  <c r="AX142" i="6"/>
  <c r="BA142" i="6" s="1"/>
  <c r="AX174" i="6"/>
  <c r="AX143" i="6"/>
  <c r="AX175" i="6"/>
  <c r="AX160" i="6"/>
  <c r="BA160" i="6" s="1"/>
  <c r="AX145" i="6"/>
  <c r="BA145" i="6" s="1"/>
  <c r="AX177" i="6"/>
  <c r="BA177" i="6" s="1"/>
  <c r="AX155" i="6"/>
  <c r="BA155" i="6" s="1"/>
  <c r="AX187" i="6"/>
  <c r="BA187" i="6" s="1"/>
  <c r="AX134" i="6"/>
  <c r="AX165" i="6"/>
  <c r="BA165" i="6" s="1"/>
  <c r="AQ170" i="6"/>
  <c r="AZ187" i="6"/>
  <c r="BC187" i="6" s="1"/>
  <c r="AQ187" i="6"/>
  <c r="AO187" i="6"/>
  <c r="AR187" i="6"/>
  <c r="AZ178" i="6"/>
  <c r="BC178" i="6" s="1"/>
  <c r="AR178" i="6"/>
  <c r="AR170" i="6"/>
  <c r="AZ157" i="6"/>
  <c r="BC157" i="6" s="1"/>
  <c r="AO157" i="6"/>
  <c r="AQ157" i="6"/>
  <c r="AR157" i="6"/>
  <c r="AZ179" i="6"/>
  <c r="BC179" i="6" s="1"/>
  <c r="AQ179" i="6"/>
  <c r="AO179" i="6"/>
  <c r="AR179" i="6"/>
  <c r="AZ171" i="6"/>
  <c r="BC171" i="6" s="1"/>
  <c r="AO171" i="6"/>
  <c r="AQ171" i="6"/>
  <c r="AR171" i="6"/>
  <c r="AZ153" i="6"/>
  <c r="BC153" i="6" s="1"/>
  <c r="AO153" i="6"/>
  <c r="AZ145" i="6"/>
  <c r="BC145" i="6" s="1"/>
  <c r="AQ145" i="6"/>
  <c r="AR145" i="6"/>
  <c r="AO145" i="6"/>
  <c r="AZ149" i="6"/>
  <c r="BC149" i="6" s="1"/>
  <c r="AO149" i="6"/>
  <c r="AQ149" i="6"/>
  <c r="AR149" i="6"/>
  <c r="AZ170" i="6"/>
  <c r="BC170" i="6" s="1"/>
  <c r="AZ133" i="6"/>
  <c r="BC133" i="6" s="1"/>
  <c r="AR133" i="6"/>
  <c r="AQ133" i="6"/>
  <c r="AO133" i="6"/>
  <c r="AZ180" i="6"/>
  <c r="BC180" i="6" s="1"/>
  <c r="AR180" i="6"/>
  <c r="AQ180" i="6"/>
  <c r="AO180" i="6"/>
  <c r="AZ161" i="6"/>
  <c r="BC161" i="6" s="1"/>
  <c r="AQ161" i="6"/>
  <c r="AO161" i="6"/>
  <c r="AR161" i="6"/>
  <c r="AZ141" i="6"/>
  <c r="BC141" i="6" s="1"/>
  <c r="AR141" i="6"/>
  <c r="AQ141" i="6"/>
  <c r="AO141" i="6"/>
  <c r="AZ165" i="6"/>
  <c r="BC165" i="6" s="1"/>
  <c r="AR165" i="6"/>
  <c r="AO165" i="6"/>
  <c r="AQ165" i="6"/>
  <c r="AZ188" i="6"/>
  <c r="BC188" i="6" s="1"/>
  <c r="AQ188" i="6"/>
  <c r="AR188" i="6"/>
  <c r="AO188" i="6"/>
  <c r="AQ186" i="6" l="1"/>
  <c r="AR186" i="6"/>
  <c r="AZ186" i="6"/>
  <c r="BC186" i="6" s="1"/>
  <c r="BF156" i="6"/>
  <c r="BG156" i="6" s="1"/>
  <c r="BH156" i="6" s="1"/>
  <c r="BF149" i="6"/>
  <c r="BG149" i="6" s="1"/>
  <c r="BH149" i="6" s="1"/>
  <c r="AZ139" i="6"/>
  <c r="BC139" i="6" s="1"/>
  <c r="BF157" i="6"/>
  <c r="BG157" i="6" s="1"/>
  <c r="BH157" i="6" s="1"/>
  <c r="BF180" i="6"/>
  <c r="BG180" i="6" s="1"/>
  <c r="BH180" i="6" s="1"/>
  <c r="BF179" i="6"/>
  <c r="BG179" i="6" s="1"/>
  <c r="BH179" i="6" s="1"/>
  <c r="BF185" i="6"/>
  <c r="BG185" i="6" s="1"/>
  <c r="BH185" i="6" s="1"/>
  <c r="AR153" i="6"/>
  <c r="AR137" i="6"/>
  <c r="AQ137" i="6"/>
  <c r="AO137" i="6"/>
  <c r="BF132" i="6"/>
  <c r="BG132" i="6" s="1"/>
  <c r="BH132" i="6" s="1"/>
  <c r="BF158" i="6"/>
  <c r="BG158" i="6" s="1"/>
  <c r="BH158" i="6" s="1"/>
  <c r="BF162" i="6"/>
  <c r="BG162" i="6" s="1"/>
  <c r="BH162" i="6" s="1"/>
  <c r="BF135" i="6"/>
  <c r="BG135" i="6" s="1"/>
  <c r="BH135" i="6" s="1"/>
  <c r="BF191" i="6"/>
  <c r="BG191" i="6" s="1"/>
  <c r="BH191" i="6" s="1"/>
  <c r="AO172" i="6"/>
  <c r="AZ172" i="6"/>
  <c r="BC172" i="6" s="1"/>
  <c r="BF178" i="6"/>
  <c r="BG178" i="6" s="1"/>
  <c r="BH178" i="6" s="1"/>
  <c r="BF171" i="6"/>
  <c r="BG171" i="6" s="1"/>
  <c r="BH171" i="6" s="1"/>
  <c r="BF173" i="6"/>
  <c r="BG173" i="6" s="1"/>
  <c r="BH173" i="6" s="1"/>
  <c r="AR172" i="6"/>
  <c r="BF148" i="6"/>
  <c r="BG148" i="6" s="1"/>
  <c r="BH148" i="6" s="1"/>
  <c r="BF150" i="6"/>
  <c r="BG150" i="6" s="1"/>
  <c r="BH150" i="6" s="1"/>
  <c r="BF188" i="6"/>
  <c r="BG188" i="6" s="1"/>
  <c r="BH188" i="6" s="1"/>
  <c r="BF172" i="6"/>
  <c r="BG172" i="6" s="1"/>
  <c r="BH172" i="6" s="1"/>
  <c r="BF187" i="6"/>
  <c r="BG187" i="6" s="1"/>
  <c r="BH187" i="6" s="1"/>
  <c r="BF151" i="6"/>
  <c r="BG151" i="6" s="1"/>
  <c r="BH151" i="6" s="1"/>
  <c r="BF184" i="6"/>
  <c r="BG184" i="6" s="1"/>
  <c r="BH184" i="6" s="1"/>
  <c r="AZ174" i="6"/>
  <c r="BC174" i="6" s="1"/>
  <c r="AR174" i="6"/>
  <c r="AO174" i="6"/>
  <c r="AQ174" i="6"/>
  <c r="AZ138" i="6"/>
  <c r="BC138" i="6" s="1"/>
  <c r="AQ138" i="6"/>
  <c r="AO138" i="6"/>
  <c r="AR138" i="6"/>
  <c r="AQ140" i="6"/>
  <c r="AR140" i="6"/>
  <c r="AZ140" i="6"/>
  <c r="BC140" i="6" s="1"/>
  <c r="AO140" i="6"/>
  <c r="AZ142" i="6"/>
  <c r="BC142" i="6" s="1"/>
  <c r="AQ142" i="6"/>
  <c r="AO142" i="6"/>
  <c r="AR142" i="6"/>
  <c r="AZ184" i="6"/>
  <c r="BC184" i="6" s="1"/>
  <c r="AQ184" i="6"/>
  <c r="AR184" i="6"/>
  <c r="AO184" i="6"/>
  <c r="AZ146" i="6"/>
  <c r="BC146" i="6" s="1"/>
  <c r="AQ146" i="6"/>
  <c r="AO146" i="6"/>
  <c r="AR146" i="6"/>
  <c r="BF190" i="6"/>
  <c r="BG190" i="6" s="1"/>
  <c r="BH190" i="6" s="1"/>
  <c r="BA153" i="6"/>
  <c r="BF153" i="6"/>
  <c r="BG153" i="6" s="1"/>
  <c r="BH153" i="6" s="1"/>
  <c r="AO152" i="6"/>
  <c r="AZ152" i="6"/>
  <c r="BC152" i="6" s="1"/>
  <c r="AR152" i="6"/>
  <c r="AQ152" i="6"/>
  <c r="AZ156" i="6"/>
  <c r="BC156" i="6" s="1"/>
  <c r="AO156" i="6"/>
  <c r="AR156" i="6"/>
  <c r="AQ156" i="6"/>
  <c r="BA136" i="6"/>
  <c r="BF136" i="6"/>
  <c r="BG136" i="6" s="1"/>
  <c r="BH136" i="6" s="1"/>
  <c r="AZ144" i="6"/>
  <c r="BC144" i="6" s="1"/>
  <c r="AR144" i="6"/>
  <c r="AQ144" i="6"/>
  <c r="AO144" i="6"/>
  <c r="AZ148" i="6"/>
  <c r="BC148" i="6" s="1"/>
  <c r="AO148" i="6"/>
  <c r="AR148" i="6"/>
  <c r="AQ148" i="6"/>
  <c r="BF160" i="6"/>
  <c r="BG160" i="6" s="1"/>
  <c r="BH160" i="6" s="1"/>
  <c r="BF137" i="6"/>
  <c r="BG137" i="6" s="1"/>
  <c r="BH137" i="6" s="1"/>
  <c r="BA163" i="6"/>
  <c r="BF163" i="6"/>
  <c r="BG163" i="6" s="1"/>
  <c r="BH163" i="6" s="1"/>
  <c r="AZ150" i="6"/>
  <c r="BC150" i="6" s="1"/>
  <c r="AR150" i="6"/>
  <c r="AO150" i="6"/>
  <c r="AQ150" i="6"/>
  <c r="BA140" i="6"/>
  <c r="BF140" i="6"/>
  <c r="BG140" i="6" s="1"/>
  <c r="BH140" i="6" s="1"/>
  <c r="BA189" i="6"/>
  <c r="BF189" i="6"/>
  <c r="BG189" i="6" s="1"/>
  <c r="BH189" i="6" s="1"/>
  <c r="BA167" i="6"/>
  <c r="BF167" i="6"/>
  <c r="BG167" i="6" s="1"/>
  <c r="BH167" i="6" s="1"/>
  <c r="BA174" i="6"/>
  <c r="BF174" i="6"/>
  <c r="BG174" i="6" s="1"/>
  <c r="BH174" i="6" s="1"/>
  <c r="BA133" i="6"/>
  <c r="BF133" i="6"/>
  <c r="BG133" i="6" s="1"/>
  <c r="BH133" i="6" s="1"/>
  <c r="AZ176" i="6"/>
  <c r="BC176" i="6" s="1"/>
  <c r="AQ176" i="6"/>
  <c r="AO176" i="6"/>
  <c r="AR176" i="6"/>
  <c r="AZ168" i="6"/>
  <c r="BC168" i="6" s="1"/>
  <c r="AO168" i="6"/>
  <c r="AR168" i="6"/>
  <c r="AQ168" i="6"/>
  <c r="AZ177" i="6"/>
  <c r="BC177" i="6" s="1"/>
  <c r="AR177" i="6"/>
  <c r="AQ177" i="6"/>
  <c r="AO177" i="6"/>
  <c r="AQ167" i="6"/>
  <c r="AR167" i="6"/>
  <c r="AO167" i="6"/>
  <c r="AZ167" i="6"/>
  <c r="BC167" i="6" s="1"/>
  <c r="BF166" i="6"/>
  <c r="BG166" i="6" s="1"/>
  <c r="BH166" i="6" s="1"/>
  <c r="BF161" i="6"/>
  <c r="BG161" i="6" s="1"/>
  <c r="BH161" i="6" s="1"/>
  <c r="BF142" i="6"/>
  <c r="BG142" i="6" s="1"/>
  <c r="BH142" i="6" s="1"/>
  <c r="BA168" i="6"/>
  <c r="BF168" i="6"/>
  <c r="BG168" i="6" s="1"/>
  <c r="BH168" i="6" s="1"/>
  <c r="AO182" i="6"/>
  <c r="AQ182" i="6"/>
  <c r="AZ182" i="6"/>
  <c r="BC182" i="6" s="1"/>
  <c r="AR182" i="6"/>
  <c r="AZ151" i="6"/>
  <c r="BC151" i="6" s="1"/>
  <c r="AR151" i="6"/>
  <c r="AQ151" i="6"/>
  <c r="AO151" i="6"/>
  <c r="AZ136" i="6"/>
  <c r="BC136" i="6" s="1"/>
  <c r="AO136" i="6"/>
  <c r="AQ136" i="6"/>
  <c r="AR136" i="6"/>
  <c r="AZ159" i="6"/>
  <c r="BC159" i="6" s="1"/>
  <c r="AQ159" i="6"/>
  <c r="AO159" i="6"/>
  <c r="AR159" i="6"/>
  <c r="BA154" i="6"/>
  <c r="BF154" i="6"/>
  <c r="BG154" i="6" s="1"/>
  <c r="BH154" i="6" s="1"/>
  <c r="BA159" i="6"/>
  <c r="BF159" i="6"/>
  <c r="BG159" i="6" s="1"/>
  <c r="BH159" i="6" s="1"/>
  <c r="BF165" i="6"/>
  <c r="BG165" i="6" s="1"/>
  <c r="BH165" i="6" s="1"/>
  <c r="AO183" i="6"/>
  <c r="AQ183" i="6"/>
  <c r="AZ183" i="6"/>
  <c r="BC183" i="6" s="1"/>
  <c r="AR183" i="6"/>
  <c r="BA182" i="6"/>
  <c r="BF182" i="6"/>
  <c r="BG182" i="6" s="1"/>
  <c r="BH182" i="6" s="1"/>
  <c r="AQ160" i="6"/>
  <c r="AZ160" i="6"/>
  <c r="BC160" i="6" s="1"/>
  <c r="AO160" i="6"/>
  <c r="AR160" i="6"/>
  <c r="BA134" i="6"/>
  <c r="BF134" i="6"/>
  <c r="BG134" i="6" s="1"/>
  <c r="BH134" i="6" s="1"/>
  <c r="BF164" i="6"/>
  <c r="BG164" i="6" s="1"/>
  <c r="BH164" i="6" s="1"/>
  <c r="BF170" i="6"/>
  <c r="BG170" i="6" s="1"/>
  <c r="BH170" i="6" s="1"/>
  <c r="AZ166" i="6"/>
  <c r="BC166" i="6" s="1"/>
  <c r="AR166" i="6"/>
  <c r="AO166" i="6"/>
  <c r="AQ166" i="6"/>
  <c r="BF141" i="6"/>
  <c r="BG141" i="6" s="1"/>
  <c r="BH141" i="6" s="1"/>
  <c r="BA152" i="6"/>
  <c r="BF152" i="6"/>
  <c r="BG152" i="6" s="1"/>
  <c r="BH152" i="6" s="1"/>
  <c r="BF145" i="6"/>
  <c r="BG145" i="6" s="1"/>
  <c r="BH145" i="6" s="1"/>
  <c r="AQ190" i="6"/>
  <c r="AR190" i="6"/>
  <c r="AZ190" i="6"/>
  <c r="BC190" i="6" s="1"/>
  <c r="AO190" i="6"/>
  <c r="AQ173" i="6"/>
  <c r="AZ173" i="6"/>
  <c r="BC173" i="6" s="1"/>
  <c r="AO173" i="6"/>
  <c r="AR173" i="6"/>
  <c r="BF181" i="6"/>
  <c r="BG181" i="6" s="1"/>
  <c r="BH181" i="6" s="1"/>
  <c r="AZ185" i="6"/>
  <c r="BC185" i="6" s="1"/>
  <c r="AQ185" i="6"/>
  <c r="AR185" i="6"/>
  <c r="AO185" i="6"/>
  <c r="AZ175" i="6"/>
  <c r="BC175" i="6" s="1"/>
  <c r="AQ175" i="6"/>
  <c r="AO175" i="6"/>
  <c r="AR175" i="6"/>
  <c r="BF138" i="6"/>
  <c r="BG138" i="6" s="1"/>
  <c r="BH138" i="6" s="1"/>
  <c r="BA175" i="6"/>
  <c r="BF175" i="6"/>
  <c r="BG175" i="6" s="1"/>
  <c r="BH175" i="6" s="1"/>
  <c r="BF177" i="6"/>
  <c r="BG177" i="6" s="1"/>
  <c r="BH177" i="6" s="1"/>
  <c r="AZ135" i="6"/>
  <c r="BC135" i="6" s="1"/>
  <c r="AR135" i="6"/>
  <c r="AO135" i="6"/>
  <c r="AQ135" i="6"/>
  <c r="BF147" i="6"/>
  <c r="BG147" i="6" s="1"/>
  <c r="BH147" i="6" s="1"/>
  <c r="AZ158" i="6"/>
  <c r="BC158" i="6" s="1"/>
  <c r="AR158" i="6"/>
  <c r="AQ158" i="6"/>
  <c r="AO158" i="6"/>
  <c r="BA176" i="6"/>
  <c r="BF176" i="6"/>
  <c r="BG176" i="6" s="1"/>
  <c r="BH176" i="6" s="1"/>
  <c r="AZ162" i="6"/>
  <c r="BC162" i="6" s="1"/>
  <c r="AQ162" i="6"/>
  <c r="AR162" i="6"/>
  <c r="AO162" i="6"/>
  <c r="BA146" i="6"/>
  <c r="BF146" i="6"/>
  <c r="BG146" i="6" s="1"/>
  <c r="BH146" i="6" s="1"/>
  <c r="BF155" i="6"/>
  <c r="BG155" i="6" s="1"/>
  <c r="BH155" i="6" s="1"/>
  <c r="BF144" i="6"/>
  <c r="BG144" i="6" s="1"/>
  <c r="BH144" i="6" s="1"/>
  <c r="BA183" i="6"/>
  <c r="BF183" i="6"/>
  <c r="BG183" i="6" s="1"/>
  <c r="BH183" i="6" s="1"/>
  <c r="BA169" i="6"/>
  <c r="BF169" i="6"/>
  <c r="BG169" i="6" s="1"/>
  <c r="BH169" i="6" s="1"/>
  <c r="AZ143" i="6"/>
  <c r="BC143" i="6" s="1"/>
  <c r="AR143" i="6"/>
  <c r="AQ143" i="6"/>
  <c r="AO143" i="6"/>
  <c r="AR164" i="6"/>
  <c r="AO164" i="6"/>
  <c r="AZ164" i="6"/>
  <c r="BC164" i="6" s="1"/>
  <c r="AQ164" i="6"/>
  <c r="BA143" i="6"/>
  <c r="BF143" i="6"/>
  <c r="BG143" i="6" s="1"/>
  <c r="BH143" i="6" s="1"/>
  <c r="AZ169" i="6"/>
  <c r="BC169" i="6" s="1"/>
  <c r="AO169" i="6"/>
  <c r="AR169" i="6"/>
  <c r="AQ169" i="6"/>
  <c r="BF186" i="6"/>
  <c r="BG186" i="6" s="1"/>
  <c r="BH186" i="6" s="1"/>
  <c r="AZ132" i="6"/>
  <c r="BC132" i="6" s="1"/>
  <c r="AR132" i="6"/>
  <c r="AQ132" i="6"/>
  <c r="AO132" i="6"/>
  <c r="S132" i="6" l="1"/>
  <c r="R132" i="6" s="1"/>
  <c r="D131" i="41" s="1"/>
  <c r="T132" i="6" l="1"/>
  <c r="S133" i="6" l="1"/>
  <c r="R133" i="6" s="1"/>
  <c r="D132" i="41" s="1"/>
  <c r="T133" i="6" l="1"/>
  <c r="S134" i="6" l="1"/>
  <c r="R134" i="6" s="1"/>
  <c r="D133" i="41" s="1"/>
  <c r="T134" i="6" l="1"/>
  <c r="S135" i="6" l="1"/>
  <c r="R135" i="6" s="1"/>
  <c r="D134" i="41" s="1"/>
  <c r="T135" i="6" l="1"/>
  <c r="S136" i="6" l="1"/>
  <c r="R136" i="6" s="1"/>
  <c r="D135" i="41" s="1"/>
  <c r="T136" i="6" l="1"/>
  <c r="S137" i="6" l="1"/>
  <c r="R137" i="6" s="1"/>
  <c r="D136" i="41" s="1"/>
  <c r="T137" i="6" l="1"/>
  <c r="S138" i="6" l="1"/>
  <c r="R138" i="6" s="1"/>
  <c r="D137" i="41" s="1"/>
  <c r="T138" i="6" l="1"/>
  <c r="S139" i="6" l="1"/>
  <c r="R139" i="6" s="1"/>
  <c r="D138" i="41" s="1"/>
  <c r="T139" i="6" l="1"/>
  <c r="S140" i="6" l="1"/>
  <c r="R140" i="6" s="1"/>
  <c r="D139" i="41" s="1"/>
  <c r="T140" i="6" l="1"/>
  <c r="S141" i="6" l="1"/>
  <c r="R141" i="6" s="1"/>
  <c r="D140" i="41" s="1"/>
  <c r="T141" i="6" l="1"/>
  <c r="S142" i="6" l="1"/>
  <c r="R142" i="6" s="1"/>
  <c r="D141" i="41" s="1"/>
  <c r="T142" i="6" l="1"/>
  <c r="S143" i="6" l="1"/>
  <c r="R143" i="6" s="1"/>
  <c r="D142" i="41" s="1"/>
  <c r="T143" i="6" l="1"/>
  <c r="S144" i="6" l="1"/>
  <c r="R144" i="6" s="1"/>
  <c r="D143" i="41" s="1"/>
  <c r="T144" i="6" l="1"/>
  <c r="S145" i="6" l="1"/>
  <c r="R145" i="6" s="1"/>
  <c r="D144" i="41" s="1"/>
  <c r="T145" i="6" l="1"/>
  <c r="S146" i="6" l="1"/>
  <c r="R146" i="6" s="1"/>
  <c r="D145" i="41" s="1"/>
  <c r="T146" i="6" l="1"/>
  <c r="S147" i="6" l="1"/>
  <c r="R147" i="6" s="1"/>
  <c r="D146" i="41" s="1"/>
  <c r="T147" i="6" l="1"/>
  <c r="S148" i="6" l="1"/>
  <c r="R148" i="6" s="1"/>
  <c r="D147" i="41" s="1"/>
  <c r="T148" i="6" l="1"/>
  <c r="S149" i="6" l="1"/>
  <c r="R149" i="6" s="1"/>
  <c r="D148" i="41" s="1"/>
  <c r="T149" i="6" l="1"/>
  <c r="S150" i="6" l="1"/>
  <c r="R150" i="6" s="1"/>
  <c r="D149" i="41" s="1"/>
  <c r="T150" i="6" l="1"/>
  <c r="S151" i="6" l="1"/>
  <c r="R151" i="6" s="1"/>
  <c r="D150" i="41" s="1"/>
  <c r="T151" i="6" l="1"/>
  <c r="S152" i="6" l="1"/>
  <c r="R152" i="6" s="1"/>
  <c r="D151" i="41" s="1"/>
  <c r="T152" i="6" l="1"/>
  <c r="S153" i="6" l="1"/>
  <c r="R153" i="6" s="1"/>
  <c r="D152" i="41" s="1"/>
  <c r="T153" i="6" l="1"/>
  <c r="S154" i="6" l="1"/>
  <c r="R154" i="6" s="1"/>
  <c r="D153" i="41" s="1"/>
  <c r="T154" i="6" l="1"/>
  <c r="S155" i="6" l="1"/>
  <c r="R155" i="6" s="1"/>
  <c r="D154" i="41" s="1"/>
  <c r="T155" i="6" l="1"/>
  <c r="S156" i="6" l="1"/>
  <c r="R156" i="6" s="1"/>
  <c r="D155" i="41" s="1"/>
  <c r="T156" i="6" l="1"/>
  <c r="S157" i="6" l="1"/>
  <c r="R157" i="6" s="1"/>
  <c r="D156" i="41" s="1"/>
  <c r="T157" i="6" l="1"/>
  <c r="S158" i="6" l="1"/>
  <c r="R158" i="6" s="1"/>
  <c r="D157" i="41" s="1"/>
  <c r="T158" i="6" l="1"/>
  <c r="S159" i="6" l="1"/>
  <c r="R159" i="6" s="1"/>
  <c r="D158" i="41" s="1"/>
  <c r="T159" i="6" l="1"/>
  <c r="S160" i="6" l="1"/>
  <c r="R160" i="6" s="1"/>
  <c r="D159" i="41" s="1"/>
  <c r="T160" i="6" l="1"/>
  <c r="S161" i="6" l="1"/>
  <c r="R161" i="6" s="1"/>
  <c r="D160" i="41" s="1"/>
  <c r="T161" i="6" l="1"/>
  <c r="S162" i="6" l="1"/>
  <c r="R162" i="6" s="1"/>
  <c r="D161" i="41" s="1"/>
  <c r="T162" i="6" l="1"/>
  <c r="S163" i="6" l="1"/>
  <c r="R163" i="6" s="1"/>
  <c r="D162" i="41" s="1"/>
  <c r="T163" i="6" l="1"/>
  <c r="S164" i="6" l="1"/>
  <c r="R164" i="6" s="1"/>
  <c r="D163" i="41" s="1"/>
  <c r="T164" i="6" l="1"/>
  <c r="S165" i="6" l="1"/>
  <c r="R165" i="6" s="1"/>
  <c r="D164" i="41" s="1"/>
  <c r="T165" i="6" l="1"/>
  <c r="S166" i="6" l="1"/>
  <c r="R166" i="6" s="1"/>
  <c r="D165" i="41" s="1"/>
  <c r="T166" i="6" l="1"/>
  <c r="S167" i="6" l="1"/>
  <c r="R167" i="6" s="1"/>
  <c r="D166" i="41" s="1"/>
  <c r="T167" i="6" l="1"/>
  <c r="S168" i="6" l="1"/>
  <c r="R168" i="6" s="1"/>
  <c r="D167" i="41" s="1"/>
  <c r="T168" i="6" l="1"/>
  <c r="S169" i="6" l="1"/>
  <c r="R169" i="6" s="1"/>
  <c r="D168" i="41" s="1"/>
  <c r="T169" i="6" l="1"/>
  <c r="S170" i="6" l="1"/>
  <c r="R170" i="6" s="1"/>
  <c r="D169" i="41" s="1"/>
  <c r="T170" i="6" l="1"/>
  <c r="S171" i="6" l="1"/>
  <c r="R171" i="6" s="1"/>
  <c r="D170" i="41" s="1"/>
  <c r="T171" i="6" l="1"/>
  <c r="S172" i="6" l="1"/>
  <c r="R172" i="6" s="1"/>
  <c r="D171" i="41" s="1"/>
  <c r="T172" i="6" l="1"/>
  <c r="S173" i="6" l="1"/>
  <c r="R173" i="6" s="1"/>
  <c r="D172" i="41" s="1"/>
  <c r="T173" i="6" l="1"/>
  <c r="S174" i="6" l="1"/>
  <c r="R174" i="6" s="1"/>
  <c r="D173" i="41" s="1"/>
  <c r="T174" i="6" l="1"/>
  <c r="S175" i="6" l="1"/>
  <c r="R175" i="6" s="1"/>
  <c r="D174" i="41" s="1"/>
  <c r="T175" i="6" l="1"/>
  <c r="S176" i="6" l="1"/>
  <c r="R176" i="6" s="1"/>
  <c r="D175" i="41" s="1"/>
  <c r="T176" i="6" l="1"/>
  <c r="S177" i="6" l="1"/>
  <c r="R177" i="6" s="1"/>
  <c r="D176" i="41" s="1"/>
  <c r="T177" i="6" l="1"/>
  <c r="S178" i="6" l="1"/>
  <c r="R178" i="6" s="1"/>
  <c r="D177" i="41" s="1"/>
  <c r="T178" i="6" l="1"/>
  <c r="S179" i="6" l="1"/>
  <c r="R179" i="6" s="1"/>
  <c r="D178" i="41" s="1"/>
  <c r="T179" i="6" l="1"/>
  <c r="S180" i="6" l="1"/>
  <c r="R180" i="6" s="1"/>
  <c r="D179" i="41" s="1"/>
  <c r="T180" i="6" l="1"/>
  <c r="S181" i="6" l="1"/>
  <c r="R181" i="6" s="1"/>
  <c r="D180" i="41" s="1"/>
  <c r="T181" i="6" l="1"/>
  <c r="S182" i="6" l="1"/>
  <c r="R182" i="6" s="1"/>
  <c r="D181" i="41" s="1"/>
  <c r="T182" i="6" l="1"/>
  <c r="S183" i="6" l="1"/>
  <c r="R183" i="6" s="1"/>
  <c r="D182" i="41" s="1"/>
  <c r="T183" i="6" l="1"/>
  <c r="S184" i="6" l="1"/>
  <c r="R184" i="6" s="1"/>
  <c r="D183" i="41" s="1"/>
  <c r="T184" i="6" l="1"/>
  <c r="S185" i="6" l="1"/>
  <c r="R185" i="6" s="1"/>
  <c r="D184" i="41" s="1"/>
  <c r="T185" i="6" l="1"/>
  <c r="S186" i="6" l="1"/>
  <c r="R186" i="6" s="1"/>
  <c r="D185" i="41" s="1"/>
  <c r="T186" i="6" l="1"/>
  <c r="S187" i="6" l="1"/>
  <c r="R187" i="6" s="1"/>
  <c r="D186" i="41" s="1"/>
  <c r="T187" i="6" l="1"/>
  <c r="S188" i="6" l="1"/>
  <c r="R188" i="6" s="1"/>
  <c r="D187" i="41" s="1"/>
  <c r="T188" i="6" l="1"/>
  <c r="S189" i="6" l="1"/>
  <c r="R189" i="6" s="1"/>
  <c r="D188" i="41" s="1"/>
  <c r="T189" i="6" l="1"/>
  <c r="S190" i="6" l="1"/>
  <c r="R190" i="6" s="1"/>
  <c r="D189" i="41" s="1"/>
  <c r="T190" i="6" l="1"/>
  <c r="S191" i="6" l="1"/>
  <c r="R191" i="6" s="1"/>
  <c r="T191" i="6" s="1"/>
  <c r="D130" i="41"/>
  <c r="Q12" i="6" l="1"/>
  <c r="R12" i="6" l="1"/>
  <c r="T12" i="6" s="1"/>
  <c r="S13" i="6" s="1"/>
  <c r="X12" i="6"/>
  <c r="AD12" i="6" s="1"/>
  <c r="AJ12" i="6" s="1"/>
  <c r="D11" i="41"/>
  <c r="AW12" i="6"/>
  <c r="V12" i="6"/>
  <c r="U12" i="6"/>
  <c r="Q13" i="6" l="1"/>
  <c r="AX12" i="6"/>
  <c r="BA12" i="6" s="1"/>
  <c r="R13" i="6" l="1"/>
  <c r="T13" i="6" s="1"/>
  <c r="S14" i="6" s="1"/>
  <c r="X13" i="6"/>
  <c r="AD13" i="6" s="1"/>
  <c r="AJ13" i="6" s="1"/>
  <c r="D12" i="41"/>
  <c r="AY12" i="6"/>
  <c r="AH12" i="6"/>
  <c r="U13" i="6"/>
  <c r="O12" i="41"/>
  <c r="AW13" i="6"/>
  <c r="V13" i="6"/>
  <c r="AX13" i="6" l="1"/>
  <c r="BA13" i="6" s="1"/>
  <c r="BB12" i="6"/>
  <c r="BF12" i="6"/>
  <c r="BG12" i="6" s="1"/>
  <c r="BH12" i="6" s="1"/>
  <c r="Q14" i="6"/>
  <c r="AZ12" i="6"/>
  <c r="BC12" i="6" s="1"/>
  <c r="AQ12" i="6"/>
  <c r="AO12" i="6"/>
  <c r="AR12" i="6"/>
  <c r="R14" i="6" l="1"/>
  <c r="D13" i="41" s="1"/>
  <c r="X14" i="6"/>
  <c r="AD14" i="6" s="1"/>
  <c r="AJ14" i="6" s="1"/>
  <c r="T14" i="6"/>
  <c r="S15" i="6" s="1"/>
  <c r="AO13" i="6"/>
  <c r="AR13" i="6"/>
  <c r="AZ13" i="6"/>
  <c r="BC13" i="6" s="1"/>
  <c r="AQ13" i="6"/>
  <c r="O13" i="41"/>
  <c r="U14" i="6"/>
  <c r="V14" i="6"/>
  <c r="AW14" i="6"/>
  <c r="Q15" i="6"/>
  <c r="X15" i="6" s="1"/>
  <c r="AD15" i="6" s="1"/>
  <c r="AJ15" i="6" s="1"/>
  <c r="AH13" i="6"/>
  <c r="AY13" i="6"/>
  <c r="BB13" i="6" s="1"/>
  <c r="BF13" i="6" l="1"/>
  <c r="BG13" i="6" s="1"/>
  <c r="BH13" i="6" s="1"/>
  <c r="R15" i="6"/>
  <c r="D14" i="41" s="1"/>
  <c r="AW15" i="6"/>
  <c r="U15" i="6"/>
  <c r="V15" i="6"/>
  <c r="O14" i="41"/>
  <c r="AX14" i="6"/>
  <c r="BA14" i="6" s="1"/>
  <c r="T15" i="6" l="1"/>
  <c r="S16" i="6" s="1"/>
  <c r="Q16" i="6"/>
  <c r="X16" i="6" s="1"/>
  <c r="AD16" i="6" s="1"/>
  <c r="AJ16" i="6" s="1"/>
  <c r="AY14" i="6"/>
  <c r="BB14" i="6" s="1"/>
  <c r="AH14" i="6"/>
  <c r="AX15" i="6"/>
  <c r="BA15" i="6" s="1"/>
  <c r="BF14" i="6" l="1"/>
  <c r="BG14" i="6" s="1"/>
  <c r="BH14" i="6" s="1"/>
  <c r="R16" i="6"/>
  <c r="D15" i="41" s="1"/>
  <c r="AY15" i="6"/>
  <c r="BB15" i="6" s="1"/>
  <c r="AH15" i="6"/>
  <c r="AQ14" i="6"/>
  <c r="AR14" i="6"/>
  <c r="AZ14" i="6"/>
  <c r="BC14" i="6" s="1"/>
  <c r="AO14" i="6"/>
  <c r="U16" i="6"/>
  <c r="V16" i="6"/>
  <c r="O15" i="41"/>
  <c r="AW16" i="6"/>
  <c r="T16" i="6" l="1"/>
  <c r="S17" i="6" s="1"/>
  <c r="BF15" i="6"/>
  <c r="BG15" i="6" s="1"/>
  <c r="BH15" i="6" s="1"/>
  <c r="Q17" i="6"/>
  <c r="X17" i="6" s="1"/>
  <c r="AD17" i="6" s="1"/>
  <c r="AJ17" i="6" s="1"/>
  <c r="AX16" i="6"/>
  <c r="BA16" i="6" s="1"/>
  <c r="AZ15" i="6"/>
  <c r="BC15" i="6" s="1"/>
  <c r="AQ15" i="6"/>
  <c r="AO15" i="6"/>
  <c r="AR15" i="6"/>
  <c r="R17" i="6" l="1"/>
  <c r="D16" i="41" s="1"/>
  <c r="AY16" i="6"/>
  <c r="BB16" i="6" s="1"/>
  <c r="AH16" i="6"/>
  <c r="O16" i="41"/>
  <c r="U17" i="6"/>
  <c r="AW17" i="6"/>
  <c r="V17" i="6"/>
  <c r="T17" i="6" l="1"/>
  <c r="S18" i="6" s="1"/>
  <c r="AX17" i="6"/>
  <c r="BF16" i="6"/>
  <c r="BG16" i="6" s="1"/>
  <c r="BH16" i="6" s="1"/>
  <c r="AZ16" i="6"/>
  <c r="BC16" i="6" s="1"/>
  <c r="AR16" i="6"/>
  <c r="AO16" i="6"/>
  <c r="AQ16" i="6"/>
  <c r="Q18" i="6"/>
  <c r="R18" i="6" l="1"/>
  <c r="D17" i="41" s="1"/>
  <c r="X18" i="6"/>
  <c r="AD18" i="6" s="1"/>
  <c r="AJ18" i="6" s="1"/>
  <c r="T18" i="6"/>
  <c r="S19" i="6" s="1"/>
  <c r="AZ17" i="6"/>
  <c r="BC17" i="6" s="1"/>
  <c r="AQ17" i="6"/>
  <c r="AO17" i="6"/>
  <c r="AR17" i="6"/>
  <c r="BA17" i="6"/>
  <c r="V18" i="6"/>
  <c r="U18" i="6"/>
  <c r="O17" i="41"/>
  <c r="AW18" i="6"/>
  <c r="AY17" i="6"/>
  <c r="BB17" i="6" s="1"/>
  <c r="AH17" i="6"/>
  <c r="BF17" i="6" l="1"/>
  <c r="BG17" i="6" s="1"/>
  <c r="BH17" i="6" s="1"/>
  <c r="AX18" i="6"/>
  <c r="AQ18" i="6" l="1"/>
  <c r="AR18" i="6"/>
  <c r="AZ18" i="6"/>
  <c r="BC18" i="6" s="1"/>
  <c r="AO18" i="6"/>
  <c r="AY18" i="6"/>
  <c r="BB18" i="6" s="1"/>
  <c r="AH18" i="6"/>
  <c r="Q20" i="6"/>
  <c r="X20" i="6" s="1"/>
  <c r="AD20" i="6" s="1"/>
  <c r="AJ20" i="6" s="1"/>
  <c r="BA18" i="6"/>
  <c r="BF18" i="6" l="1"/>
  <c r="BG18" i="6" s="1"/>
  <c r="BH18" i="6" s="1"/>
  <c r="AW20" i="6"/>
  <c r="U20" i="6"/>
  <c r="O19" i="41"/>
  <c r="V20" i="6"/>
  <c r="AX20" i="6" l="1"/>
  <c r="BA20" i="6" s="1"/>
  <c r="Q21" i="6"/>
  <c r="X21" i="6" s="1"/>
  <c r="AD21" i="6" s="1"/>
  <c r="AJ21" i="6" s="1"/>
  <c r="AZ20" i="6" l="1"/>
  <c r="BC20" i="6" s="1"/>
  <c r="AQ20" i="6"/>
  <c r="AR20" i="6"/>
  <c r="AO20" i="6"/>
  <c r="AX21" i="6"/>
  <c r="BA21" i="6" s="1"/>
  <c r="AW21" i="6"/>
  <c r="U21" i="6"/>
  <c r="O20" i="41"/>
  <c r="V21" i="6"/>
  <c r="AY20" i="6"/>
  <c r="AH20" i="6"/>
  <c r="BB20" i="6" l="1"/>
  <c r="BF20" i="6"/>
  <c r="BG20" i="6" s="1"/>
  <c r="BH20" i="6" s="1"/>
  <c r="AH21" i="6" l="1"/>
  <c r="AY21" i="6"/>
  <c r="Q23" i="6"/>
  <c r="X23" i="6" s="1"/>
  <c r="AD23" i="6" s="1"/>
  <c r="AJ23" i="6" s="1"/>
  <c r="AZ21" i="6"/>
  <c r="BC21" i="6" s="1"/>
  <c r="AR21" i="6"/>
  <c r="AQ21" i="6"/>
  <c r="AO21" i="6"/>
  <c r="BB21" i="6" l="1"/>
  <c r="BF21" i="6"/>
  <c r="BG21" i="6" s="1"/>
  <c r="BH21" i="6" s="1"/>
  <c r="Q24" i="6"/>
  <c r="X24" i="6" s="1"/>
  <c r="AD24" i="6" s="1"/>
  <c r="AJ24" i="6" s="1"/>
  <c r="V23" i="6"/>
  <c r="O22" i="41"/>
  <c r="AW23" i="6"/>
  <c r="U23" i="6"/>
  <c r="AX23" i="6" l="1"/>
  <c r="BA23" i="6" s="1"/>
  <c r="O23" i="41"/>
  <c r="V24" i="6"/>
  <c r="U24" i="6"/>
  <c r="AW24" i="6"/>
  <c r="AX24" i="6" l="1"/>
  <c r="BA24" i="6" s="1"/>
  <c r="Q25" i="6"/>
  <c r="X25" i="6" s="1"/>
  <c r="AD25" i="6" s="1"/>
  <c r="AJ25" i="6" s="1"/>
  <c r="AZ23" i="6"/>
  <c r="BC23" i="6" s="1"/>
  <c r="AR23" i="6"/>
  <c r="AQ23" i="6"/>
  <c r="AO23" i="6"/>
  <c r="AH23" i="6"/>
  <c r="AY23" i="6"/>
  <c r="AX25" i="6" l="1"/>
  <c r="BA25" i="6" s="1"/>
  <c r="AW25" i="6"/>
  <c r="V25" i="6"/>
  <c r="O24" i="41"/>
  <c r="U25" i="6"/>
  <c r="BB23" i="6"/>
  <c r="BF23" i="6"/>
  <c r="BG23" i="6" s="1"/>
  <c r="BH23" i="6" s="1"/>
  <c r="AY24" i="6"/>
  <c r="AH24" i="6"/>
  <c r="BB24" i="6" l="1"/>
  <c r="BF24" i="6"/>
  <c r="BG24" i="6" s="1"/>
  <c r="BH24" i="6" s="1"/>
  <c r="AZ24" i="6"/>
  <c r="BC24" i="6" s="1"/>
  <c r="AO24" i="6"/>
  <c r="AR24" i="6"/>
  <c r="AQ24" i="6"/>
  <c r="AY25" i="6" l="1"/>
  <c r="AH25" i="6"/>
  <c r="Q27" i="6"/>
  <c r="X27" i="6" s="1"/>
  <c r="AD27" i="6" s="1"/>
  <c r="AJ27" i="6" s="1"/>
  <c r="O26" i="41" l="1"/>
  <c r="V27" i="6"/>
  <c r="AW27" i="6"/>
  <c r="U27" i="6"/>
  <c r="BB25" i="6"/>
  <c r="BF25" i="6"/>
  <c r="BG25" i="6" s="1"/>
  <c r="BH25" i="6" s="1"/>
  <c r="AZ25" i="6"/>
  <c r="BC25" i="6" s="1"/>
  <c r="AO25" i="6"/>
  <c r="AR25" i="6"/>
  <c r="AQ25" i="6"/>
  <c r="AX27" i="6" l="1"/>
  <c r="BA27" i="6" s="1"/>
  <c r="Q29" i="6" l="1"/>
  <c r="X29" i="6" s="1"/>
  <c r="AD29" i="6" s="1"/>
  <c r="AJ29" i="6" s="1"/>
  <c r="AH27" i="6"/>
  <c r="AY27" i="6"/>
  <c r="BB27" i="6" s="1"/>
  <c r="O28" i="41" l="1"/>
  <c r="V29" i="6"/>
  <c r="U29" i="6"/>
  <c r="AW29" i="6"/>
  <c r="AZ27" i="6"/>
  <c r="BC27" i="6" s="1"/>
  <c r="AR27" i="6"/>
  <c r="AQ27" i="6"/>
  <c r="AO27" i="6"/>
  <c r="BF27" i="6"/>
  <c r="BG27" i="6" s="1"/>
  <c r="BH27" i="6" s="1"/>
  <c r="AX29" i="6" l="1"/>
  <c r="BA29" i="6" s="1"/>
  <c r="AH29" i="6" l="1"/>
  <c r="AY29" i="6"/>
  <c r="Q31" i="6"/>
  <c r="X31" i="6" s="1"/>
  <c r="AD31" i="6" s="1"/>
  <c r="AJ31" i="6" s="1"/>
  <c r="AZ29" i="6" l="1"/>
  <c r="BC29" i="6" s="1"/>
  <c r="AR29" i="6"/>
  <c r="AQ29" i="6"/>
  <c r="AO29" i="6"/>
  <c r="BB29" i="6"/>
  <c r="BF29" i="6"/>
  <c r="BG29" i="6" s="1"/>
  <c r="BH29" i="6" s="1"/>
  <c r="U31" i="6"/>
  <c r="V31" i="6"/>
  <c r="O30" i="41"/>
  <c r="AW31" i="6"/>
  <c r="AX31" i="6" l="1"/>
  <c r="BA31" i="6" s="1"/>
  <c r="Q32" i="6"/>
  <c r="X32" i="6" s="1"/>
  <c r="AD32" i="6" s="1"/>
  <c r="AJ32" i="6" s="1"/>
  <c r="AW32" i="6" l="1"/>
  <c r="U32" i="6"/>
  <c r="O31" i="41"/>
  <c r="V32" i="6"/>
  <c r="AY31" i="6"/>
  <c r="BB31" i="6" s="1"/>
  <c r="AH31" i="6"/>
  <c r="AX32" i="6" l="1"/>
  <c r="BA32" i="6" s="1"/>
  <c r="AZ31" i="6"/>
  <c r="BC31" i="6" s="1"/>
  <c r="AQ31" i="6"/>
  <c r="AO31" i="6"/>
  <c r="AR31" i="6"/>
  <c r="Q33" i="6"/>
  <c r="X33" i="6" s="1"/>
  <c r="AD33" i="6" s="1"/>
  <c r="AJ33" i="6" s="1"/>
  <c r="BF31" i="6"/>
  <c r="BG31" i="6" s="1"/>
  <c r="BH31" i="6" s="1"/>
  <c r="AZ32" i="6" l="1"/>
  <c r="BC32" i="6" s="1"/>
  <c r="AR32" i="6"/>
  <c r="AO32" i="6"/>
  <c r="AQ32" i="6"/>
  <c r="O32" i="41"/>
  <c r="V33" i="6"/>
  <c r="AW33" i="6"/>
  <c r="U33" i="6"/>
  <c r="AH32" i="6"/>
  <c r="AY32" i="6"/>
  <c r="AX33" i="6" l="1"/>
  <c r="BA33" i="6" s="1"/>
  <c r="BB32" i="6"/>
  <c r="BF32" i="6"/>
  <c r="BG32" i="6" s="1"/>
  <c r="BH32" i="6" s="1"/>
  <c r="Q34" i="6"/>
  <c r="X34" i="6" s="1"/>
  <c r="AD34" i="6" s="1"/>
  <c r="AJ34" i="6" s="1"/>
  <c r="O33" i="41" l="1"/>
  <c r="AW34" i="6"/>
  <c r="U34" i="6"/>
  <c r="V34" i="6"/>
  <c r="Q35" i="6"/>
  <c r="X35" i="6" s="1"/>
  <c r="AD35" i="6" s="1"/>
  <c r="AJ35" i="6" s="1"/>
  <c r="AH33" i="6"/>
  <c r="AY33" i="6"/>
  <c r="BB33" i="6" s="1"/>
  <c r="AO33" i="6"/>
  <c r="AZ33" i="6"/>
  <c r="BC33" i="6" s="1"/>
  <c r="AQ33" i="6"/>
  <c r="AR33" i="6"/>
  <c r="BF33" i="6" l="1"/>
  <c r="BG33" i="6" s="1"/>
  <c r="BH33" i="6" s="1"/>
  <c r="O34" i="41"/>
  <c r="V35" i="6"/>
  <c r="AW35" i="6"/>
  <c r="AX35" i="6"/>
  <c r="BA35" i="6" s="1"/>
  <c r="U35" i="6"/>
  <c r="AX34" i="6"/>
  <c r="BA34" i="6" s="1"/>
  <c r="AZ34" i="6" l="1"/>
  <c r="BC34" i="6" s="1"/>
  <c r="AR34" i="6"/>
  <c r="AQ34" i="6"/>
  <c r="AO34" i="6"/>
  <c r="AH34" i="6"/>
  <c r="AY34" i="6"/>
  <c r="BB34" i="6" l="1"/>
  <c r="BF34" i="6"/>
  <c r="BG34" i="6" s="1"/>
  <c r="BH34" i="6" s="1"/>
  <c r="Q37" i="6"/>
  <c r="X37" i="6" s="1"/>
  <c r="AD37" i="6" s="1"/>
  <c r="AJ37" i="6" s="1"/>
  <c r="AH35" i="6"/>
  <c r="AY35" i="6"/>
  <c r="BB35" i="6" l="1"/>
  <c r="BF35" i="6"/>
  <c r="BG35" i="6" s="1"/>
  <c r="BH35" i="6" s="1"/>
  <c r="AW37" i="6"/>
  <c r="U37" i="6"/>
  <c r="O36" i="41"/>
  <c r="V37" i="6"/>
  <c r="AZ35" i="6"/>
  <c r="BC35" i="6" s="1"/>
  <c r="AO35" i="6"/>
  <c r="AR35" i="6"/>
  <c r="AQ35" i="6"/>
  <c r="AX37" i="6" l="1"/>
  <c r="BA37" i="6" s="1"/>
  <c r="Q38" i="6"/>
  <c r="X38" i="6" s="1"/>
  <c r="AD38" i="6" s="1"/>
  <c r="AJ38" i="6" s="1"/>
  <c r="AZ37" i="6" l="1"/>
  <c r="BC37" i="6" s="1"/>
  <c r="AR37" i="6"/>
  <c r="AQ37" i="6"/>
  <c r="AO37" i="6"/>
  <c r="O37" i="41"/>
  <c r="AW38" i="6"/>
  <c r="U38" i="6"/>
  <c r="V38" i="6"/>
  <c r="AY37" i="6"/>
  <c r="AH37" i="6"/>
  <c r="AX38" i="6" l="1"/>
  <c r="BA38" i="6" s="1"/>
  <c r="BB37" i="6"/>
  <c r="BF37" i="6"/>
  <c r="BG37" i="6" s="1"/>
  <c r="BH37" i="6" s="1"/>
  <c r="Q39" i="6"/>
  <c r="X39" i="6" s="1"/>
  <c r="AD39" i="6" s="1"/>
  <c r="AJ39" i="6" s="1"/>
  <c r="AX39" i="6" l="1"/>
  <c r="BA39" i="6" s="1"/>
  <c r="AW39" i="6"/>
  <c r="U39" i="6"/>
  <c r="O38" i="41"/>
  <c r="V39" i="6"/>
  <c r="AQ38" i="6"/>
  <c r="AZ38" i="6"/>
  <c r="BC38" i="6" s="1"/>
  <c r="AO38" i="6"/>
  <c r="AR38" i="6"/>
  <c r="AH38" i="6"/>
  <c r="AY38" i="6"/>
  <c r="Q40" i="6" l="1"/>
  <c r="X40" i="6" s="1"/>
  <c r="AD40" i="6" s="1"/>
  <c r="AJ40" i="6" s="1"/>
  <c r="BB38" i="6"/>
  <c r="BF38" i="6"/>
  <c r="BG38" i="6" s="1"/>
  <c r="BH38" i="6" s="1"/>
  <c r="AH39" i="6" l="1"/>
  <c r="AY39" i="6"/>
  <c r="BB39" i="6" s="1"/>
  <c r="AW40" i="6"/>
  <c r="V40" i="6"/>
  <c r="U40" i="6"/>
  <c r="O39" i="41"/>
  <c r="AR39" i="6"/>
  <c r="AO39" i="6"/>
  <c r="AZ39" i="6"/>
  <c r="BC39" i="6" s="1"/>
  <c r="AQ39" i="6"/>
  <c r="BF39" i="6" l="1"/>
  <c r="BG39" i="6" s="1"/>
  <c r="BH39" i="6" s="1"/>
  <c r="Q41" i="6"/>
  <c r="X41" i="6" s="1"/>
  <c r="AD41" i="6" s="1"/>
  <c r="AJ41" i="6" s="1"/>
  <c r="AX40" i="6"/>
  <c r="BA40" i="6" s="1"/>
  <c r="AY40" i="6" l="1"/>
  <c r="AH40" i="6"/>
  <c r="O40" i="41"/>
  <c r="AW41" i="6"/>
  <c r="V41" i="6"/>
  <c r="U41" i="6"/>
  <c r="BB40" i="6" l="1"/>
  <c r="BF40" i="6"/>
  <c r="BG40" i="6" s="1"/>
  <c r="BH40" i="6" s="1"/>
  <c r="AX41" i="6"/>
  <c r="BA41" i="6" s="1"/>
  <c r="AO40" i="6"/>
  <c r="AQ40" i="6"/>
  <c r="AZ40" i="6"/>
  <c r="BC40" i="6" s="1"/>
  <c r="AR40" i="6"/>
  <c r="AH41" i="6" l="1"/>
  <c r="AY41" i="6"/>
  <c r="BB41" i="6" s="1"/>
  <c r="Q43" i="6"/>
  <c r="X43" i="6" s="1"/>
  <c r="AD43" i="6" s="1"/>
  <c r="AJ43" i="6" s="1"/>
  <c r="BF41" i="6" l="1"/>
  <c r="BG41" i="6" s="1"/>
  <c r="BH41" i="6" s="1"/>
  <c r="V43" i="6"/>
  <c r="U43" i="6"/>
  <c r="O42" i="41"/>
  <c r="AW43" i="6"/>
  <c r="AX43" i="6"/>
  <c r="BA43" i="6" s="1"/>
  <c r="AO41" i="6"/>
  <c r="AR41" i="6"/>
  <c r="AQ41" i="6"/>
  <c r="AZ41" i="6"/>
  <c r="BC41" i="6" s="1"/>
  <c r="AY43" i="6" l="1"/>
  <c r="AH43" i="6"/>
  <c r="Q45" i="6"/>
  <c r="X45" i="6" s="1"/>
  <c r="AD45" i="6" s="1"/>
  <c r="AJ45" i="6" s="1"/>
  <c r="BB43" i="6" l="1"/>
  <c r="BF43" i="6"/>
  <c r="BG43" i="6" s="1"/>
  <c r="BH43" i="6" s="1"/>
  <c r="V45" i="6"/>
  <c r="O44" i="41"/>
  <c r="AW45" i="6"/>
  <c r="U45" i="6"/>
  <c r="AZ43" i="6"/>
  <c r="BC43" i="6" s="1"/>
  <c r="AR43" i="6"/>
  <c r="AO43" i="6"/>
  <c r="AQ43" i="6"/>
  <c r="AX45" i="6" l="1"/>
  <c r="BA45" i="6" s="1"/>
  <c r="Q46" i="6"/>
  <c r="X46" i="6" s="1"/>
  <c r="AD46" i="6" s="1"/>
  <c r="AJ46" i="6" s="1"/>
  <c r="V46" i="6" l="1"/>
  <c r="U46" i="6"/>
  <c r="AX46" i="6"/>
  <c r="BA46" i="6" s="1"/>
  <c r="O45" i="41"/>
  <c r="AW46" i="6"/>
  <c r="AY45" i="6"/>
  <c r="AH45" i="6"/>
  <c r="AY46" i="6" l="1"/>
  <c r="BB45" i="6"/>
  <c r="BF45" i="6"/>
  <c r="BG45" i="6" s="1"/>
  <c r="BH45" i="6" s="1"/>
  <c r="AZ45" i="6"/>
  <c r="BC45" i="6" s="1"/>
  <c r="AQ45" i="6"/>
  <c r="AR45" i="6"/>
  <c r="AO45" i="6"/>
  <c r="Q47" i="6"/>
  <c r="X47" i="6" s="1"/>
  <c r="AD47" i="6" s="1"/>
  <c r="AJ47" i="6" s="1"/>
  <c r="BB46" i="6" l="1"/>
  <c r="BF46" i="6"/>
  <c r="BG46" i="6" s="1"/>
  <c r="BH46" i="6" s="1"/>
  <c r="AH46" i="6"/>
  <c r="AQ46" i="6"/>
  <c r="AW47" i="6"/>
  <c r="O46" i="41"/>
  <c r="U47" i="6"/>
  <c r="V47" i="6"/>
  <c r="AO46" i="6" l="1"/>
  <c r="AZ46" i="6"/>
  <c r="BC46" i="6" s="1"/>
  <c r="AR46" i="6"/>
  <c r="AX47" i="6"/>
  <c r="BA47" i="6" s="1"/>
  <c r="AH47" i="6" l="1"/>
  <c r="AY47" i="6"/>
  <c r="Q49" i="6"/>
  <c r="X49" i="6" s="1"/>
  <c r="AD49" i="6" s="1"/>
  <c r="AJ49" i="6" s="1"/>
  <c r="V49" i="6" l="1"/>
  <c r="O48" i="41"/>
  <c r="AW49" i="6"/>
  <c r="U49" i="6"/>
  <c r="AZ47" i="6"/>
  <c r="BC47" i="6" s="1"/>
  <c r="AQ47" i="6"/>
  <c r="AO47" i="6"/>
  <c r="AR47" i="6"/>
  <c r="BB47" i="6"/>
  <c r="BF47" i="6"/>
  <c r="BG47" i="6" s="1"/>
  <c r="BH47" i="6" s="1"/>
  <c r="AX49" i="6" l="1"/>
  <c r="BA49" i="6" s="1"/>
  <c r="AY49" i="6" l="1"/>
  <c r="BB49" i="6" s="1"/>
  <c r="AH49" i="6"/>
  <c r="Q51" i="6"/>
  <c r="X51" i="6" s="1"/>
  <c r="AD51" i="6" s="1"/>
  <c r="AJ51" i="6" s="1"/>
  <c r="BF49" i="6" l="1"/>
  <c r="BG49" i="6" s="1"/>
  <c r="BH49" i="6" s="1"/>
  <c r="AZ49" i="6"/>
  <c r="BC49" i="6" s="1"/>
  <c r="AO49" i="6"/>
  <c r="AQ49" i="6"/>
  <c r="AR49" i="6"/>
  <c r="AW51" i="6"/>
  <c r="U51" i="6"/>
  <c r="V51" i="6"/>
  <c r="O50" i="41"/>
  <c r="Q52" i="6" l="1"/>
  <c r="X52" i="6" s="1"/>
  <c r="AD52" i="6" s="1"/>
  <c r="AJ52" i="6" s="1"/>
  <c r="AX51" i="6"/>
  <c r="BA51" i="6" s="1"/>
  <c r="AY51" i="6" l="1"/>
  <c r="BB51" i="6" s="1"/>
  <c r="AH51" i="6"/>
  <c r="Q53" i="6"/>
  <c r="X53" i="6" s="1"/>
  <c r="AD53" i="6" s="1"/>
  <c r="AJ53" i="6" s="1"/>
  <c r="V52" i="6"/>
  <c r="AW52" i="6"/>
  <c r="O51" i="41"/>
  <c r="U52" i="6"/>
  <c r="BF51" i="6" l="1"/>
  <c r="BG51" i="6" s="1"/>
  <c r="BH51" i="6" s="1"/>
  <c r="V53" i="6"/>
  <c r="U53" i="6"/>
  <c r="O52" i="41"/>
  <c r="AW53" i="6"/>
  <c r="AX52" i="6"/>
  <c r="BA52" i="6" s="1"/>
  <c r="AZ51" i="6"/>
  <c r="BC51" i="6" s="1"/>
  <c r="AR51" i="6"/>
  <c r="AO51" i="6"/>
  <c r="AQ51" i="6"/>
  <c r="Q54" i="6"/>
  <c r="X54" i="6" s="1"/>
  <c r="AD54" i="6" s="1"/>
  <c r="AJ54" i="6" s="1"/>
  <c r="AY52" i="6" l="1"/>
  <c r="BB52" i="6" s="1"/>
  <c r="AH52" i="6"/>
  <c r="V54" i="6"/>
  <c r="U54" i="6"/>
  <c r="O53" i="41"/>
  <c r="AW54" i="6"/>
  <c r="AX53" i="6"/>
  <c r="BA53" i="6" s="1"/>
  <c r="BF52" i="6" l="1"/>
  <c r="BG52" i="6" s="1"/>
  <c r="BH52" i="6" s="1"/>
  <c r="AZ52" i="6"/>
  <c r="BC52" i="6" s="1"/>
  <c r="AQ52" i="6"/>
  <c r="AO52" i="6"/>
  <c r="AR52" i="6"/>
  <c r="AY53" i="6"/>
  <c r="BB53" i="6" s="1"/>
  <c r="AH53" i="6"/>
  <c r="AX54" i="6"/>
  <c r="BA54" i="6" s="1"/>
  <c r="BF53" i="6" l="1"/>
  <c r="BG53" i="6" s="1"/>
  <c r="BH53" i="6" s="1"/>
  <c r="AY54" i="6"/>
  <c r="BB54" i="6" s="1"/>
  <c r="AH54" i="6"/>
  <c r="AR53" i="6"/>
  <c r="AQ53" i="6"/>
  <c r="AZ53" i="6"/>
  <c r="BC53" i="6" s="1"/>
  <c r="AO53" i="6"/>
  <c r="Q56" i="6"/>
  <c r="X56" i="6" s="1"/>
  <c r="AD56" i="6" s="1"/>
  <c r="AJ56" i="6" s="1"/>
  <c r="BF54" i="6" l="1"/>
  <c r="BG54" i="6" s="1"/>
  <c r="BH54" i="6" s="1"/>
  <c r="V56" i="6"/>
  <c r="AW56" i="6"/>
  <c r="O55" i="41"/>
  <c r="U56" i="6"/>
  <c r="AZ54" i="6"/>
  <c r="BC54" i="6" s="1"/>
  <c r="AO54" i="6"/>
  <c r="AQ54" i="6"/>
  <c r="AR54" i="6"/>
  <c r="AX56" i="6" l="1"/>
  <c r="BA56" i="6" s="1"/>
  <c r="AY56" i="6" l="1"/>
  <c r="AH56" i="6"/>
  <c r="Q58" i="6"/>
  <c r="X58" i="6" s="1"/>
  <c r="AD58" i="6" s="1"/>
  <c r="AJ58" i="6" s="1"/>
  <c r="U58" i="6" l="1"/>
  <c r="AW58" i="6"/>
  <c r="V58" i="6"/>
  <c r="O57" i="41"/>
  <c r="AO56" i="6"/>
  <c r="AQ56" i="6"/>
  <c r="AR56" i="6"/>
  <c r="AZ56" i="6"/>
  <c r="BC56" i="6" s="1"/>
  <c r="BB56" i="6"/>
  <c r="BF56" i="6"/>
  <c r="BG56" i="6" s="1"/>
  <c r="BH56" i="6" s="1"/>
  <c r="Q59" i="6" l="1"/>
  <c r="X59" i="6" s="1"/>
  <c r="AD59" i="6" s="1"/>
  <c r="AJ59" i="6" s="1"/>
  <c r="AX58" i="6"/>
  <c r="BA58" i="6" s="1"/>
  <c r="AY58" i="6" l="1"/>
  <c r="BB58" i="6" s="1"/>
  <c r="AH58" i="6"/>
  <c r="V59" i="6"/>
  <c r="O58" i="41"/>
  <c r="U59" i="6"/>
  <c r="AW59" i="6"/>
  <c r="AX59" i="6" l="1"/>
  <c r="BA59" i="6" s="1"/>
  <c r="BF58" i="6"/>
  <c r="BG58" i="6" s="1"/>
  <c r="BH58" i="6" s="1"/>
  <c r="AZ58" i="6"/>
  <c r="BC58" i="6" s="1"/>
  <c r="AR58" i="6"/>
  <c r="AO58" i="6"/>
  <c r="AQ58" i="6"/>
  <c r="AQ59" i="6" l="1"/>
  <c r="AR59" i="6"/>
  <c r="AO59" i="6"/>
  <c r="AZ59" i="6"/>
  <c r="BC59" i="6" s="1"/>
  <c r="Q61" i="6"/>
  <c r="X61" i="6" s="1"/>
  <c r="AD61" i="6" s="1"/>
  <c r="AJ61" i="6" s="1"/>
  <c r="AH59" i="6"/>
  <c r="AY59" i="6"/>
  <c r="AW61" i="6" l="1"/>
  <c r="V61" i="6"/>
  <c r="U61" i="6"/>
  <c r="O60" i="41"/>
  <c r="BB59" i="6"/>
  <c r="BF59" i="6"/>
  <c r="BG59" i="6" s="1"/>
  <c r="BH59" i="6" s="1"/>
  <c r="Q62" i="6" l="1"/>
  <c r="X62" i="6" s="1"/>
  <c r="AD62" i="6" s="1"/>
  <c r="AJ62" i="6" s="1"/>
  <c r="AX61" i="6"/>
  <c r="BA61" i="6" s="1"/>
  <c r="AY61" i="6" l="1"/>
  <c r="AH61" i="6"/>
  <c r="O61" i="41"/>
  <c r="U62" i="6"/>
  <c r="AW62" i="6"/>
  <c r="V62" i="6"/>
  <c r="AX62" i="6" l="1"/>
  <c r="BA62" i="6" s="1"/>
  <c r="AZ61" i="6"/>
  <c r="BC61" i="6" s="1"/>
  <c r="AR61" i="6"/>
  <c r="AO61" i="6"/>
  <c r="AQ61" i="6"/>
  <c r="Q63" i="6"/>
  <c r="X63" i="6" s="1"/>
  <c r="AD63" i="6" s="1"/>
  <c r="AJ63" i="6" s="1"/>
  <c r="BB61" i="6"/>
  <c r="BF61" i="6"/>
  <c r="BG61" i="6" s="1"/>
  <c r="BH61" i="6" s="1"/>
  <c r="AO62" i="6" l="1"/>
  <c r="AZ62" i="6"/>
  <c r="BC62" i="6" s="1"/>
  <c r="AR62" i="6"/>
  <c r="AQ62" i="6"/>
  <c r="Q64" i="6"/>
  <c r="X64" i="6" s="1"/>
  <c r="AD64" i="6" s="1"/>
  <c r="AJ64" i="6" s="1"/>
  <c r="V63" i="6"/>
  <c r="AW63" i="6"/>
  <c r="AX63" i="6"/>
  <c r="BA63" i="6" s="1"/>
  <c r="O62" i="41"/>
  <c r="U63" i="6"/>
  <c r="AY62" i="6"/>
  <c r="AH62" i="6"/>
  <c r="Q65" i="6" l="1"/>
  <c r="X65" i="6" s="1"/>
  <c r="AD65" i="6" s="1"/>
  <c r="AJ65" i="6" s="1"/>
  <c r="U64" i="6"/>
  <c r="V64" i="6"/>
  <c r="AW64" i="6"/>
  <c r="O63" i="41"/>
  <c r="BB62" i="6"/>
  <c r="BF62" i="6"/>
  <c r="BG62" i="6" s="1"/>
  <c r="BH62" i="6" s="1"/>
  <c r="AY63" i="6" l="1"/>
  <c r="AH63" i="6"/>
  <c r="AX64" i="6"/>
  <c r="BA64" i="6" s="1"/>
  <c r="AW65" i="6"/>
  <c r="O64" i="41"/>
  <c r="U65" i="6"/>
  <c r="V65" i="6"/>
  <c r="Q66" i="6" l="1"/>
  <c r="X66" i="6" s="1"/>
  <c r="AD66" i="6" s="1"/>
  <c r="AJ66" i="6" s="1"/>
  <c r="AY64" i="6"/>
  <c r="BB64" i="6" s="1"/>
  <c r="AH64" i="6"/>
  <c r="BB63" i="6"/>
  <c r="BF63" i="6"/>
  <c r="BG63" i="6" s="1"/>
  <c r="BH63" i="6" s="1"/>
  <c r="AZ63" i="6"/>
  <c r="BC63" i="6" s="1"/>
  <c r="AQ63" i="6"/>
  <c r="AO63" i="6"/>
  <c r="AR63" i="6"/>
  <c r="AX65" i="6"/>
  <c r="BA65" i="6" s="1"/>
  <c r="BF64" i="6"/>
  <c r="BG64" i="6" s="1"/>
  <c r="BH64" i="6" s="1"/>
  <c r="AZ64" i="6" l="1"/>
  <c r="BC64" i="6" s="1"/>
  <c r="AQ64" i="6"/>
  <c r="AO64" i="6"/>
  <c r="AR64" i="6"/>
  <c r="U66" i="6"/>
  <c r="AW66" i="6"/>
  <c r="O65" i="41"/>
  <c r="V66" i="6"/>
  <c r="AY65" i="6"/>
  <c r="BB65" i="6" s="1"/>
  <c r="AH65" i="6"/>
  <c r="BF65" i="6"/>
  <c r="BG65" i="6" s="1"/>
  <c r="BH65" i="6" s="1"/>
  <c r="AX66" i="6" l="1"/>
  <c r="BA66" i="6" s="1"/>
  <c r="AQ65" i="6"/>
  <c r="AZ65" i="6"/>
  <c r="BC65" i="6" s="1"/>
  <c r="AO65" i="6"/>
  <c r="AR65" i="6"/>
  <c r="Q67" i="6"/>
  <c r="X67" i="6" s="1"/>
  <c r="AD67" i="6" s="1"/>
  <c r="AJ67" i="6" s="1"/>
  <c r="AY66" i="6" l="1"/>
  <c r="BB66" i="6" s="1"/>
  <c r="AH66" i="6"/>
  <c r="AW67" i="6"/>
  <c r="V67" i="6"/>
  <c r="O66" i="41"/>
  <c r="U67" i="6"/>
  <c r="BF66" i="6" l="1"/>
  <c r="BG66" i="6" s="1"/>
  <c r="BH66" i="6" s="1"/>
  <c r="AX67" i="6"/>
  <c r="BA67" i="6" s="1"/>
  <c r="Q68" i="6"/>
  <c r="X68" i="6" s="1"/>
  <c r="AD68" i="6" s="1"/>
  <c r="AJ68" i="6" s="1"/>
  <c r="AZ66" i="6"/>
  <c r="BC66" i="6" s="1"/>
  <c r="AQ66" i="6"/>
  <c r="AO66" i="6"/>
  <c r="AR66" i="6"/>
  <c r="AY67" i="6" l="1"/>
  <c r="AH67" i="6"/>
  <c r="AW68" i="6"/>
  <c r="U68" i="6"/>
  <c r="V68" i="6"/>
  <c r="O67" i="41"/>
  <c r="AX68" i="6" l="1"/>
  <c r="BA68" i="6" s="1"/>
  <c r="Q69" i="6"/>
  <c r="X69" i="6" s="1"/>
  <c r="AD69" i="6" s="1"/>
  <c r="AJ69" i="6" s="1"/>
  <c r="AQ67" i="6"/>
  <c r="AO67" i="6"/>
  <c r="AZ67" i="6"/>
  <c r="BC67" i="6" s="1"/>
  <c r="AR67" i="6"/>
  <c r="BB67" i="6"/>
  <c r="BF67" i="6"/>
  <c r="BG67" i="6" s="1"/>
  <c r="BH67" i="6" s="1"/>
  <c r="AY68" i="6" l="1"/>
  <c r="AH68" i="6"/>
  <c r="U69" i="6"/>
  <c r="AX69" i="6"/>
  <c r="BA69" i="6" s="1"/>
  <c r="V69" i="6"/>
  <c r="AW69" i="6"/>
  <c r="O68" i="41"/>
  <c r="AH69" i="6" l="1"/>
  <c r="AY69" i="6"/>
  <c r="BB69" i="6" s="1"/>
  <c r="AZ68" i="6"/>
  <c r="BC68" i="6" s="1"/>
  <c r="AR68" i="6"/>
  <c r="AO68" i="6"/>
  <c r="AQ68" i="6"/>
  <c r="BF69" i="6"/>
  <c r="BG69" i="6" s="1"/>
  <c r="BH69" i="6" s="1"/>
  <c r="Q70" i="6"/>
  <c r="X70" i="6" s="1"/>
  <c r="AD70" i="6" s="1"/>
  <c r="AJ70" i="6" s="1"/>
  <c r="BB68" i="6"/>
  <c r="BF68" i="6"/>
  <c r="BG68" i="6" s="1"/>
  <c r="BH68" i="6" s="1"/>
  <c r="AZ69" i="6" l="1"/>
  <c r="BC69" i="6" s="1"/>
  <c r="AO69" i="6"/>
  <c r="AR69" i="6"/>
  <c r="AQ69" i="6"/>
  <c r="AW70" i="6"/>
  <c r="V70" i="6"/>
  <c r="U70" i="6"/>
  <c r="O69" i="41"/>
  <c r="Q71" i="6" l="1"/>
  <c r="X71" i="6" s="1"/>
  <c r="AD71" i="6" s="1"/>
  <c r="AJ71" i="6" s="1"/>
  <c r="AX70" i="6"/>
  <c r="BA70" i="6" s="1"/>
  <c r="AZ70" i="6" l="1"/>
  <c r="BC70" i="6" s="1"/>
  <c r="AO70" i="6"/>
  <c r="AR70" i="6"/>
  <c r="AQ70" i="6"/>
  <c r="AH70" i="6"/>
  <c r="AY70" i="6"/>
  <c r="BB70" i="6" s="1"/>
  <c r="V71" i="6"/>
  <c r="U71" i="6"/>
  <c r="O70" i="41"/>
  <c r="AW71" i="6"/>
  <c r="AX71" i="6" l="1"/>
  <c r="BA71" i="6" s="1"/>
  <c r="BF70" i="6"/>
  <c r="BG70" i="6" s="1"/>
  <c r="BH70" i="6" s="1"/>
  <c r="AZ71" i="6" l="1"/>
  <c r="BC71" i="6" s="1"/>
  <c r="AO71" i="6"/>
  <c r="AQ71" i="6"/>
  <c r="AR71" i="6"/>
  <c r="AH71" i="6"/>
  <c r="AY71" i="6"/>
  <c r="BB71" i="6" l="1"/>
  <c r="BF71" i="6"/>
  <c r="BG71" i="6" s="1"/>
  <c r="BH71" i="6" s="1"/>
  <c r="Q74" i="6"/>
  <c r="X74" i="6" s="1"/>
  <c r="AD74" i="6" s="1"/>
  <c r="AJ74" i="6" s="1"/>
  <c r="AW74" i="6" l="1"/>
  <c r="V74" i="6"/>
  <c r="U74" i="6"/>
  <c r="O73" i="41"/>
  <c r="Q75" i="6" l="1"/>
  <c r="X75" i="6" s="1"/>
  <c r="AD75" i="6" s="1"/>
  <c r="AJ75" i="6" s="1"/>
  <c r="AX74" i="6"/>
  <c r="BA74" i="6" s="1"/>
  <c r="AY74" i="6" l="1"/>
  <c r="BB74" i="6" s="1"/>
  <c r="AH74" i="6"/>
  <c r="O74" i="41"/>
  <c r="V75" i="6"/>
  <c r="U75" i="6"/>
  <c r="AW75" i="6"/>
  <c r="AX75" i="6" l="1"/>
  <c r="BA75" i="6" s="1"/>
  <c r="AZ74" i="6"/>
  <c r="BC74" i="6" s="1"/>
  <c r="AR74" i="6"/>
  <c r="AQ74" i="6"/>
  <c r="AO74" i="6"/>
  <c r="BF74" i="6"/>
  <c r="BG74" i="6" s="1"/>
  <c r="BH74" i="6" s="1"/>
  <c r="Q77" i="6" l="1"/>
  <c r="X77" i="6" s="1"/>
  <c r="AD77" i="6" s="1"/>
  <c r="AJ77" i="6" s="1"/>
  <c r="AH75" i="6"/>
  <c r="AY75" i="6"/>
  <c r="BB75" i="6" l="1"/>
  <c r="BF75" i="6"/>
  <c r="BG75" i="6" s="1"/>
  <c r="BH75" i="6" s="1"/>
  <c r="AO75" i="6"/>
  <c r="AR75" i="6"/>
  <c r="AQ75" i="6"/>
  <c r="AZ75" i="6"/>
  <c r="BC75" i="6" s="1"/>
  <c r="AW77" i="6"/>
  <c r="V77" i="6"/>
  <c r="U77" i="6"/>
  <c r="O76" i="41"/>
  <c r="AX77" i="6" l="1"/>
  <c r="BA77" i="6" s="1"/>
  <c r="Q79" i="6" l="1"/>
  <c r="X79" i="6" s="1"/>
  <c r="AD79" i="6" s="1"/>
  <c r="AJ79" i="6" s="1"/>
  <c r="AY77" i="6"/>
  <c r="BB77" i="6" s="1"/>
  <c r="AH77" i="6"/>
  <c r="BF77" i="6" l="1"/>
  <c r="BG77" i="6" s="1"/>
  <c r="BH77" i="6" s="1"/>
  <c r="AQ77" i="6"/>
  <c r="AR77" i="6"/>
  <c r="AZ77" i="6"/>
  <c r="BC77" i="6" s="1"/>
  <c r="AO77" i="6"/>
  <c r="O78" i="41"/>
  <c r="AW79" i="6"/>
  <c r="V79" i="6"/>
  <c r="U79" i="6"/>
  <c r="AX79" i="6" l="1"/>
  <c r="BA79" i="6" s="1"/>
  <c r="Q80" i="6"/>
  <c r="X80" i="6" s="1"/>
  <c r="AD80" i="6" s="1"/>
  <c r="AJ80" i="6" s="1"/>
  <c r="AQ79" i="6" l="1"/>
  <c r="AO79" i="6"/>
  <c r="AR79" i="6"/>
  <c r="AZ79" i="6"/>
  <c r="BC79" i="6" s="1"/>
  <c r="V80" i="6"/>
  <c r="AW80" i="6"/>
  <c r="O79" i="41"/>
  <c r="AX80" i="6"/>
  <c r="BA80" i="6" s="1"/>
  <c r="U80" i="6"/>
  <c r="AY79" i="6"/>
  <c r="AH79" i="6"/>
  <c r="Q81" i="6" l="1"/>
  <c r="X81" i="6" s="1"/>
  <c r="AD81" i="6" s="1"/>
  <c r="AJ81" i="6" s="1"/>
  <c r="BB79" i="6"/>
  <c r="BF79" i="6"/>
  <c r="BG79" i="6" s="1"/>
  <c r="BH79" i="6" s="1"/>
  <c r="AY80" i="6" l="1"/>
  <c r="AH80" i="6"/>
  <c r="AW81" i="6"/>
  <c r="U81" i="6"/>
  <c r="O80" i="41"/>
  <c r="V81" i="6"/>
  <c r="AX81" i="6" l="1"/>
  <c r="BA81" i="6" s="1"/>
  <c r="BB80" i="6"/>
  <c r="BF80" i="6"/>
  <c r="BG80" i="6" s="1"/>
  <c r="BH80" i="6" s="1"/>
  <c r="AZ80" i="6"/>
  <c r="BC80" i="6" s="1"/>
  <c r="AQ80" i="6"/>
  <c r="AO80" i="6"/>
  <c r="AR80" i="6"/>
  <c r="AH81" i="6" l="1"/>
  <c r="AY81" i="6"/>
  <c r="BB81" i="6" s="1"/>
  <c r="AZ81" i="6" l="1"/>
  <c r="BC81" i="6" s="1"/>
  <c r="AO81" i="6"/>
  <c r="AR81" i="6"/>
  <c r="AQ81" i="6"/>
  <c r="BF81" i="6"/>
  <c r="BG81" i="6" s="1"/>
  <c r="BH81" i="6" s="1"/>
  <c r="Q85" i="6" l="1"/>
  <c r="X85" i="6" s="1"/>
  <c r="AD85" i="6" s="1"/>
  <c r="AJ85" i="6" s="1"/>
  <c r="O84" i="41" l="1"/>
  <c r="AW85" i="6"/>
  <c r="U85" i="6"/>
  <c r="V85" i="6"/>
  <c r="AX85" i="6" l="1"/>
  <c r="BA85" i="6" s="1"/>
  <c r="AZ85" i="6" l="1"/>
  <c r="BC85" i="6" s="1"/>
  <c r="AO85" i="6"/>
  <c r="AR85" i="6"/>
  <c r="AQ85" i="6"/>
  <c r="Q87" i="6"/>
  <c r="X87" i="6" s="1"/>
  <c r="AD87" i="6" s="1"/>
  <c r="AJ87" i="6" s="1"/>
  <c r="AY85" i="6"/>
  <c r="AH85" i="6"/>
  <c r="BB85" i="6" l="1"/>
  <c r="BF85" i="6"/>
  <c r="BG85" i="6" s="1"/>
  <c r="BH85" i="6" s="1"/>
  <c r="U87" i="6"/>
  <c r="O86" i="41"/>
  <c r="V87" i="6"/>
  <c r="AW87" i="6"/>
  <c r="AX87" i="6" l="1"/>
  <c r="BA87" i="6" s="1"/>
  <c r="Q89" i="6" l="1"/>
  <c r="X89" i="6" s="1"/>
  <c r="AD89" i="6" s="1"/>
  <c r="AJ89" i="6" s="1"/>
  <c r="AY87" i="6"/>
  <c r="BB87" i="6" s="1"/>
  <c r="AH87" i="6"/>
  <c r="V89" i="6" l="1"/>
  <c r="O88" i="41"/>
  <c r="AW89" i="6"/>
  <c r="U89" i="6"/>
  <c r="BF87" i="6"/>
  <c r="BG87" i="6" s="1"/>
  <c r="BH87" i="6" s="1"/>
  <c r="AZ87" i="6"/>
  <c r="BC87" i="6" s="1"/>
  <c r="AR87" i="6"/>
  <c r="AO87" i="6"/>
  <c r="AQ87" i="6"/>
  <c r="AX89" i="6" l="1"/>
  <c r="BA89" i="6" s="1"/>
  <c r="Q90" i="6"/>
  <c r="X90" i="6" s="1"/>
  <c r="AD90" i="6" s="1"/>
  <c r="AJ90" i="6" s="1"/>
  <c r="AY89" i="6" l="1"/>
  <c r="AH89" i="6"/>
  <c r="O89" i="41"/>
  <c r="V90" i="6"/>
  <c r="U90" i="6"/>
  <c r="AX90" i="6"/>
  <c r="BA90" i="6" s="1"/>
  <c r="AW90" i="6"/>
  <c r="AZ89" i="6" l="1"/>
  <c r="BC89" i="6" s="1"/>
  <c r="AR89" i="6"/>
  <c r="AQ89" i="6"/>
  <c r="AO89" i="6"/>
  <c r="Q91" i="6"/>
  <c r="X91" i="6" s="1"/>
  <c r="AD91" i="6" s="1"/>
  <c r="AJ91" i="6" s="1"/>
  <c r="BB89" i="6"/>
  <c r="BF89" i="6"/>
  <c r="BG89" i="6" s="1"/>
  <c r="BH89" i="6" s="1"/>
  <c r="AH90" i="6" l="1"/>
  <c r="AY90" i="6"/>
  <c r="BB90" i="6" s="1"/>
  <c r="AX91" i="6"/>
  <c r="BA91" i="6" s="1"/>
  <c r="O90" i="41"/>
  <c r="AW91" i="6"/>
  <c r="V91" i="6"/>
  <c r="U91" i="6"/>
  <c r="AR90" i="6"/>
  <c r="AQ90" i="6"/>
  <c r="AO90" i="6"/>
  <c r="AZ90" i="6"/>
  <c r="BC90" i="6" s="1"/>
  <c r="BF90" i="6"/>
  <c r="BG90" i="6" s="1"/>
  <c r="BH90" i="6" s="1"/>
  <c r="Q92" i="6" l="1"/>
  <c r="X92" i="6" s="1"/>
  <c r="AD92" i="6" s="1"/>
  <c r="AJ92" i="6" s="1"/>
  <c r="O91" i="41" l="1"/>
  <c r="V92" i="6"/>
  <c r="AX92" i="6"/>
  <c r="BA92" i="6" s="1"/>
  <c r="AW92" i="6"/>
  <c r="U92" i="6"/>
  <c r="AY91" i="6"/>
  <c r="AH91" i="6"/>
  <c r="BB91" i="6" l="1"/>
  <c r="BF91" i="6"/>
  <c r="BG91" i="6" s="1"/>
  <c r="BH91" i="6" s="1"/>
  <c r="AR91" i="6"/>
  <c r="AO91" i="6"/>
  <c r="AQ91" i="6"/>
  <c r="AZ91" i="6"/>
  <c r="BC91" i="6" s="1"/>
  <c r="AH92" i="6" l="1"/>
  <c r="AY92" i="6"/>
  <c r="BB92" i="6" l="1"/>
  <c r="BF92" i="6"/>
  <c r="BG92" i="6" s="1"/>
  <c r="BH92" i="6" s="1"/>
  <c r="AO92" i="6"/>
  <c r="AZ92" i="6"/>
  <c r="BC92" i="6" s="1"/>
  <c r="AR92" i="6"/>
  <c r="AQ92" i="6"/>
  <c r="Q95" i="6"/>
  <c r="X95" i="6" s="1"/>
  <c r="AD95" i="6" s="1"/>
  <c r="AJ95" i="6" s="1"/>
  <c r="AW95" i="6" l="1"/>
  <c r="U95" i="6"/>
  <c r="V95" i="6"/>
  <c r="O94" i="41"/>
  <c r="AX95" i="6" l="1"/>
  <c r="BA95" i="6" s="1"/>
  <c r="AY95" i="6" l="1"/>
  <c r="BB95" i="6" s="1"/>
  <c r="AH95" i="6"/>
  <c r="BF95" i="6" l="1"/>
  <c r="BG95" i="6" s="1"/>
  <c r="BH95" i="6" s="1"/>
  <c r="Q98" i="6"/>
  <c r="X98" i="6" s="1"/>
  <c r="AD98" i="6" s="1"/>
  <c r="AJ98" i="6" s="1"/>
  <c r="AO95" i="6"/>
  <c r="AR95" i="6"/>
  <c r="AZ95" i="6"/>
  <c r="BC95" i="6" s="1"/>
  <c r="AQ95" i="6"/>
  <c r="V98" i="6" l="1"/>
  <c r="U98" i="6"/>
  <c r="AW98" i="6"/>
  <c r="O97" i="41"/>
  <c r="Q99" i="6" l="1"/>
  <c r="X99" i="6" s="1"/>
  <c r="AD99" i="6" s="1"/>
  <c r="AJ99" i="6" s="1"/>
  <c r="AX98" i="6"/>
  <c r="BA98" i="6" s="1"/>
  <c r="AY98" i="6" l="1"/>
  <c r="BB98" i="6" s="1"/>
  <c r="AH98" i="6"/>
  <c r="V99" i="6"/>
  <c r="O98" i="41"/>
  <c r="AW99" i="6"/>
  <c r="U99" i="6"/>
  <c r="BF98" i="6" l="1"/>
  <c r="BG98" i="6" s="1"/>
  <c r="BH98" i="6" s="1"/>
  <c r="AX99" i="6"/>
  <c r="BA99" i="6" s="1"/>
  <c r="AZ98" i="6"/>
  <c r="BC98" i="6" s="1"/>
  <c r="AQ98" i="6"/>
  <c r="AO98" i="6"/>
  <c r="AR98" i="6"/>
  <c r="Q100" i="6"/>
  <c r="X100" i="6" s="1"/>
  <c r="AD100" i="6" s="1"/>
  <c r="AJ100" i="6" s="1"/>
  <c r="AW100" i="6" l="1"/>
  <c r="U100" i="6"/>
  <c r="O99" i="41"/>
  <c r="V100" i="6"/>
  <c r="AO99" i="6"/>
  <c r="AR99" i="6"/>
  <c r="AQ99" i="6"/>
  <c r="AZ99" i="6"/>
  <c r="BC99" i="6" s="1"/>
  <c r="AY99" i="6"/>
  <c r="AH99" i="6"/>
  <c r="AX100" i="6" l="1"/>
  <c r="BA100" i="6" s="1"/>
  <c r="BB99" i="6"/>
  <c r="BF99" i="6"/>
  <c r="BG99" i="6" s="1"/>
  <c r="BH99" i="6" s="1"/>
  <c r="Q102" i="6" l="1"/>
  <c r="X102" i="6" s="1"/>
  <c r="AD102" i="6" s="1"/>
  <c r="AJ102" i="6" s="1"/>
  <c r="AH100" i="6"/>
  <c r="AY100" i="6"/>
  <c r="AZ100" i="6" l="1"/>
  <c r="BC100" i="6" s="1"/>
  <c r="AR100" i="6"/>
  <c r="AQ100" i="6"/>
  <c r="AO100" i="6"/>
  <c r="BB100" i="6"/>
  <c r="BF100" i="6"/>
  <c r="BG100" i="6" s="1"/>
  <c r="BH100" i="6" s="1"/>
  <c r="U102" i="6"/>
  <c r="O101" i="41"/>
  <c r="V102" i="6"/>
  <c r="AW102" i="6"/>
  <c r="Q103" i="6" l="1"/>
  <c r="X103" i="6" s="1"/>
  <c r="AD103" i="6" s="1"/>
  <c r="AJ103" i="6" s="1"/>
  <c r="AX102" i="6"/>
  <c r="BA102" i="6" s="1"/>
  <c r="AY102" i="6" l="1"/>
  <c r="BB102" i="6" s="1"/>
  <c r="AH102" i="6"/>
  <c r="V103" i="6"/>
  <c r="AW103" i="6"/>
  <c r="O102" i="41"/>
  <c r="U103" i="6"/>
  <c r="AX103" i="6"/>
  <c r="BA103" i="6" s="1"/>
  <c r="BF102" i="6" l="1"/>
  <c r="BG102" i="6" s="1"/>
  <c r="BH102" i="6" s="1"/>
  <c r="AZ102" i="6"/>
  <c r="BC102" i="6" s="1"/>
  <c r="AR102" i="6"/>
  <c r="AQ102" i="6"/>
  <c r="AO102" i="6"/>
  <c r="AH103" i="6" l="1"/>
  <c r="AY103" i="6"/>
  <c r="Q105" i="6"/>
  <c r="X105" i="6" s="1"/>
  <c r="AD105" i="6" s="1"/>
  <c r="AJ105" i="6" s="1"/>
  <c r="AQ103" i="6"/>
  <c r="AR103" i="6"/>
  <c r="AO103" i="6"/>
  <c r="AZ103" i="6"/>
  <c r="BC103" i="6" s="1"/>
  <c r="BB103" i="6" l="1"/>
  <c r="BF103" i="6"/>
  <c r="BG103" i="6" s="1"/>
  <c r="BH103" i="6" s="1"/>
  <c r="AW105" i="6"/>
  <c r="U105" i="6"/>
  <c r="O104" i="41"/>
  <c r="V105" i="6"/>
  <c r="Q106" i="6" l="1"/>
  <c r="X106" i="6" s="1"/>
  <c r="AD106" i="6" s="1"/>
  <c r="AJ106" i="6" s="1"/>
  <c r="AX105" i="6"/>
  <c r="BA105" i="6" s="1"/>
  <c r="AH105" i="6" l="1"/>
  <c r="AY105" i="6"/>
  <c r="V106" i="6"/>
  <c r="AW106" i="6"/>
  <c r="U106" i="6"/>
  <c r="O105" i="41"/>
  <c r="AX106" i="6" l="1"/>
  <c r="BA106" i="6" s="1"/>
  <c r="AZ105" i="6"/>
  <c r="BC105" i="6" s="1"/>
  <c r="AR105" i="6"/>
  <c r="AQ105" i="6"/>
  <c r="AO105" i="6"/>
  <c r="Q107" i="6"/>
  <c r="X107" i="6" s="1"/>
  <c r="AD107" i="6" s="1"/>
  <c r="AJ107" i="6" s="1"/>
  <c r="BB105" i="6"/>
  <c r="BF105" i="6"/>
  <c r="BG105" i="6" s="1"/>
  <c r="BH105" i="6" s="1"/>
  <c r="AR106" i="6" l="1"/>
  <c r="AZ106" i="6"/>
  <c r="BC106" i="6" s="1"/>
  <c r="AQ106" i="6"/>
  <c r="AO106" i="6"/>
  <c r="U107" i="6"/>
  <c r="V107" i="6"/>
  <c r="AW107" i="6"/>
  <c r="O106" i="41"/>
  <c r="AY106" i="6"/>
  <c r="AH106" i="6"/>
  <c r="BB106" i="6" l="1"/>
  <c r="BF106" i="6"/>
  <c r="BG106" i="6" s="1"/>
  <c r="BH106" i="6" s="1"/>
  <c r="Q108" i="6"/>
  <c r="X108" i="6" s="1"/>
  <c r="AD108" i="6" s="1"/>
  <c r="AJ108" i="6" s="1"/>
  <c r="AX107" i="6"/>
  <c r="BA107" i="6" s="1"/>
  <c r="AY107" i="6" l="1"/>
  <c r="BB107" i="6" s="1"/>
  <c r="AH107" i="6"/>
  <c r="AX108" i="6"/>
  <c r="BA108" i="6" s="1"/>
  <c r="AW108" i="6"/>
  <c r="O107" i="41"/>
  <c r="V108" i="6"/>
  <c r="U108" i="6"/>
  <c r="BF107" i="6" l="1"/>
  <c r="BG107" i="6" s="1"/>
  <c r="BH107" i="6" s="1"/>
  <c r="AO107" i="6"/>
  <c r="AR107" i="6"/>
  <c r="AZ107" i="6"/>
  <c r="BC107" i="6" s="1"/>
  <c r="AQ107" i="6"/>
  <c r="AY108" i="6"/>
  <c r="BB108" i="6" s="1"/>
  <c r="AH108" i="6"/>
  <c r="AZ108" i="6" l="1"/>
  <c r="BC108" i="6" s="1"/>
  <c r="AO108" i="6"/>
  <c r="AQ108" i="6"/>
  <c r="AR108" i="6"/>
  <c r="BF108" i="6"/>
  <c r="BG108" i="6" s="1"/>
  <c r="BH108" i="6" s="1"/>
  <c r="Q111" i="6" l="1"/>
  <c r="X111" i="6" s="1"/>
  <c r="AD111" i="6" s="1"/>
  <c r="AJ111" i="6" s="1"/>
  <c r="AW111" i="6" l="1"/>
  <c r="U111" i="6"/>
  <c r="O110" i="41"/>
  <c r="V111" i="6"/>
  <c r="AX111" i="6" l="1"/>
  <c r="BA111" i="6" s="1"/>
  <c r="Q113" i="6" l="1"/>
  <c r="X113" i="6" s="1"/>
  <c r="AD113" i="6" s="1"/>
  <c r="AJ113" i="6" s="1"/>
  <c r="AZ111" i="6"/>
  <c r="BC111" i="6" s="1"/>
  <c r="AR111" i="6"/>
  <c r="AQ111" i="6"/>
  <c r="AO111" i="6"/>
  <c r="AY111" i="6"/>
  <c r="AH111" i="6"/>
  <c r="BB111" i="6" l="1"/>
  <c r="BF111" i="6"/>
  <c r="BG111" i="6" s="1"/>
  <c r="BH111" i="6" s="1"/>
  <c r="AW113" i="6"/>
  <c r="O112" i="41"/>
  <c r="U113" i="6"/>
  <c r="V113" i="6"/>
  <c r="AX113" i="6"/>
  <c r="BA113" i="6" s="1"/>
  <c r="Q114" i="6"/>
  <c r="X114" i="6" s="1"/>
  <c r="AD114" i="6" s="1"/>
  <c r="AJ114" i="6" s="1"/>
  <c r="AH113" i="6" l="1"/>
  <c r="U114" i="6"/>
  <c r="O113" i="41"/>
  <c r="V114" i="6"/>
  <c r="AX114" i="6"/>
  <c r="BA114" i="6" s="1"/>
  <c r="AW114" i="6"/>
  <c r="AY113" i="6" l="1"/>
  <c r="BB113" i="6" s="1"/>
  <c r="AO113" i="6"/>
  <c r="Q115" i="6"/>
  <c r="X115" i="6" s="1"/>
  <c r="AD115" i="6" s="1"/>
  <c r="AJ115" i="6" s="1"/>
  <c r="AQ113" i="6"/>
  <c r="AR113" i="6"/>
  <c r="AZ113" i="6"/>
  <c r="BC113" i="6" s="1"/>
  <c r="AH114" i="6" l="1"/>
  <c r="AY114" i="6"/>
  <c r="BB114" i="6" s="1"/>
  <c r="BF113" i="6"/>
  <c r="BG113" i="6" s="1"/>
  <c r="BH113" i="6" s="1"/>
  <c r="U115" i="6"/>
  <c r="O114" i="41"/>
  <c r="AW115" i="6"/>
  <c r="V115" i="6"/>
  <c r="AO114" i="6"/>
  <c r="AQ114" i="6"/>
  <c r="AR114" i="6"/>
  <c r="AZ114" i="6"/>
  <c r="BC114" i="6" s="1"/>
  <c r="BF114" i="6"/>
  <c r="BG114" i="6" s="1"/>
  <c r="BH114" i="6" s="1"/>
  <c r="AX115" i="6" l="1"/>
  <c r="BA115" i="6" s="1"/>
  <c r="Q116" i="6"/>
  <c r="X116" i="6" s="1"/>
  <c r="AD116" i="6" s="1"/>
  <c r="AJ116" i="6" s="1"/>
  <c r="AZ115" i="6" l="1"/>
  <c r="BC115" i="6" s="1"/>
  <c r="AO115" i="6"/>
  <c r="AR115" i="6"/>
  <c r="AQ115" i="6"/>
  <c r="U116" i="6"/>
  <c r="V116" i="6"/>
  <c r="O115" i="41"/>
  <c r="AW116" i="6"/>
  <c r="AY115" i="6"/>
  <c r="BB115" i="6" s="1"/>
  <c r="AH115" i="6"/>
  <c r="BF115" i="6" l="1"/>
  <c r="BG115" i="6" s="1"/>
  <c r="BH115" i="6" s="1"/>
  <c r="AX116" i="6"/>
  <c r="BA116" i="6" s="1"/>
  <c r="AZ116" i="6" l="1"/>
  <c r="BC116" i="6" s="1"/>
  <c r="AO116" i="6"/>
  <c r="AQ116" i="6"/>
  <c r="AR116" i="6"/>
  <c r="AY116" i="6"/>
  <c r="BB116" i="6" s="1"/>
  <c r="AH116" i="6"/>
  <c r="Q119" i="6" l="1"/>
  <c r="X119" i="6" s="1"/>
  <c r="AD119" i="6" s="1"/>
  <c r="AJ119" i="6" s="1"/>
  <c r="BF116" i="6"/>
  <c r="BG116" i="6" s="1"/>
  <c r="BH116" i="6" s="1"/>
  <c r="U119" i="6" l="1"/>
  <c r="AW119" i="6"/>
  <c r="V119" i="6"/>
  <c r="O118" i="41"/>
  <c r="AX119" i="6" l="1"/>
  <c r="BA119" i="6" s="1"/>
  <c r="Q120" i="6"/>
  <c r="X120" i="6" s="1"/>
  <c r="AD120" i="6" s="1"/>
  <c r="AJ120" i="6" s="1"/>
  <c r="AW120" i="6" l="1"/>
  <c r="U120" i="6"/>
  <c r="V120" i="6"/>
  <c r="O119" i="41"/>
  <c r="AY119" i="6"/>
  <c r="BB119" i="6" s="1"/>
  <c r="AH119" i="6"/>
  <c r="AX120" i="6" l="1"/>
  <c r="BA120" i="6" s="1"/>
  <c r="BF119" i="6"/>
  <c r="BG119" i="6" s="1"/>
  <c r="BH119" i="6" s="1"/>
  <c r="AZ119" i="6"/>
  <c r="BC119" i="6" s="1"/>
  <c r="AR119" i="6"/>
  <c r="AO119" i="6"/>
  <c r="AQ119" i="6"/>
  <c r="AZ120" i="6" l="1"/>
  <c r="BC120" i="6" s="1"/>
  <c r="AR120" i="6"/>
  <c r="AQ120" i="6"/>
  <c r="AO120" i="6"/>
  <c r="Q122" i="6"/>
  <c r="X122" i="6" s="1"/>
  <c r="AD122" i="6" s="1"/>
  <c r="AJ122" i="6" s="1"/>
  <c r="AY120" i="6"/>
  <c r="AH120" i="6"/>
  <c r="BB120" i="6" l="1"/>
  <c r="BF120" i="6"/>
  <c r="BG120" i="6" s="1"/>
  <c r="BH120" i="6" s="1"/>
  <c r="O121" i="41"/>
  <c r="V122" i="6"/>
  <c r="U122" i="6"/>
  <c r="AW122" i="6"/>
  <c r="AX122" i="6" l="1"/>
  <c r="BA122" i="6" s="1"/>
  <c r="Q124" i="6" l="1"/>
  <c r="X124" i="6" s="1"/>
  <c r="AD124" i="6" s="1"/>
  <c r="AJ124" i="6" s="1"/>
  <c r="AH122" i="6"/>
  <c r="AY122" i="6"/>
  <c r="BB122" i="6" s="1"/>
  <c r="BF122" i="6" l="1"/>
  <c r="BG122" i="6" s="1"/>
  <c r="BH122" i="6" s="1"/>
  <c r="AQ122" i="6"/>
  <c r="AZ122" i="6"/>
  <c r="BC122" i="6" s="1"/>
  <c r="AO122" i="6"/>
  <c r="AR122" i="6"/>
  <c r="O123" i="41"/>
  <c r="AW124" i="6"/>
  <c r="U124" i="6"/>
  <c r="V124" i="6"/>
  <c r="AX124" i="6" l="1"/>
  <c r="BA124" i="6" s="1"/>
  <c r="Q125" i="6"/>
  <c r="X125" i="6" s="1"/>
  <c r="AD125" i="6" s="1"/>
  <c r="AJ125" i="6" s="1"/>
  <c r="O124" i="41" l="1"/>
  <c r="AW125" i="6"/>
  <c r="V125" i="6"/>
  <c r="U125" i="6"/>
  <c r="AZ124" i="6"/>
  <c r="BC124" i="6" s="1"/>
  <c r="AQ124" i="6"/>
  <c r="AO124" i="6"/>
  <c r="AR124" i="6"/>
  <c r="AY124" i="6"/>
  <c r="BB124" i="6" s="1"/>
  <c r="AH124" i="6"/>
  <c r="BF124" i="6" l="1"/>
  <c r="BG124" i="6" s="1"/>
  <c r="BH124" i="6" s="1"/>
  <c r="Q126" i="6"/>
  <c r="X126" i="6" s="1"/>
  <c r="AD126" i="6" s="1"/>
  <c r="AJ126" i="6" s="1"/>
  <c r="AX125" i="6"/>
  <c r="BA125" i="6" s="1"/>
  <c r="AY125" i="6" l="1"/>
  <c r="BB125" i="6" s="1"/>
  <c r="AH125" i="6"/>
  <c r="AW126" i="6"/>
  <c r="O125" i="41"/>
  <c r="V126" i="6"/>
  <c r="U126" i="6"/>
  <c r="AX126" i="6" l="1"/>
  <c r="BA126" i="6" s="1"/>
  <c r="BF125" i="6"/>
  <c r="BG125" i="6" s="1"/>
  <c r="BH125" i="6" s="1"/>
  <c r="Q127" i="6"/>
  <c r="X127" i="6" s="1"/>
  <c r="AD127" i="6" s="1"/>
  <c r="AJ127" i="6" s="1"/>
  <c r="AQ125" i="6"/>
  <c r="AR125" i="6"/>
  <c r="AO125" i="6"/>
  <c r="AZ125" i="6"/>
  <c r="BC125" i="6" s="1"/>
  <c r="AZ126" i="6" l="1"/>
  <c r="BC126" i="6" s="1"/>
  <c r="AO126" i="6"/>
  <c r="AR126" i="6"/>
  <c r="AQ126" i="6"/>
  <c r="AW127" i="6"/>
  <c r="O126" i="41"/>
  <c r="U127" i="6"/>
  <c r="V127" i="6"/>
  <c r="AH126" i="6"/>
  <c r="AY126" i="6"/>
  <c r="BB126" i="6" s="1"/>
  <c r="BF126" i="6" l="1"/>
  <c r="BG126" i="6" s="1"/>
  <c r="BH126" i="6" s="1"/>
  <c r="AX127" i="6"/>
  <c r="BA127" i="6" s="1"/>
  <c r="Q128" i="6"/>
  <c r="X128" i="6" s="1"/>
  <c r="AD128" i="6" s="1"/>
  <c r="AJ128" i="6" s="1"/>
  <c r="AZ127" i="6" l="1"/>
  <c r="BC127" i="6" s="1"/>
  <c r="AO127" i="6"/>
  <c r="AR127" i="6"/>
  <c r="AQ127" i="6"/>
  <c r="V128" i="6"/>
  <c r="AW128" i="6"/>
  <c r="U128" i="6"/>
  <c r="O127" i="41"/>
  <c r="AH127" i="6"/>
  <c r="AY127" i="6"/>
  <c r="AX128" i="6" l="1"/>
  <c r="BA128" i="6" s="1"/>
  <c r="BB127" i="6"/>
  <c r="BF127" i="6"/>
  <c r="BG127" i="6" s="1"/>
  <c r="BH127" i="6" s="1"/>
  <c r="Q129" i="6"/>
  <c r="X129" i="6" s="1"/>
  <c r="AD129" i="6" s="1"/>
  <c r="AJ129" i="6" s="1"/>
  <c r="V129" i="6" l="1"/>
  <c r="AW129" i="6"/>
  <c r="U129" i="6"/>
  <c r="O128" i="41"/>
  <c r="AQ128" i="6"/>
  <c r="AZ128" i="6"/>
  <c r="BC128" i="6" s="1"/>
  <c r="AR128" i="6"/>
  <c r="AO128" i="6"/>
  <c r="AY128" i="6"/>
  <c r="AH128" i="6"/>
  <c r="Q130" i="6" l="1"/>
  <c r="X130" i="6" s="1"/>
  <c r="AD130" i="6" s="1"/>
  <c r="AJ130" i="6" s="1"/>
  <c r="AX129" i="6"/>
  <c r="BA129" i="6" s="1"/>
  <c r="BB128" i="6"/>
  <c r="BF128" i="6"/>
  <c r="BG128" i="6" s="1"/>
  <c r="BH128" i="6" s="1"/>
  <c r="AY129" i="6" l="1"/>
  <c r="AH129" i="6"/>
  <c r="AX130" i="6"/>
  <c r="BA130" i="6" s="1"/>
  <c r="AW130" i="6"/>
  <c r="O129" i="41"/>
  <c r="U130" i="6"/>
  <c r="V130" i="6"/>
  <c r="AH130" i="6" l="1"/>
  <c r="AY130" i="6"/>
  <c r="BB130" i="6" s="1"/>
  <c r="AZ129" i="6"/>
  <c r="BC129" i="6" s="1"/>
  <c r="AO129" i="6"/>
  <c r="AQ129" i="6"/>
  <c r="AR129" i="6"/>
  <c r="BB129" i="6"/>
  <c r="BF129" i="6"/>
  <c r="BG129" i="6" s="1"/>
  <c r="BH129" i="6" s="1"/>
  <c r="BF130" i="6" l="1"/>
  <c r="BG130" i="6" s="1"/>
  <c r="BH130" i="6" s="1"/>
  <c r="Q131" i="6"/>
  <c r="X131" i="6" s="1"/>
  <c r="AD131" i="6" s="1"/>
  <c r="AJ131" i="6" s="1"/>
  <c r="AR130" i="6"/>
  <c r="AZ130" i="6"/>
  <c r="BC130" i="6" s="1"/>
  <c r="AO130" i="6"/>
  <c r="AQ130" i="6"/>
  <c r="O130" i="41" l="1"/>
  <c r="V131" i="6"/>
  <c r="AW131" i="6"/>
  <c r="U131" i="6"/>
  <c r="AX131" i="6" l="1"/>
  <c r="AO131" i="6" l="1"/>
  <c r="AZ131" i="6"/>
  <c r="AQ131" i="6"/>
  <c r="AR131" i="6"/>
  <c r="BA131" i="6"/>
  <c r="AY131" i="6"/>
  <c r="BF131" i="6" s="1"/>
  <c r="AH131" i="6"/>
  <c r="BG131" i="6" l="1"/>
  <c r="BB131" i="6"/>
  <c r="BC131" i="6"/>
  <c r="BH131" i="6" l="1"/>
  <c r="Q19" i="6" l="1"/>
  <c r="X19" i="6" s="1"/>
  <c r="AD19" i="6" s="1"/>
  <c r="AJ19" i="6" s="1"/>
  <c r="AZ19" i="6" s="1"/>
  <c r="Q22" i="6"/>
  <c r="X22" i="6" s="1"/>
  <c r="AD22" i="6" s="1"/>
  <c r="AJ22" i="6" s="1"/>
  <c r="Q26" i="6"/>
  <c r="X26" i="6" s="1"/>
  <c r="AD26" i="6" s="1"/>
  <c r="AJ26" i="6" s="1"/>
  <c r="Q28" i="6"/>
  <c r="X28" i="6" s="1"/>
  <c r="AD28" i="6" s="1"/>
  <c r="AJ28" i="6" s="1"/>
  <c r="Q30" i="6"/>
  <c r="X30" i="6" s="1"/>
  <c r="AD30" i="6" s="1"/>
  <c r="AJ30" i="6" s="1"/>
  <c r="Q36" i="6"/>
  <c r="X36" i="6" s="1"/>
  <c r="AD36" i="6" s="1"/>
  <c r="AJ36" i="6" s="1"/>
  <c r="Q42" i="6"/>
  <c r="X42" i="6" s="1"/>
  <c r="AD42" i="6" s="1"/>
  <c r="AJ42" i="6" s="1"/>
  <c r="Q44" i="6"/>
  <c r="X44" i="6" s="1"/>
  <c r="AD44" i="6" s="1"/>
  <c r="AJ44" i="6" s="1"/>
  <c r="Q48" i="6"/>
  <c r="X48" i="6" s="1"/>
  <c r="AD48" i="6" s="1"/>
  <c r="AJ48" i="6" s="1"/>
  <c r="Q50" i="6"/>
  <c r="X50" i="6" s="1"/>
  <c r="AD50" i="6" s="1"/>
  <c r="AJ50" i="6" s="1"/>
  <c r="Q55" i="6"/>
  <c r="Q57" i="6"/>
  <c r="Q60" i="6"/>
  <c r="O59" i="41" s="1"/>
  <c r="Q72" i="6"/>
  <c r="Q73" i="6"/>
  <c r="Q76" i="6"/>
  <c r="X76" i="6" s="1"/>
  <c r="AD76" i="6" s="1"/>
  <c r="AJ76" i="6" s="1"/>
  <c r="Q78" i="6"/>
  <c r="X78" i="6" s="1"/>
  <c r="AD78" i="6" s="1"/>
  <c r="AJ78" i="6" s="1"/>
  <c r="Q82" i="6"/>
  <c r="X82" i="6" s="1"/>
  <c r="AD82" i="6" s="1"/>
  <c r="AJ82" i="6" s="1"/>
  <c r="Q83" i="6"/>
  <c r="Q84" i="6"/>
  <c r="Q86" i="6"/>
  <c r="O85" i="41" s="1"/>
  <c r="Q88" i="6"/>
  <c r="Q93" i="6"/>
  <c r="X93" i="6" s="1"/>
  <c r="AD93" i="6" s="1"/>
  <c r="AJ93" i="6" s="1"/>
  <c r="Q94" i="6"/>
  <c r="X94" i="6" s="1"/>
  <c r="AD94" i="6" s="1"/>
  <c r="AJ94" i="6" s="1"/>
  <c r="Q96" i="6"/>
  <c r="X96" i="6" s="1"/>
  <c r="AD96" i="6" s="1"/>
  <c r="AJ96" i="6" s="1"/>
  <c r="Q97" i="6"/>
  <c r="AW97" i="6" s="1"/>
  <c r="Q101" i="6"/>
  <c r="Q104" i="6"/>
  <c r="Q109" i="6"/>
  <c r="X109" i="6" s="1"/>
  <c r="AD109" i="6" s="1"/>
  <c r="AJ109" i="6" s="1"/>
  <c r="Q110" i="6"/>
  <c r="Q112" i="6"/>
  <c r="X112" i="6" s="1"/>
  <c r="AD112" i="6" s="1"/>
  <c r="AJ112" i="6" s="1"/>
  <c r="Q117" i="6"/>
  <c r="X117" i="6" s="1"/>
  <c r="AD117" i="6" s="1"/>
  <c r="AJ117" i="6" s="1"/>
  <c r="Q118" i="6"/>
  <c r="X118" i="6" s="1"/>
  <c r="AD118" i="6" s="1"/>
  <c r="AJ118" i="6" s="1"/>
  <c r="Q121" i="6"/>
  <c r="X121" i="6" s="1"/>
  <c r="AD121" i="6" s="1"/>
  <c r="AJ121" i="6" s="1"/>
  <c r="Q123" i="6"/>
  <c r="AO78" i="6"/>
  <c r="AW19" i="6"/>
  <c r="AW26" i="6"/>
  <c r="AW36" i="6"/>
  <c r="AW55" i="6"/>
  <c r="AW72" i="6"/>
  <c r="AW78" i="6"/>
  <c r="V19" i="6"/>
  <c r="V26" i="6"/>
  <c r="V30" i="6"/>
  <c r="V36" i="6"/>
  <c r="V42" i="6"/>
  <c r="V44" i="6"/>
  <c r="V55" i="6"/>
  <c r="V60" i="6"/>
  <c r="V72" i="6"/>
  <c r="V76" i="6"/>
  <c r="V78" i="6"/>
  <c r="V82" i="6"/>
  <c r="V86" i="6"/>
  <c r="V93" i="6"/>
  <c r="V94" i="6"/>
  <c r="V112" i="6"/>
  <c r="V121" i="6"/>
  <c r="U19" i="6"/>
  <c r="U26" i="6"/>
  <c r="U30" i="6"/>
  <c r="U36" i="6"/>
  <c r="U42" i="6"/>
  <c r="U44" i="6"/>
  <c r="U55" i="6"/>
  <c r="U60" i="6"/>
  <c r="U72" i="6"/>
  <c r="U76" i="6"/>
  <c r="U78" i="6"/>
  <c r="U82" i="6"/>
  <c r="U86" i="6"/>
  <c r="U93" i="6"/>
  <c r="U94" i="6"/>
  <c r="U97" i="6"/>
  <c r="U112" i="6"/>
  <c r="U117" i="6"/>
  <c r="R19" i="6"/>
  <c r="T19" i="6" s="1"/>
  <c r="S20" i="6" s="1"/>
  <c r="R20" i="6" s="1"/>
  <c r="D19" i="41" s="1"/>
  <c r="O117" i="41"/>
  <c r="O111" i="41"/>
  <c r="O96" i="41"/>
  <c r="O81" i="41"/>
  <c r="O77" i="41"/>
  <c r="O71" i="41"/>
  <c r="O54" i="41"/>
  <c r="O35" i="41"/>
  <c r="O29" i="41"/>
  <c r="O25" i="41"/>
  <c r="J29" i="37"/>
  <c r="O18" i="41"/>
  <c r="AW76" i="6" l="1"/>
  <c r="AW30" i="6"/>
  <c r="O43" i="41"/>
  <c r="O93" i="41"/>
  <c r="AW60" i="6"/>
  <c r="O75" i="41"/>
  <c r="AW44" i="6"/>
  <c r="AW93" i="6"/>
  <c r="O41" i="41"/>
  <c r="O92" i="41"/>
  <c r="AW112" i="6"/>
  <c r="AW42" i="6"/>
  <c r="AW118" i="6"/>
  <c r="V73" i="6"/>
  <c r="X73" i="6"/>
  <c r="AD73" i="6" s="1"/>
  <c r="AJ73" i="6" s="1"/>
  <c r="O120" i="41"/>
  <c r="V97" i="6"/>
  <c r="AW121" i="6"/>
  <c r="X110" i="6"/>
  <c r="AD110" i="6" s="1"/>
  <c r="AJ110" i="6" s="1"/>
  <c r="V88" i="6"/>
  <c r="X88" i="6"/>
  <c r="AD88" i="6" s="1"/>
  <c r="AJ88" i="6" s="1"/>
  <c r="X72" i="6"/>
  <c r="AD72" i="6" s="1"/>
  <c r="AJ72" i="6" s="1"/>
  <c r="X86" i="6"/>
  <c r="AD86" i="6" s="1"/>
  <c r="AJ86" i="6" s="1"/>
  <c r="AO86" i="6" s="1"/>
  <c r="X60" i="6"/>
  <c r="AD60" i="6" s="1"/>
  <c r="AJ60" i="6" s="1"/>
  <c r="AR60" i="6" s="1"/>
  <c r="U121" i="6"/>
  <c r="X104" i="6"/>
  <c r="AD104" i="6" s="1"/>
  <c r="AJ104" i="6" s="1"/>
  <c r="X84" i="6"/>
  <c r="AD84" i="6" s="1"/>
  <c r="AJ84" i="6" s="1"/>
  <c r="X57" i="6"/>
  <c r="AD57" i="6" s="1"/>
  <c r="AJ57" i="6" s="1"/>
  <c r="U118" i="6"/>
  <c r="X123" i="6"/>
  <c r="AD123" i="6" s="1"/>
  <c r="AJ123" i="6" s="1"/>
  <c r="AW101" i="6"/>
  <c r="X101" i="6"/>
  <c r="AD101" i="6" s="1"/>
  <c r="AJ101" i="6" s="1"/>
  <c r="O82" i="41"/>
  <c r="X83" i="6"/>
  <c r="AD83" i="6" s="1"/>
  <c r="AJ83" i="6" s="1"/>
  <c r="X55" i="6"/>
  <c r="AD55" i="6" s="1"/>
  <c r="AJ55" i="6" s="1"/>
  <c r="X97" i="6"/>
  <c r="AD97" i="6" s="1"/>
  <c r="AO30" i="6"/>
  <c r="AQ30" i="6"/>
  <c r="O108" i="41"/>
  <c r="O116" i="41"/>
  <c r="U109" i="6"/>
  <c r="AW94" i="6"/>
  <c r="AY82" i="6"/>
  <c r="BB82" i="6" s="1"/>
  <c r="V117" i="6"/>
  <c r="AW86" i="6"/>
  <c r="AW82" i="6"/>
  <c r="AW109" i="6"/>
  <c r="V118" i="6"/>
  <c r="U84" i="6"/>
  <c r="V109" i="6"/>
  <c r="O103" i="41"/>
  <c r="AW84" i="6"/>
  <c r="AR94" i="6"/>
  <c r="AW117" i="6"/>
  <c r="AO19" i="6"/>
  <c r="AH97" i="6"/>
  <c r="O83" i="41"/>
  <c r="AR19" i="6"/>
  <c r="AH82" i="6"/>
  <c r="AQ19" i="6"/>
  <c r="V84" i="6"/>
  <c r="AH26" i="6"/>
  <c r="AY26" i="6"/>
  <c r="BB26" i="6" s="1"/>
  <c r="AH19" i="6"/>
  <c r="V101" i="6"/>
  <c r="O56" i="41"/>
  <c r="U57" i="6"/>
  <c r="AR86" i="6"/>
  <c r="V123" i="6"/>
  <c r="AW57" i="6"/>
  <c r="V57" i="6"/>
  <c r="AR57" i="6"/>
  <c r="AQ86" i="6"/>
  <c r="U83" i="6"/>
  <c r="U101" i="6"/>
  <c r="AW83" i="6"/>
  <c r="V83" i="6"/>
  <c r="O100" i="41"/>
  <c r="U123" i="6"/>
  <c r="U28" i="6"/>
  <c r="AO42" i="6"/>
  <c r="AH42" i="6"/>
  <c r="O122" i="41"/>
  <c r="U104" i="6"/>
  <c r="U22" i="6"/>
  <c r="V104" i="6"/>
  <c r="AW48" i="6"/>
  <c r="U48" i="6"/>
  <c r="V48" i="6"/>
  <c r="AW123" i="6"/>
  <c r="AX88" i="6"/>
  <c r="BA88" i="6" s="1"/>
  <c r="AX73" i="6"/>
  <c r="BA73" i="6" s="1"/>
  <c r="AW73" i="6"/>
  <c r="O72" i="41"/>
  <c r="U73" i="6"/>
  <c r="AW88" i="6"/>
  <c r="O87" i="41"/>
  <c r="U88" i="6"/>
  <c r="AW22" i="6"/>
  <c r="O21" i="41"/>
  <c r="O47" i="41"/>
  <c r="V22" i="6"/>
  <c r="AW104" i="6"/>
  <c r="AY76" i="6"/>
  <c r="BB76" i="6" s="1"/>
  <c r="AH76" i="6"/>
  <c r="AQ117" i="6"/>
  <c r="AH117" i="6"/>
  <c r="AZ109" i="6"/>
  <c r="BC109" i="6" s="1"/>
  <c r="AH109" i="6"/>
  <c r="AY109" i="6"/>
  <c r="BB109" i="6" s="1"/>
  <c r="AZ26" i="6"/>
  <c r="BC26" i="6" s="1"/>
  <c r="AO26" i="6"/>
  <c r="AR26" i="6"/>
  <c r="AQ26" i="6"/>
  <c r="AY30" i="6"/>
  <c r="BB30" i="6" s="1"/>
  <c r="AR30" i="6"/>
  <c r="AH60" i="6"/>
  <c r="AQ60" i="6"/>
  <c r="AO60" i="6"/>
  <c r="AY86" i="6"/>
  <c r="BB86" i="6" s="1"/>
  <c r="AH86" i="6"/>
  <c r="AH30" i="6"/>
  <c r="AZ57" i="6"/>
  <c r="BC57" i="6" s="1"/>
  <c r="AZ94" i="6"/>
  <c r="BC94" i="6" s="1"/>
  <c r="AO94" i="6"/>
  <c r="AZ112" i="6"/>
  <c r="BC112" i="6" s="1"/>
  <c r="AY112" i="6"/>
  <c r="BB112" i="6" s="1"/>
  <c r="AH112" i="6"/>
  <c r="AY93" i="6"/>
  <c r="BB93" i="6" s="1"/>
  <c r="AH93" i="6"/>
  <c r="AX36" i="6"/>
  <c r="BA36" i="6" s="1"/>
  <c r="V110" i="6"/>
  <c r="AX83" i="6"/>
  <c r="BA83" i="6" s="1"/>
  <c r="AQ78" i="6"/>
  <c r="U50" i="6"/>
  <c r="AH88" i="6"/>
  <c r="AY78" i="6"/>
  <c r="BB78" i="6" s="1"/>
  <c r="V28" i="6"/>
  <c r="AW96" i="6"/>
  <c r="D18" i="41"/>
  <c r="O27" i="41"/>
  <c r="O49" i="41"/>
  <c r="O109" i="41"/>
  <c r="AH57" i="6"/>
  <c r="AW110" i="6"/>
  <c r="AY117" i="6"/>
  <c r="BB117" i="6" s="1"/>
  <c r="AY94" i="6"/>
  <c r="BB94" i="6" s="1"/>
  <c r="AY42" i="6"/>
  <c r="BB42" i="6" s="1"/>
  <c r="U96" i="6"/>
  <c r="V50" i="6"/>
  <c r="AW28" i="6"/>
  <c r="AY19" i="6"/>
  <c r="BB19" i="6" s="1"/>
  <c r="V96" i="6"/>
  <c r="AW50" i="6"/>
  <c r="AR78" i="6"/>
  <c r="U110" i="6"/>
  <c r="O95" i="41"/>
  <c r="AH78" i="6"/>
  <c r="AX28" i="6"/>
  <c r="T20" i="6"/>
  <c r="J28" i="37"/>
  <c r="C5" i="46" s="1"/>
  <c r="BC19" i="6"/>
  <c r="AX48" i="6"/>
  <c r="AZ78" i="6"/>
  <c r="BC78" i="6" s="1"/>
  <c r="AZ42" i="6"/>
  <c r="BC42" i="6" s="1"/>
  <c r="AZ86" i="6"/>
  <c r="BC86" i="6" s="1"/>
  <c r="AX93" i="6"/>
  <c r="AZ30" i="6"/>
  <c r="BC30" i="6" s="1"/>
  <c r="AX118" i="6"/>
  <c r="BA118" i="6" s="1"/>
  <c r="AX44" i="6"/>
  <c r="AX26" i="6"/>
  <c r="BA26" i="6" s="1"/>
  <c r="AX117" i="6"/>
  <c r="AX82" i="6"/>
  <c r="AX42" i="6"/>
  <c r="AX22" i="6"/>
  <c r="AX112" i="6"/>
  <c r="BA112" i="6" s="1"/>
  <c r="AX78" i="6"/>
  <c r="BA78" i="6" s="1"/>
  <c r="AX19" i="6"/>
  <c r="AX86" i="6"/>
  <c r="AX76" i="6"/>
  <c r="AX96" i="6"/>
  <c r="AX30" i="6"/>
  <c r="AX109" i="6"/>
  <c r="AX94" i="6"/>
  <c r="AX50" i="6"/>
  <c r="AY60" i="6" l="1"/>
  <c r="BB60" i="6" s="1"/>
  <c r="AZ60" i="6"/>
  <c r="BC60" i="6" s="1"/>
  <c r="AX60" i="6"/>
  <c r="AX57" i="6"/>
  <c r="BA57" i="6" s="1"/>
  <c r="AX123" i="6"/>
  <c r="BA123" i="6" s="1"/>
  <c r="AX72" i="6"/>
  <c r="BA72" i="6" s="1"/>
  <c r="AX97" i="6"/>
  <c r="AX55" i="6"/>
  <c r="BA55" i="6" s="1"/>
  <c r="AX110" i="6"/>
  <c r="BA110" i="6" s="1"/>
  <c r="AX84" i="6"/>
  <c r="BA84" i="6" s="1"/>
  <c r="AJ97" i="6"/>
  <c r="AZ97" i="6" s="1"/>
  <c r="BC97" i="6" s="1"/>
  <c r="AY97" i="6"/>
  <c r="BB97" i="6" s="1"/>
  <c r="AX104" i="6"/>
  <c r="BA104" i="6" s="1"/>
  <c r="AO97" i="6"/>
  <c r="AO117" i="6"/>
  <c r="AQ94" i="6"/>
  <c r="AH94" i="6"/>
  <c r="AZ117" i="6"/>
  <c r="BC117" i="6" s="1"/>
  <c r="AR117" i="6"/>
  <c r="U11" i="6"/>
  <c r="AY57" i="6"/>
  <c r="BB57" i="6" s="1"/>
  <c r="AQ57" i="6"/>
  <c r="AO57" i="6"/>
  <c r="AW9" i="6"/>
  <c r="V11" i="6"/>
  <c r="AQ42" i="6"/>
  <c r="AR42" i="6"/>
  <c r="AY73" i="6"/>
  <c r="AH73" i="6"/>
  <c r="AY84" i="6"/>
  <c r="AH84" i="6"/>
  <c r="AQ109" i="6"/>
  <c r="AO109" i="6"/>
  <c r="AR109" i="6"/>
  <c r="AY88" i="6"/>
  <c r="AZ76" i="6"/>
  <c r="BC76" i="6" s="1"/>
  <c r="AQ76" i="6"/>
  <c r="AR76" i="6"/>
  <c r="AO76" i="6"/>
  <c r="AH55" i="6"/>
  <c r="AY55" i="6"/>
  <c r="AZ82" i="6"/>
  <c r="BC82" i="6" s="1"/>
  <c r="AQ82" i="6"/>
  <c r="AO82" i="6"/>
  <c r="AR82" i="6"/>
  <c r="AZ50" i="6"/>
  <c r="BC50" i="6" s="1"/>
  <c r="AO50" i="6"/>
  <c r="AQ50" i="6"/>
  <c r="AR50" i="6"/>
  <c r="AY101" i="6"/>
  <c r="BB101" i="6" s="1"/>
  <c r="AH101" i="6"/>
  <c r="AH44" i="6"/>
  <c r="AY44" i="6"/>
  <c r="BB44" i="6" s="1"/>
  <c r="BF57" i="6"/>
  <c r="BG57" i="6" s="1"/>
  <c r="BH57" i="6" s="1"/>
  <c r="AX101" i="6"/>
  <c r="AH22" i="6"/>
  <c r="AY22" i="6"/>
  <c r="BB22" i="6" s="1"/>
  <c r="AY110" i="6"/>
  <c r="BB110" i="6" s="1"/>
  <c r="AH110" i="6"/>
  <c r="AR112" i="6"/>
  <c r="AO112" i="6"/>
  <c r="AQ112" i="6"/>
  <c r="AH72" i="6"/>
  <c r="AY72" i="6"/>
  <c r="AY50" i="6"/>
  <c r="BB50" i="6" s="1"/>
  <c r="AH50" i="6"/>
  <c r="AH96" i="6"/>
  <c r="AY96" i="6"/>
  <c r="BB96" i="6" s="1"/>
  <c r="AY36" i="6"/>
  <c r="BB36" i="6" s="1"/>
  <c r="AH36" i="6"/>
  <c r="AY104" i="6"/>
  <c r="AH104" i="6"/>
  <c r="AZ123" i="6"/>
  <c r="BC123" i="6" s="1"/>
  <c r="AO123" i="6"/>
  <c r="AR123" i="6"/>
  <c r="AQ123" i="6"/>
  <c r="AH118" i="6"/>
  <c r="AY118" i="6"/>
  <c r="BB118" i="6" s="1"/>
  <c r="AH123" i="6"/>
  <c r="AY123" i="6"/>
  <c r="AZ28" i="6"/>
  <c r="BC28" i="6" s="1"/>
  <c r="AO28" i="6"/>
  <c r="AQ28" i="6"/>
  <c r="AR28" i="6"/>
  <c r="BA30" i="6"/>
  <c r="BF30" i="6"/>
  <c r="BG30" i="6" s="1"/>
  <c r="BH30" i="6" s="1"/>
  <c r="BA44" i="6"/>
  <c r="BA42" i="6"/>
  <c r="BF42" i="6"/>
  <c r="BG42" i="6" s="1"/>
  <c r="BH42" i="6" s="1"/>
  <c r="AX121" i="6"/>
  <c r="O29" i="37"/>
  <c r="S21" i="6"/>
  <c r="R21" i="6" s="1"/>
  <c r="D20" i="41" s="1"/>
  <c r="BA19" i="6"/>
  <c r="AY121" i="6"/>
  <c r="BB121" i="6" s="1"/>
  <c r="AH121" i="6"/>
  <c r="BA50" i="6"/>
  <c r="BA96" i="6"/>
  <c r="BA60" i="6"/>
  <c r="BF60" i="6"/>
  <c r="BG60" i="6" s="1"/>
  <c r="BH60" i="6" s="1"/>
  <c r="BF26" i="6"/>
  <c r="BG26" i="6" s="1"/>
  <c r="BH26" i="6" s="1"/>
  <c r="AZ48" i="6"/>
  <c r="BC48" i="6" s="1"/>
  <c r="AO48" i="6"/>
  <c r="AR48" i="6"/>
  <c r="AQ48" i="6"/>
  <c r="BA76" i="6"/>
  <c r="BF76" i="6"/>
  <c r="BG76" i="6" s="1"/>
  <c r="BH76" i="6" s="1"/>
  <c r="AZ93" i="6"/>
  <c r="BC93" i="6" s="1"/>
  <c r="AO93" i="6"/>
  <c r="AR93" i="6"/>
  <c r="AQ93" i="6"/>
  <c r="AY48" i="6"/>
  <c r="BB48" i="6" s="1"/>
  <c r="AH48" i="6"/>
  <c r="AY28" i="6"/>
  <c r="T29" i="37"/>
  <c r="AH28" i="6"/>
  <c r="BA28" i="6"/>
  <c r="BA117" i="6"/>
  <c r="BF117" i="6"/>
  <c r="BG117" i="6" s="1"/>
  <c r="BH117" i="6" s="1"/>
  <c r="BA48" i="6"/>
  <c r="BA109" i="6"/>
  <c r="BF109" i="6"/>
  <c r="BG109" i="6" s="1"/>
  <c r="BH109" i="6" s="1"/>
  <c r="BA93" i="6"/>
  <c r="BF93" i="6"/>
  <c r="BG93" i="6" s="1"/>
  <c r="BH93" i="6" s="1"/>
  <c r="BA82" i="6"/>
  <c r="BF82" i="6"/>
  <c r="BG82" i="6" s="1"/>
  <c r="BH82" i="6" s="1"/>
  <c r="BA94" i="6"/>
  <c r="BF94" i="6"/>
  <c r="BG94" i="6" s="1"/>
  <c r="BH94" i="6" s="1"/>
  <c r="BA86" i="6"/>
  <c r="BF86" i="6"/>
  <c r="BG86" i="6" s="1"/>
  <c r="BH86" i="6" s="1"/>
  <c r="BA22" i="6"/>
  <c r="BF112" i="6"/>
  <c r="BG112" i="6" s="1"/>
  <c r="BH112" i="6" s="1"/>
  <c r="BF78" i="6"/>
  <c r="BG78" i="6" s="1"/>
  <c r="BH78" i="6" s="1"/>
  <c r="BF19" i="6"/>
  <c r="AQ97" i="6" l="1"/>
  <c r="AR97" i="6"/>
  <c r="BA97" i="6"/>
  <c r="BF97" i="6"/>
  <c r="BG97" i="6" s="1"/>
  <c r="BH97" i="6" s="1"/>
  <c r="BF22" i="6"/>
  <c r="BG22" i="6" s="1"/>
  <c r="BH22" i="6" s="1"/>
  <c r="BF118" i="6"/>
  <c r="BG118" i="6" s="1"/>
  <c r="BH118" i="6" s="1"/>
  <c r="AR84" i="6"/>
  <c r="AQ84" i="6"/>
  <c r="AO84" i="6"/>
  <c r="AZ84" i="6"/>
  <c r="BC84" i="6" s="1"/>
  <c r="BF48" i="6"/>
  <c r="BG48" i="6" s="1"/>
  <c r="BH48" i="6" s="1"/>
  <c r="BB84" i="6"/>
  <c r="BF84" i="6"/>
  <c r="BG84" i="6" s="1"/>
  <c r="BH84" i="6" s="1"/>
  <c r="AQ55" i="6"/>
  <c r="AR55" i="6"/>
  <c r="AZ55" i="6"/>
  <c r="BC55" i="6" s="1"/>
  <c r="AO55" i="6"/>
  <c r="BB88" i="6"/>
  <c r="BF88" i="6"/>
  <c r="BG88" i="6" s="1"/>
  <c r="BH88" i="6" s="1"/>
  <c r="BB55" i="6"/>
  <c r="BF55" i="6"/>
  <c r="BG55" i="6" s="1"/>
  <c r="BH55" i="6" s="1"/>
  <c r="AO88" i="6"/>
  <c r="AQ88" i="6"/>
  <c r="AR88" i="6"/>
  <c r="AZ88" i="6"/>
  <c r="BC88" i="6" s="1"/>
  <c r="BB73" i="6"/>
  <c r="BF73" i="6"/>
  <c r="BG73" i="6" s="1"/>
  <c r="BH73" i="6" s="1"/>
  <c r="AZ73" i="6"/>
  <c r="BC73" i="6" s="1"/>
  <c r="AO73" i="6"/>
  <c r="AR73" i="6"/>
  <c r="AQ73" i="6"/>
  <c r="AO96" i="6"/>
  <c r="AZ96" i="6"/>
  <c r="BC96" i="6" s="1"/>
  <c r="AQ96" i="6"/>
  <c r="AR96" i="6"/>
  <c r="BA101" i="6"/>
  <c r="BF101" i="6"/>
  <c r="BG101" i="6" s="1"/>
  <c r="BH101" i="6" s="1"/>
  <c r="BF96" i="6"/>
  <c r="BG96" i="6" s="1"/>
  <c r="BH96" i="6" s="1"/>
  <c r="AY83" i="6"/>
  <c r="AY9" i="6" s="1"/>
  <c r="AH83" i="6"/>
  <c r="AH11" i="6" s="1"/>
  <c r="BF104" i="6"/>
  <c r="BG104" i="6" s="1"/>
  <c r="BH104" i="6" s="1"/>
  <c r="BB104" i="6"/>
  <c r="AZ101" i="6"/>
  <c r="BC101" i="6" s="1"/>
  <c r="AR101" i="6"/>
  <c r="AO101" i="6"/>
  <c r="AQ101" i="6"/>
  <c r="AO118" i="6"/>
  <c r="AR118" i="6"/>
  <c r="AQ118" i="6"/>
  <c r="AZ118" i="6"/>
  <c r="BC118" i="6" s="1"/>
  <c r="BF50" i="6"/>
  <c r="BG50" i="6" s="1"/>
  <c r="BH50" i="6" s="1"/>
  <c r="BB72" i="6"/>
  <c r="BF72" i="6"/>
  <c r="BG72" i="6" s="1"/>
  <c r="BH72" i="6" s="1"/>
  <c r="AR110" i="6"/>
  <c r="AO110" i="6"/>
  <c r="AQ110" i="6"/>
  <c r="AZ110" i="6"/>
  <c r="BC110" i="6" s="1"/>
  <c r="BF36" i="6"/>
  <c r="BG36" i="6" s="1"/>
  <c r="BH36" i="6" s="1"/>
  <c r="BB123" i="6"/>
  <c r="BF123" i="6"/>
  <c r="BG123" i="6" s="1"/>
  <c r="BH123" i="6" s="1"/>
  <c r="AR22" i="6"/>
  <c r="AO22" i="6"/>
  <c r="AQ22" i="6"/>
  <c r="AZ22" i="6"/>
  <c r="BC22" i="6" s="1"/>
  <c r="BF44" i="6"/>
  <c r="BG44" i="6" s="1"/>
  <c r="BH44" i="6" s="1"/>
  <c r="BF110" i="6"/>
  <c r="BG110" i="6" s="1"/>
  <c r="BH110" i="6" s="1"/>
  <c r="AZ83" i="6"/>
  <c r="BC83" i="6" s="1"/>
  <c r="AO83" i="6"/>
  <c r="AQ83" i="6"/>
  <c r="AR83" i="6"/>
  <c r="AO44" i="6"/>
  <c r="AQ44" i="6"/>
  <c r="AZ44" i="6"/>
  <c r="BC44" i="6" s="1"/>
  <c r="AR44" i="6"/>
  <c r="O39" i="37"/>
  <c r="AO104" i="6"/>
  <c r="AQ104" i="6"/>
  <c r="AR104" i="6"/>
  <c r="AZ104" i="6"/>
  <c r="BC104" i="6" s="1"/>
  <c r="AQ36" i="6"/>
  <c r="AR36" i="6"/>
  <c r="AO36" i="6"/>
  <c r="AZ36" i="6"/>
  <c r="BC36" i="6" s="1"/>
  <c r="AR72" i="6"/>
  <c r="AQ72" i="6"/>
  <c r="AO72" i="6"/>
  <c r="AZ72" i="6"/>
  <c r="BC72" i="6" s="1"/>
  <c r="BG19" i="6"/>
  <c r="BB28" i="6"/>
  <c r="AZ121" i="6"/>
  <c r="BC121" i="6" s="1"/>
  <c r="AQ121" i="6"/>
  <c r="AR121" i="6"/>
  <c r="AO121" i="6"/>
  <c r="BA121" i="6"/>
  <c r="BA11" i="6" s="1"/>
  <c r="BF121" i="6"/>
  <c r="BG121" i="6" s="1"/>
  <c r="BH121" i="6" s="1"/>
  <c r="AX9" i="6"/>
  <c r="AB2" i="6" s="1"/>
  <c r="BF28" i="6"/>
  <c r="BG28" i="6" s="1"/>
  <c r="BH28" i="6" s="1"/>
  <c r="T28" i="37"/>
  <c r="E5" i="46" s="1"/>
  <c r="T21" i="6"/>
  <c r="AZ9" i="6" l="1"/>
  <c r="AN121" i="6" s="1"/>
  <c r="BC11" i="6"/>
  <c r="AO11" i="6"/>
  <c r="O36" i="37" s="1"/>
  <c r="BB83" i="6"/>
  <c r="BB11" i="6" s="1"/>
  <c r="BF83" i="6"/>
  <c r="BG83" i="6" s="1"/>
  <c r="BH83" i="6" s="1"/>
  <c r="Z12" i="6"/>
  <c r="Y12" i="6" s="1"/>
  <c r="AB17" i="6"/>
  <c r="AB25" i="6"/>
  <c r="AB33" i="6"/>
  <c r="AB13" i="6"/>
  <c r="AB21" i="6"/>
  <c r="AB29" i="6"/>
  <c r="AB16" i="6"/>
  <c r="AB27" i="6"/>
  <c r="AB37" i="6"/>
  <c r="AB45" i="6"/>
  <c r="AB53" i="6"/>
  <c r="AB61" i="6"/>
  <c r="AB69" i="6"/>
  <c r="AB77" i="6"/>
  <c r="AB85" i="6"/>
  <c r="AB93" i="6"/>
  <c r="AB101" i="6"/>
  <c r="AB109" i="6"/>
  <c r="AB117" i="6"/>
  <c r="AB125" i="6"/>
  <c r="AB133" i="6"/>
  <c r="AB141" i="6"/>
  <c r="AB149" i="6"/>
  <c r="AB157" i="6"/>
  <c r="AB165" i="6"/>
  <c r="AB173" i="6"/>
  <c r="AB181" i="6"/>
  <c r="AB189" i="6"/>
  <c r="I6" i="41"/>
  <c r="AB18" i="6"/>
  <c r="AB38" i="6"/>
  <c r="AB46" i="6"/>
  <c r="AB54" i="6"/>
  <c r="AB62" i="6"/>
  <c r="AB70" i="6"/>
  <c r="AB78" i="6"/>
  <c r="AB86" i="6"/>
  <c r="AB94" i="6"/>
  <c r="AB102" i="6"/>
  <c r="AB110" i="6"/>
  <c r="AB118" i="6"/>
  <c r="AB126" i="6"/>
  <c r="AB134" i="6"/>
  <c r="AB142" i="6"/>
  <c r="AB150" i="6"/>
  <c r="AB158" i="6"/>
  <c r="AB166" i="6"/>
  <c r="AB174" i="6"/>
  <c r="AB182" i="6"/>
  <c r="AB190" i="6"/>
  <c r="O26" i="37"/>
  <c r="D6" i="46" s="1"/>
  <c r="AB19" i="6"/>
  <c r="AB30" i="6"/>
  <c r="AB39" i="6"/>
  <c r="AB47" i="6"/>
  <c r="AB55" i="6"/>
  <c r="AB63" i="6"/>
  <c r="AB71" i="6"/>
  <c r="AB79" i="6"/>
  <c r="AB87" i="6"/>
  <c r="AB95" i="6"/>
  <c r="AB103" i="6"/>
  <c r="AB111" i="6"/>
  <c r="AB119" i="6"/>
  <c r="AB127" i="6"/>
  <c r="AB135" i="6"/>
  <c r="AB143" i="6"/>
  <c r="AB151" i="6"/>
  <c r="AB159" i="6"/>
  <c r="AB167" i="6"/>
  <c r="AB175" i="6"/>
  <c r="AB183" i="6"/>
  <c r="AB191" i="6"/>
  <c r="AB20" i="6"/>
  <c r="AB31" i="6"/>
  <c r="AB40" i="6"/>
  <c r="AB48" i="6"/>
  <c r="AB56" i="6"/>
  <c r="AB64" i="6"/>
  <c r="AB72" i="6"/>
  <c r="AB80" i="6"/>
  <c r="AB88" i="6"/>
  <c r="AB96" i="6"/>
  <c r="AB104" i="6"/>
  <c r="AB112" i="6"/>
  <c r="AB120" i="6"/>
  <c r="AB128" i="6"/>
  <c r="AB136" i="6"/>
  <c r="AB144" i="6"/>
  <c r="AB152" i="6"/>
  <c r="AB160" i="6"/>
  <c r="AB168" i="6"/>
  <c r="AB176" i="6"/>
  <c r="AB184" i="6"/>
  <c r="AB22" i="6"/>
  <c r="AB32" i="6"/>
  <c r="AB41" i="6"/>
  <c r="AB49" i="6"/>
  <c r="AB57" i="6"/>
  <c r="AB65" i="6"/>
  <c r="AB73" i="6"/>
  <c r="AB81" i="6"/>
  <c r="AB89" i="6"/>
  <c r="AB97" i="6"/>
  <c r="AB105" i="6"/>
  <c r="AB113" i="6"/>
  <c r="AB129" i="6"/>
  <c r="AB137" i="6"/>
  <c r="AB145" i="6"/>
  <c r="AB153" i="6"/>
  <c r="AB161" i="6"/>
  <c r="AB169" i="6"/>
  <c r="AB177" i="6"/>
  <c r="AB185" i="6"/>
  <c r="AB12" i="6"/>
  <c r="AB23" i="6"/>
  <c r="AB34" i="6"/>
  <c r="AB42" i="6"/>
  <c r="AB50" i="6"/>
  <c r="AB58" i="6"/>
  <c r="AB66" i="6"/>
  <c r="AB74" i="6"/>
  <c r="AB82" i="6"/>
  <c r="AB90" i="6"/>
  <c r="AB98" i="6"/>
  <c r="AB106" i="6"/>
  <c r="AB114" i="6"/>
  <c r="AB122" i="6"/>
  <c r="AB130" i="6"/>
  <c r="AB138" i="6"/>
  <c r="AB146" i="6"/>
  <c r="AB154" i="6"/>
  <c r="AB162" i="6"/>
  <c r="AB170" i="6"/>
  <c r="AB178" i="6"/>
  <c r="AB186" i="6"/>
  <c r="AB14" i="6"/>
  <c r="AB24" i="6"/>
  <c r="AB35" i="6"/>
  <c r="AB43" i="6"/>
  <c r="AB51" i="6"/>
  <c r="AB59" i="6"/>
  <c r="AB67" i="6"/>
  <c r="AB75" i="6"/>
  <c r="AB83" i="6"/>
  <c r="AB91" i="6"/>
  <c r="AB99" i="6"/>
  <c r="AB107" i="6"/>
  <c r="AB115" i="6"/>
  <c r="AB123" i="6"/>
  <c r="AB131" i="6"/>
  <c r="AB139" i="6"/>
  <c r="AB147" i="6"/>
  <c r="AB155" i="6"/>
  <c r="AB163" i="6"/>
  <c r="AB171" i="6"/>
  <c r="AB179" i="6"/>
  <c r="AB187" i="6"/>
  <c r="AB60" i="6"/>
  <c r="AB124" i="6"/>
  <c r="AB188" i="6"/>
  <c r="AB68" i="6"/>
  <c r="AB132" i="6"/>
  <c r="AB76" i="6"/>
  <c r="AB140" i="6"/>
  <c r="AB15" i="6"/>
  <c r="AB84" i="6"/>
  <c r="AB148" i="6"/>
  <c r="AB26" i="6"/>
  <c r="AB92" i="6"/>
  <c r="AB156" i="6"/>
  <c r="AB36" i="6"/>
  <c r="AB100" i="6"/>
  <c r="AB164" i="6"/>
  <c r="AB44" i="6"/>
  <c r="AB108" i="6"/>
  <c r="AB172" i="6"/>
  <c r="AB52" i="6"/>
  <c r="AB116" i="6"/>
  <c r="AB180" i="6"/>
  <c r="AB28" i="6"/>
  <c r="AB121" i="6"/>
  <c r="BF9" i="6"/>
  <c r="S22" i="6"/>
  <c r="R22" i="6" s="1"/>
  <c r="D21" i="41" s="1"/>
  <c r="BH19" i="6"/>
  <c r="BH11" i="6" l="1"/>
  <c r="BG9" i="6"/>
  <c r="T22" i="6"/>
  <c r="AN73" i="6"/>
  <c r="AN135" i="6"/>
  <c r="AN167" i="6"/>
  <c r="AN132" i="6"/>
  <c r="AN186" i="6"/>
  <c r="AN82" i="6"/>
  <c r="AN152" i="6"/>
  <c r="AN16" i="6"/>
  <c r="AN95" i="6"/>
  <c r="AN160" i="6"/>
  <c r="AN44" i="6"/>
  <c r="AN122" i="6"/>
  <c r="AN179" i="6"/>
  <c r="AN72" i="6"/>
  <c r="AN94" i="6"/>
  <c r="AN14" i="6"/>
  <c r="AN133" i="6"/>
  <c r="AN61" i="6"/>
  <c r="AN123" i="6"/>
  <c r="AN59" i="6"/>
  <c r="AN161" i="6"/>
  <c r="AN89" i="6"/>
  <c r="AN17" i="6"/>
  <c r="AN155" i="6"/>
  <c r="AN64" i="6"/>
  <c r="AN148" i="6"/>
  <c r="AN30" i="6"/>
  <c r="AN75" i="6"/>
  <c r="AN23" i="6"/>
  <c r="AN98" i="6"/>
  <c r="AN171" i="6"/>
  <c r="AN88" i="6"/>
  <c r="AN67" i="6"/>
  <c r="AN119" i="6"/>
  <c r="AN66" i="6"/>
  <c r="AN79" i="6"/>
  <c r="AN106" i="6"/>
  <c r="AN168" i="6"/>
  <c r="AN56" i="6"/>
  <c r="AN70" i="6"/>
  <c r="AN189" i="6"/>
  <c r="AN125" i="6"/>
  <c r="AN53" i="6"/>
  <c r="AN115" i="6"/>
  <c r="AN51" i="6"/>
  <c r="AN153" i="6"/>
  <c r="AN81" i="6"/>
  <c r="AN78" i="6"/>
  <c r="AN103" i="6"/>
  <c r="AN2" i="6"/>
  <c r="AN100" i="6"/>
  <c r="AN164" i="6"/>
  <c r="AN50" i="6"/>
  <c r="AN128" i="6"/>
  <c r="AN172" i="6"/>
  <c r="AN63" i="6"/>
  <c r="AN139" i="6"/>
  <c r="AN191" i="6"/>
  <c r="AN90" i="6"/>
  <c r="AN158" i="6"/>
  <c r="AN40" i="6"/>
  <c r="AN62" i="6"/>
  <c r="AN181" i="6"/>
  <c r="AN117" i="6"/>
  <c r="AN45" i="6"/>
  <c r="AN107" i="6"/>
  <c r="AN43" i="6"/>
  <c r="AN145" i="6"/>
  <c r="AN65" i="6"/>
  <c r="AN118" i="6"/>
  <c r="AN114" i="6"/>
  <c r="AN182" i="6"/>
  <c r="AN104" i="6"/>
  <c r="AN77" i="6"/>
  <c r="AN144" i="6"/>
  <c r="AN111" i="6"/>
  <c r="AN190" i="6"/>
  <c r="AN141" i="6"/>
  <c r="AN169" i="6"/>
  <c r="AN116" i="6"/>
  <c r="AN183" i="6"/>
  <c r="AN19" i="6"/>
  <c r="AN154" i="6"/>
  <c r="AN112" i="6"/>
  <c r="AN124" i="6"/>
  <c r="AN147" i="6"/>
  <c r="AN54" i="6"/>
  <c r="AN173" i="6"/>
  <c r="AN109" i="6"/>
  <c r="AN99" i="6"/>
  <c r="AN35" i="6"/>
  <c r="AN137" i="6"/>
  <c r="AN57" i="6"/>
  <c r="AN146" i="6"/>
  <c r="AN36" i="6"/>
  <c r="AN127" i="6"/>
  <c r="AN26" i="6"/>
  <c r="AN149" i="6"/>
  <c r="AN105" i="6"/>
  <c r="AN110" i="6"/>
  <c r="AN20" i="6"/>
  <c r="AN32" i="6"/>
  <c r="AN60" i="6"/>
  <c r="AN102" i="6"/>
  <c r="AN69" i="6"/>
  <c r="AN97" i="6"/>
  <c r="AN86" i="6"/>
  <c r="AN175" i="6"/>
  <c r="AN150" i="6"/>
  <c r="AN48" i="6"/>
  <c r="AN187" i="6"/>
  <c r="AN84" i="6"/>
  <c r="AN34" i="6"/>
  <c r="AN162" i="6"/>
  <c r="AN47" i="6"/>
  <c r="AN180" i="6"/>
  <c r="AN74" i="6"/>
  <c r="AN24" i="6"/>
  <c r="AN37" i="6"/>
  <c r="AN93" i="6"/>
  <c r="AN156" i="6"/>
  <c r="AN87" i="6"/>
  <c r="AN176" i="6"/>
  <c r="AN68" i="6"/>
  <c r="AN143" i="6"/>
  <c r="AN18" i="6"/>
  <c r="AN96" i="6"/>
  <c r="AN151" i="6"/>
  <c r="AN31" i="6"/>
  <c r="AN108" i="6"/>
  <c r="AN170" i="6"/>
  <c r="AN58" i="6"/>
  <c r="AN136" i="6"/>
  <c r="AL12" i="6"/>
  <c r="AK12" i="6" s="1"/>
  <c r="AM12" i="6" s="1"/>
  <c r="AL13" i="6" s="1"/>
  <c r="AK13" i="6" s="1"/>
  <c r="AM13" i="6" s="1"/>
  <c r="AN46" i="6"/>
  <c r="AN165" i="6"/>
  <c r="AN101" i="6"/>
  <c r="AN29" i="6"/>
  <c r="AN91" i="6"/>
  <c r="AN27" i="6"/>
  <c r="AN129" i="6"/>
  <c r="AN49" i="6"/>
  <c r="AN178" i="6"/>
  <c r="AN174" i="6"/>
  <c r="AN76" i="6"/>
  <c r="AN126" i="6"/>
  <c r="AN13" i="6"/>
  <c r="AN177" i="6"/>
  <c r="AN33" i="6"/>
  <c r="AN71" i="6"/>
  <c r="AN163" i="6"/>
  <c r="AN138" i="6"/>
  <c r="AN22" i="6"/>
  <c r="AN131" i="6"/>
  <c r="AN25" i="6"/>
  <c r="AN55" i="6"/>
  <c r="AN142" i="6"/>
  <c r="AN12" i="6"/>
  <c r="AN188" i="6"/>
  <c r="AN28" i="6"/>
  <c r="AN39" i="6"/>
  <c r="O38" i="37"/>
  <c r="AN166" i="6"/>
  <c r="AN52" i="6"/>
  <c r="AN130" i="6"/>
  <c r="AN184" i="6"/>
  <c r="AN80" i="6"/>
  <c r="AN140" i="6"/>
  <c r="AN15" i="6"/>
  <c r="AN92" i="6"/>
  <c r="AN159" i="6"/>
  <c r="AN42" i="6"/>
  <c r="AN120" i="6"/>
  <c r="AN134" i="6"/>
  <c r="AN38" i="6"/>
  <c r="AN157" i="6"/>
  <c r="AN85" i="6"/>
  <c r="AN21" i="6"/>
  <c r="AN83" i="6"/>
  <c r="AN185" i="6"/>
  <c r="AN113" i="6"/>
  <c r="AN41" i="6"/>
  <c r="BH9" i="6"/>
  <c r="AB11" i="6"/>
  <c r="O28" i="37"/>
  <c r="D5" i="46" s="1"/>
  <c r="S23" i="6"/>
  <c r="R23" i="6" s="1"/>
  <c r="D22" i="41" s="1"/>
  <c r="AA12" i="6"/>
  <c r="J11" i="41"/>
  <c r="AN11" i="6" l="1"/>
  <c r="AL14" i="6"/>
  <c r="AK14" i="6" s="1"/>
  <c r="AM14" i="6" s="1"/>
  <c r="T23" i="6"/>
  <c r="Z13" i="6"/>
  <c r="Y13" i="6" s="1"/>
  <c r="J12" i="41" s="1"/>
  <c r="AL15" i="6" l="1"/>
  <c r="AK15" i="6" s="1"/>
  <c r="AM15" i="6" s="1"/>
  <c r="AA13" i="6"/>
  <c r="S24" i="6"/>
  <c r="R24" i="6" s="1"/>
  <c r="D23" i="41" s="1"/>
  <c r="Z14" i="6" l="1"/>
  <c r="Y14" i="6" s="1"/>
  <c r="J13" i="41" s="1"/>
  <c r="AL16" i="6"/>
  <c r="AK16" i="6" s="1"/>
  <c r="AM16" i="6" s="1"/>
  <c r="T24" i="6"/>
  <c r="AL17" i="6" l="1"/>
  <c r="AK17" i="6" s="1"/>
  <c r="AM17" i="6" s="1"/>
  <c r="S25" i="6"/>
  <c r="R25" i="6" s="1"/>
  <c r="D24" i="41" s="1"/>
  <c r="AA14" i="6"/>
  <c r="AL18" i="6" l="1"/>
  <c r="AK18" i="6" s="1"/>
  <c r="AM18" i="6" s="1"/>
  <c r="Z15" i="6"/>
  <c r="Y15" i="6" s="1"/>
  <c r="J14" i="41" s="1"/>
  <c r="T25" i="6"/>
  <c r="AL19" i="6" l="1"/>
  <c r="AK19" i="6" s="1"/>
  <c r="AM19" i="6" s="1"/>
  <c r="S26" i="6"/>
  <c r="R26" i="6" s="1"/>
  <c r="D25" i="41" s="1"/>
  <c r="AA15" i="6"/>
  <c r="AL20" i="6" l="1"/>
  <c r="AK20" i="6" s="1"/>
  <c r="AM20" i="6" s="1"/>
  <c r="Z16" i="6"/>
  <c r="Y16" i="6" s="1"/>
  <c r="J15" i="41" s="1"/>
  <c r="T26" i="6"/>
  <c r="AL21" i="6" l="1"/>
  <c r="AK21" i="6" s="1"/>
  <c r="AM21" i="6" s="1"/>
  <c r="AA16" i="6"/>
  <c r="S27" i="6"/>
  <c r="R27" i="6" s="1"/>
  <c r="D26" i="41" s="1"/>
  <c r="AL22" i="6" l="1"/>
  <c r="AK22" i="6" s="1"/>
  <c r="AM22" i="6" s="1"/>
  <c r="T27" i="6"/>
  <c r="Z17" i="6"/>
  <c r="Y17" i="6" s="1"/>
  <c r="J16" i="41" s="1"/>
  <c r="AL23" i="6" l="1"/>
  <c r="AK23" i="6" s="1"/>
  <c r="AM23" i="6" s="1"/>
  <c r="AA17" i="6"/>
  <c r="S28" i="6"/>
  <c r="R28" i="6" s="1"/>
  <c r="D27" i="41" s="1"/>
  <c r="AL24" i="6" l="1"/>
  <c r="AK24" i="6" s="1"/>
  <c r="AM24" i="6" s="1"/>
  <c r="T28" i="6"/>
  <c r="Z18" i="6"/>
  <c r="Y18" i="6" s="1"/>
  <c r="J17" i="41" s="1"/>
  <c r="AL25" i="6" l="1"/>
  <c r="AK25" i="6" s="1"/>
  <c r="AM25" i="6" s="1"/>
  <c r="AA18" i="6"/>
  <c r="S29" i="6"/>
  <c r="R29" i="6" s="1"/>
  <c r="D28" i="41" s="1"/>
  <c r="AL26" i="6" l="1"/>
  <c r="AK26" i="6" s="1"/>
  <c r="AM26" i="6" s="1"/>
  <c r="T29" i="6"/>
  <c r="Z19" i="6"/>
  <c r="Y19" i="6" s="1"/>
  <c r="J18" i="41" s="1"/>
  <c r="AA19" i="6" l="1"/>
  <c r="S30" i="6"/>
  <c r="R30" i="6" s="1"/>
  <c r="D29" i="41" s="1"/>
  <c r="AL27" i="6"/>
  <c r="AK27" i="6" s="1"/>
  <c r="AM27" i="6" s="1"/>
  <c r="AL28" i="6" l="1"/>
  <c r="AK28" i="6" s="1"/>
  <c r="AM28" i="6" s="1"/>
  <c r="T30" i="6"/>
  <c r="Z20" i="6"/>
  <c r="Y20" i="6" s="1"/>
  <c r="J19" i="41" s="1"/>
  <c r="AL29" i="6" l="1"/>
  <c r="AK29" i="6" s="1"/>
  <c r="AM29" i="6" s="1"/>
  <c r="S31" i="6"/>
  <c r="R31" i="6" s="1"/>
  <c r="D30" i="41" s="1"/>
  <c r="AA20" i="6"/>
  <c r="AL30" i="6" l="1"/>
  <c r="AK30" i="6" s="1"/>
  <c r="AM30" i="6" s="1"/>
  <c r="T31" i="6"/>
  <c r="Z21" i="6"/>
  <c r="Y21" i="6" s="1"/>
  <c r="J20" i="41" s="1"/>
  <c r="AL31" i="6" l="1"/>
  <c r="AK31" i="6" s="1"/>
  <c r="AM31" i="6" s="1"/>
  <c r="AA21" i="6"/>
  <c r="S32" i="6"/>
  <c r="R32" i="6" s="1"/>
  <c r="D31" i="41" s="1"/>
  <c r="T32" i="6" l="1"/>
  <c r="AL32" i="6"/>
  <c r="AK32" i="6" s="1"/>
  <c r="AM32" i="6" s="1"/>
  <c r="Z22" i="6"/>
  <c r="Y22" i="6" s="1"/>
  <c r="J21" i="41" s="1"/>
  <c r="AL33" i="6" l="1"/>
  <c r="AK33" i="6" s="1"/>
  <c r="AM33" i="6" s="1"/>
  <c r="AA22" i="6"/>
  <c r="S33" i="6"/>
  <c r="R33" i="6" s="1"/>
  <c r="D32" i="41" s="1"/>
  <c r="AL34" i="6" l="1"/>
  <c r="AK34" i="6" s="1"/>
  <c r="AM34" i="6" s="1"/>
  <c r="T33" i="6"/>
  <c r="Z23" i="6"/>
  <c r="Y23" i="6" s="1"/>
  <c r="J22" i="41" s="1"/>
  <c r="AL35" i="6" l="1"/>
  <c r="AK35" i="6" s="1"/>
  <c r="AM35" i="6" s="1"/>
  <c r="AA23" i="6"/>
  <c r="S34" i="6"/>
  <c r="R34" i="6" s="1"/>
  <c r="D33" i="41" s="1"/>
  <c r="T34" i="6" l="1"/>
  <c r="AL36" i="6"/>
  <c r="AK36" i="6" s="1"/>
  <c r="AM36" i="6" s="1"/>
  <c r="Z24" i="6"/>
  <c r="Y24" i="6" s="1"/>
  <c r="J23" i="41" s="1"/>
  <c r="AL37" i="6" l="1"/>
  <c r="AK37" i="6" s="1"/>
  <c r="AM37" i="6" s="1"/>
  <c r="AA24" i="6"/>
  <c r="S35" i="6"/>
  <c r="R35" i="6" s="1"/>
  <c r="D34" i="41" s="1"/>
  <c r="AL38" i="6" l="1"/>
  <c r="AK38" i="6" s="1"/>
  <c r="AM38" i="6" s="1"/>
  <c r="T35" i="6"/>
  <c r="Z25" i="6"/>
  <c r="Y25" i="6" s="1"/>
  <c r="J24" i="41" s="1"/>
  <c r="S36" i="6" l="1"/>
  <c r="R36" i="6" s="1"/>
  <c r="D35" i="41" s="1"/>
  <c r="AL39" i="6"/>
  <c r="AK39" i="6" s="1"/>
  <c r="AM39" i="6" s="1"/>
  <c r="AA25" i="6"/>
  <c r="AL40" i="6" l="1"/>
  <c r="AK40" i="6" s="1"/>
  <c r="AM40" i="6" s="1"/>
  <c r="Z26" i="6"/>
  <c r="Y26" i="6" s="1"/>
  <c r="J25" i="41" s="1"/>
  <c r="T36" i="6"/>
  <c r="S37" i="6" l="1"/>
  <c r="R37" i="6" s="1"/>
  <c r="D36" i="41" s="1"/>
  <c r="AA26" i="6"/>
  <c r="AL41" i="6"/>
  <c r="AK41" i="6" s="1"/>
  <c r="AM41" i="6" s="1"/>
  <c r="T37" i="6" l="1"/>
  <c r="AL42" i="6"/>
  <c r="AK42" i="6" s="1"/>
  <c r="AM42" i="6" s="1"/>
  <c r="S38" i="6"/>
  <c r="R38" i="6" s="1"/>
  <c r="D37" i="41" s="1"/>
  <c r="Z27" i="6"/>
  <c r="Y27" i="6" s="1"/>
  <c r="J26" i="41" s="1"/>
  <c r="AL43" i="6" l="1"/>
  <c r="AK43" i="6" s="1"/>
  <c r="AM43" i="6" s="1"/>
  <c r="AA27" i="6"/>
  <c r="T38" i="6"/>
  <c r="AL44" i="6" l="1"/>
  <c r="AK44" i="6" s="1"/>
  <c r="AM44" i="6" s="1"/>
  <c r="Z28" i="6"/>
  <c r="Y28" i="6" s="1"/>
  <c r="J27" i="41" s="1"/>
  <c r="S39" i="6"/>
  <c r="R39" i="6" s="1"/>
  <c r="D38" i="41" s="1"/>
  <c r="AL45" i="6" l="1"/>
  <c r="AK45" i="6" s="1"/>
  <c r="AM45" i="6" s="1"/>
  <c r="T39" i="6"/>
  <c r="AA28" i="6"/>
  <c r="Z29" i="6" l="1"/>
  <c r="Y29" i="6" s="1"/>
  <c r="J28" i="41" s="1"/>
  <c r="AL46" i="6"/>
  <c r="AK46" i="6" s="1"/>
  <c r="AM46" i="6" s="1"/>
  <c r="S40" i="6"/>
  <c r="R40" i="6" s="1"/>
  <c r="D39" i="41" s="1"/>
  <c r="AL47" i="6" l="1"/>
  <c r="AK47" i="6" s="1"/>
  <c r="AM47" i="6" s="1"/>
  <c r="T40" i="6"/>
  <c r="AA29" i="6"/>
  <c r="AL48" i="6" l="1"/>
  <c r="AK48" i="6" s="1"/>
  <c r="AM48" i="6" s="1"/>
  <c r="Z30" i="6"/>
  <c r="Y30" i="6" s="1"/>
  <c r="J29" i="41" s="1"/>
  <c r="S41" i="6"/>
  <c r="R41" i="6" s="1"/>
  <c r="D40" i="41" s="1"/>
  <c r="AL49" i="6" l="1"/>
  <c r="AK49" i="6" s="1"/>
  <c r="AM49" i="6" s="1"/>
  <c r="T41" i="6"/>
  <c r="AA30" i="6"/>
  <c r="AL50" i="6" l="1"/>
  <c r="AK50" i="6" s="1"/>
  <c r="AM50" i="6" s="1"/>
  <c r="Z31" i="6"/>
  <c r="Y31" i="6" s="1"/>
  <c r="J30" i="41" s="1"/>
  <c r="S42" i="6"/>
  <c r="R42" i="6" s="1"/>
  <c r="D41" i="41" s="1"/>
  <c r="AA31" i="6" l="1"/>
  <c r="T42" i="6"/>
  <c r="AL51" i="6"/>
  <c r="AK51" i="6" s="1"/>
  <c r="AM51" i="6" s="1"/>
  <c r="AL52" i="6" l="1"/>
  <c r="AK52" i="6" s="1"/>
  <c r="AM52" i="6" s="1"/>
  <c r="S43" i="6"/>
  <c r="R43" i="6" s="1"/>
  <c r="D42" i="41" s="1"/>
  <c r="Z32" i="6"/>
  <c r="Y32" i="6" s="1"/>
  <c r="J31" i="41" s="1"/>
  <c r="AL53" i="6" l="1"/>
  <c r="AK53" i="6" s="1"/>
  <c r="AM53" i="6" s="1"/>
  <c r="AA32" i="6"/>
  <c r="T43" i="6"/>
  <c r="AL54" i="6" l="1"/>
  <c r="AK54" i="6" s="1"/>
  <c r="AM54" i="6" s="1"/>
  <c r="S44" i="6"/>
  <c r="R44" i="6" s="1"/>
  <c r="D43" i="41" s="1"/>
  <c r="Z33" i="6"/>
  <c r="Y33" i="6" s="1"/>
  <c r="J32" i="41" s="1"/>
  <c r="AL55" i="6" l="1"/>
  <c r="AK55" i="6" s="1"/>
  <c r="AM55" i="6" s="1"/>
  <c r="AA33" i="6"/>
  <c r="T44" i="6"/>
  <c r="S45" i="6" l="1"/>
  <c r="R45" i="6" s="1"/>
  <c r="D44" i="41" s="1"/>
  <c r="AL56" i="6"/>
  <c r="AK56" i="6" s="1"/>
  <c r="AM56" i="6" s="1"/>
  <c r="Z34" i="6"/>
  <c r="Y34" i="6" s="1"/>
  <c r="J33" i="41" s="1"/>
  <c r="AL57" i="6" l="1"/>
  <c r="AK57" i="6" s="1"/>
  <c r="AM57" i="6" s="1"/>
  <c r="AA34" i="6"/>
  <c r="T45" i="6"/>
  <c r="AL58" i="6" l="1"/>
  <c r="AK58" i="6" s="1"/>
  <c r="AM58" i="6" s="1"/>
  <c r="S46" i="6"/>
  <c r="R46" i="6" s="1"/>
  <c r="D45" i="41" s="1"/>
  <c r="Z35" i="6"/>
  <c r="Y35" i="6" s="1"/>
  <c r="J34" i="41" s="1"/>
  <c r="AL59" i="6" l="1"/>
  <c r="AK59" i="6" s="1"/>
  <c r="AM59" i="6" s="1"/>
  <c r="AA35" i="6"/>
  <c r="T46" i="6"/>
  <c r="AL60" i="6" l="1"/>
  <c r="AK60" i="6" s="1"/>
  <c r="AM60" i="6" s="1"/>
  <c r="S47" i="6"/>
  <c r="R47" i="6" s="1"/>
  <c r="D46" i="41" s="1"/>
  <c r="Z36" i="6"/>
  <c r="Y36" i="6" s="1"/>
  <c r="J35" i="41" s="1"/>
  <c r="AL61" i="6" l="1"/>
  <c r="AK61" i="6" s="1"/>
  <c r="AM61" i="6" s="1"/>
  <c r="AA36" i="6"/>
  <c r="T47" i="6"/>
  <c r="S48" i="6" l="1"/>
  <c r="R48" i="6" s="1"/>
  <c r="D47" i="41" s="1"/>
  <c r="AL62" i="6"/>
  <c r="AK62" i="6" s="1"/>
  <c r="AM62" i="6" s="1"/>
  <c r="Z37" i="6"/>
  <c r="Y37" i="6" s="1"/>
  <c r="J36" i="41" s="1"/>
  <c r="AL63" i="6" l="1"/>
  <c r="AK63" i="6" s="1"/>
  <c r="AM63" i="6" s="1"/>
  <c r="AA37" i="6"/>
  <c r="T48" i="6"/>
  <c r="AL64" i="6" l="1"/>
  <c r="AK64" i="6" s="1"/>
  <c r="AM64" i="6" s="1"/>
  <c r="Z38" i="6"/>
  <c r="Y38" i="6" s="1"/>
  <c r="J37" i="41" s="1"/>
  <c r="S49" i="6"/>
  <c r="R49" i="6" s="1"/>
  <c r="D48" i="41" s="1"/>
  <c r="T49" i="6" l="1"/>
  <c r="AL65" i="6"/>
  <c r="AK65" i="6" s="1"/>
  <c r="AM65" i="6" s="1"/>
  <c r="AA38" i="6"/>
  <c r="AL66" i="6" l="1"/>
  <c r="AK66" i="6" s="1"/>
  <c r="AM66" i="6" s="1"/>
  <c r="Z39" i="6"/>
  <c r="Y39" i="6" s="1"/>
  <c r="J38" i="41" s="1"/>
  <c r="S50" i="6"/>
  <c r="R50" i="6" s="1"/>
  <c r="D49" i="41" s="1"/>
  <c r="AL67" i="6" l="1"/>
  <c r="AK67" i="6" s="1"/>
  <c r="AM67" i="6" s="1"/>
  <c r="T50" i="6"/>
  <c r="AA39" i="6"/>
  <c r="AL68" i="6" l="1"/>
  <c r="AK68" i="6" s="1"/>
  <c r="AM68" i="6" s="1"/>
  <c r="S51" i="6"/>
  <c r="R51" i="6" s="1"/>
  <c r="D50" i="41" s="1"/>
  <c r="Z40" i="6"/>
  <c r="Y40" i="6" s="1"/>
  <c r="J39" i="41" s="1"/>
  <c r="AL69" i="6" l="1"/>
  <c r="AK69" i="6" s="1"/>
  <c r="AM69" i="6" s="1"/>
  <c r="T51" i="6"/>
  <c r="AA40" i="6"/>
  <c r="S52" i="6" l="1"/>
  <c r="R52" i="6" s="1"/>
  <c r="D51" i="41" s="1"/>
  <c r="Z41" i="6"/>
  <c r="Y41" i="6" s="1"/>
  <c r="J40" i="41" s="1"/>
  <c r="AL70" i="6"/>
  <c r="AK70" i="6" s="1"/>
  <c r="AM70" i="6" s="1"/>
  <c r="AL71" i="6" l="1"/>
  <c r="AK71" i="6" s="1"/>
  <c r="AM71" i="6" s="1"/>
  <c r="AA41" i="6"/>
  <c r="T52" i="6"/>
  <c r="AL72" i="6" l="1"/>
  <c r="AK72" i="6" s="1"/>
  <c r="AM72" i="6" s="1"/>
  <c r="Z42" i="6"/>
  <c r="Y42" i="6" s="1"/>
  <c r="J41" i="41" s="1"/>
  <c r="S53" i="6"/>
  <c r="R53" i="6" s="1"/>
  <c r="D52" i="41" s="1"/>
  <c r="AL73" i="6" l="1"/>
  <c r="AK73" i="6" s="1"/>
  <c r="AM73" i="6" s="1"/>
  <c r="T53" i="6"/>
  <c r="AA42" i="6"/>
  <c r="AL74" i="6" l="1"/>
  <c r="AK74" i="6" s="1"/>
  <c r="AM74" i="6" s="1"/>
  <c r="Z43" i="6"/>
  <c r="Y43" i="6" s="1"/>
  <c r="J42" i="41" s="1"/>
  <c r="S54" i="6"/>
  <c r="R54" i="6" s="1"/>
  <c r="D53" i="41" s="1"/>
  <c r="AL75" i="6" l="1"/>
  <c r="AK75" i="6" s="1"/>
  <c r="AM75" i="6" s="1"/>
  <c r="T54" i="6"/>
  <c r="AA43" i="6"/>
  <c r="Z44" i="6" l="1"/>
  <c r="Y44" i="6" s="1"/>
  <c r="J43" i="41" s="1"/>
  <c r="AL76" i="6"/>
  <c r="AK76" i="6" s="1"/>
  <c r="AM76" i="6" s="1"/>
  <c r="S55" i="6"/>
  <c r="R55" i="6" s="1"/>
  <c r="D54" i="41" s="1"/>
  <c r="AL77" i="6" l="1"/>
  <c r="AK77" i="6" s="1"/>
  <c r="AM77" i="6" s="1"/>
  <c r="T55" i="6"/>
  <c r="AA44" i="6"/>
  <c r="Z45" i="6" l="1"/>
  <c r="Y45" i="6" s="1"/>
  <c r="J44" i="41" s="1"/>
  <c r="AL78" i="6"/>
  <c r="AK78" i="6" s="1"/>
  <c r="AM78" i="6" s="1"/>
  <c r="S56" i="6"/>
  <c r="R56" i="6" s="1"/>
  <c r="D55" i="41" s="1"/>
  <c r="AL79" i="6" l="1"/>
  <c r="AK79" i="6" s="1"/>
  <c r="AM79" i="6" s="1"/>
  <c r="T56" i="6"/>
  <c r="AA45" i="6"/>
  <c r="AL80" i="6" l="1"/>
  <c r="AK80" i="6" s="1"/>
  <c r="AM80" i="6" s="1"/>
  <c r="Z46" i="6"/>
  <c r="Y46" i="6" s="1"/>
  <c r="J45" i="41" s="1"/>
  <c r="S57" i="6"/>
  <c r="R57" i="6" s="1"/>
  <c r="D56" i="41" s="1"/>
  <c r="AL81" i="6" l="1"/>
  <c r="AK81" i="6" s="1"/>
  <c r="AM81" i="6" s="1"/>
  <c r="T57" i="6"/>
  <c r="AA46" i="6"/>
  <c r="AL82" i="6" l="1"/>
  <c r="AK82" i="6" s="1"/>
  <c r="AM82" i="6" s="1"/>
  <c r="S58" i="6"/>
  <c r="R58" i="6" s="1"/>
  <c r="D57" i="41" s="1"/>
  <c r="Z47" i="6"/>
  <c r="Y47" i="6" s="1"/>
  <c r="J46" i="41" s="1"/>
  <c r="AL83" i="6" l="1"/>
  <c r="AK83" i="6" s="1"/>
  <c r="AM83" i="6" s="1"/>
  <c r="AA47" i="6"/>
  <c r="T58" i="6"/>
  <c r="S59" i="6" l="1"/>
  <c r="R59" i="6" s="1"/>
  <c r="D58" i="41" s="1"/>
  <c r="Z48" i="6"/>
  <c r="Y48" i="6" s="1"/>
  <c r="J47" i="41" s="1"/>
  <c r="AL84" i="6"/>
  <c r="AK84" i="6" s="1"/>
  <c r="AM84" i="6" s="1"/>
  <c r="AL85" i="6" l="1"/>
  <c r="AK85" i="6" s="1"/>
  <c r="AM85" i="6" s="1"/>
  <c r="AA48" i="6"/>
  <c r="T59" i="6"/>
  <c r="AL86" i="6" l="1"/>
  <c r="AK86" i="6" s="1"/>
  <c r="AM86" i="6" s="1"/>
  <c r="S60" i="6"/>
  <c r="R60" i="6" s="1"/>
  <c r="D59" i="41" s="1"/>
  <c r="Z49" i="6"/>
  <c r="Y49" i="6" s="1"/>
  <c r="J48" i="41" s="1"/>
  <c r="AA49" i="6" l="1"/>
  <c r="T60" i="6"/>
  <c r="AL87" i="6"/>
  <c r="AK87" i="6" s="1"/>
  <c r="AM87" i="6" s="1"/>
  <c r="AL88" i="6" l="1"/>
  <c r="AK88" i="6" s="1"/>
  <c r="AM88" i="6" s="1"/>
  <c r="S61" i="6"/>
  <c r="R61" i="6" s="1"/>
  <c r="D60" i="41" s="1"/>
  <c r="Z50" i="6"/>
  <c r="Y50" i="6" s="1"/>
  <c r="J49" i="41" s="1"/>
  <c r="AL89" i="6" l="1"/>
  <c r="AK89" i="6" s="1"/>
  <c r="AM89" i="6" s="1"/>
  <c r="AA50" i="6"/>
  <c r="T61" i="6"/>
  <c r="AL90" i="6" l="1"/>
  <c r="AK90" i="6" s="1"/>
  <c r="AM90" i="6" s="1"/>
  <c r="Z51" i="6"/>
  <c r="Y51" i="6" s="1"/>
  <c r="J50" i="41" s="1"/>
  <c r="S62" i="6"/>
  <c r="R62" i="6" s="1"/>
  <c r="D61" i="41" s="1"/>
  <c r="AL91" i="6" l="1"/>
  <c r="AK91" i="6" s="1"/>
  <c r="AM91" i="6" s="1"/>
  <c r="T62" i="6"/>
  <c r="AA51" i="6"/>
  <c r="AL92" i="6" l="1"/>
  <c r="AK92" i="6" s="1"/>
  <c r="AM92" i="6" s="1"/>
  <c r="S63" i="6"/>
  <c r="R63" i="6" s="1"/>
  <c r="D62" i="41" s="1"/>
  <c r="Z52" i="6"/>
  <c r="Y52" i="6" s="1"/>
  <c r="J51" i="41" s="1"/>
  <c r="AL93" i="6" l="1"/>
  <c r="AK93" i="6" s="1"/>
  <c r="AM93" i="6" s="1"/>
  <c r="AA52" i="6"/>
  <c r="T63" i="6"/>
  <c r="AL94" i="6" l="1"/>
  <c r="AK94" i="6" s="1"/>
  <c r="AM94" i="6" s="1"/>
  <c r="Z53" i="6"/>
  <c r="Y53" i="6" s="1"/>
  <c r="J52" i="41" s="1"/>
  <c r="S64" i="6"/>
  <c r="R64" i="6" s="1"/>
  <c r="D63" i="41" s="1"/>
  <c r="AL95" i="6" l="1"/>
  <c r="AK95" i="6" s="1"/>
  <c r="AM95" i="6" s="1"/>
  <c r="AA53" i="6"/>
  <c r="T64" i="6"/>
  <c r="AL96" i="6" l="1"/>
  <c r="AK96" i="6" s="1"/>
  <c r="AM96" i="6" s="1"/>
  <c r="Z54" i="6"/>
  <c r="Y54" i="6" s="1"/>
  <c r="J53" i="41" s="1"/>
  <c r="S65" i="6"/>
  <c r="R65" i="6" s="1"/>
  <c r="D64" i="41" s="1"/>
  <c r="AL97" i="6" l="1"/>
  <c r="AK97" i="6" s="1"/>
  <c r="AM97" i="6" s="1"/>
  <c r="T65" i="6"/>
  <c r="AA54" i="6"/>
  <c r="AL98" i="6" l="1"/>
  <c r="AK98" i="6" s="1"/>
  <c r="AM98" i="6" s="1"/>
  <c r="Z55" i="6"/>
  <c r="Y55" i="6" s="1"/>
  <c r="J54" i="41" s="1"/>
  <c r="S66" i="6"/>
  <c r="R66" i="6" s="1"/>
  <c r="D65" i="41" s="1"/>
  <c r="AL99" i="6" l="1"/>
  <c r="AK99" i="6" s="1"/>
  <c r="AM99" i="6" s="1"/>
  <c r="T66" i="6"/>
  <c r="AA55" i="6"/>
  <c r="AL100" i="6" l="1"/>
  <c r="AK100" i="6" s="1"/>
  <c r="AM100" i="6" s="1"/>
  <c r="Z56" i="6"/>
  <c r="Y56" i="6" s="1"/>
  <c r="J55" i="41" s="1"/>
  <c r="S67" i="6"/>
  <c r="R67" i="6" s="1"/>
  <c r="D66" i="41" s="1"/>
  <c r="AL101" i="6" l="1"/>
  <c r="AK101" i="6" s="1"/>
  <c r="AM101" i="6" s="1"/>
  <c r="T67" i="6"/>
  <c r="AA56" i="6"/>
  <c r="AL102" i="6" l="1"/>
  <c r="AK102" i="6" s="1"/>
  <c r="AM102" i="6" s="1"/>
  <c r="Z57" i="6"/>
  <c r="Y57" i="6" s="1"/>
  <c r="J56" i="41" s="1"/>
  <c r="S68" i="6"/>
  <c r="R68" i="6" s="1"/>
  <c r="D67" i="41" s="1"/>
  <c r="AL103" i="6" l="1"/>
  <c r="AK103" i="6" s="1"/>
  <c r="AM103" i="6" s="1"/>
  <c r="T68" i="6"/>
  <c r="AA57" i="6"/>
  <c r="AL104" i="6" l="1"/>
  <c r="AK104" i="6" s="1"/>
  <c r="AM104" i="6" s="1"/>
  <c r="Z58" i="6"/>
  <c r="Y58" i="6" s="1"/>
  <c r="J57" i="41" s="1"/>
  <c r="S69" i="6"/>
  <c r="R69" i="6" s="1"/>
  <c r="D68" i="41" s="1"/>
  <c r="T69" i="6" l="1"/>
  <c r="AA58" i="6"/>
  <c r="AL105" i="6"/>
  <c r="AK105" i="6" s="1"/>
  <c r="AM105" i="6" s="1"/>
  <c r="AL106" i="6" l="1"/>
  <c r="AK106" i="6" s="1"/>
  <c r="AM106" i="6" s="1"/>
  <c r="Z59" i="6"/>
  <c r="Y59" i="6" s="1"/>
  <c r="J58" i="41" s="1"/>
  <c r="S70" i="6"/>
  <c r="R70" i="6" s="1"/>
  <c r="D69" i="41" s="1"/>
  <c r="T70" i="6" l="1"/>
  <c r="AA59" i="6"/>
  <c r="AL107" i="6"/>
  <c r="AK107" i="6" s="1"/>
  <c r="AM107" i="6" s="1"/>
  <c r="AL108" i="6" l="1"/>
  <c r="AK108" i="6" s="1"/>
  <c r="AM108" i="6" s="1"/>
  <c r="Z60" i="6"/>
  <c r="Y60" i="6" s="1"/>
  <c r="J59" i="41" s="1"/>
  <c r="S71" i="6"/>
  <c r="R71" i="6" s="1"/>
  <c r="D70" i="41" s="1"/>
  <c r="AL109" i="6" l="1"/>
  <c r="AK109" i="6" s="1"/>
  <c r="AM109" i="6" s="1"/>
  <c r="T71" i="6"/>
  <c r="AA60" i="6"/>
  <c r="AL110" i="6" l="1"/>
  <c r="AK110" i="6" s="1"/>
  <c r="AM110" i="6" s="1"/>
  <c r="Z61" i="6"/>
  <c r="Y61" i="6" s="1"/>
  <c r="J60" i="41" s="1"/>
  <c r="S72" i="6"/>
  <c r="R72" i="6" s="1"/>
  <c r="D71" i="41" s="1"/>
  <c r="AA61" i="6" l="1"/>
  <c r="Z62" i="6" s="1"/>
  <c r="Y62" i="6" s="1"/>
  <c r="J61" i="41" s="1"/>
  <c r="T72" i="6"/>
  <c r="AL111" i="6"/>
  <c r="AK111" i="6" s="1"/>
  <c r="AM111" i="6" s="1"/>
  <c r="AL112" i="6" l="1"/>
  <c r="AK112" i="6" s="1"/>
  <c r="AM112" i="6" s="1"/>
  <c r="AA62" i="6"/>
  <c r="S73" i="6"/>
  <c r="R73" i="6" s="1"/>
  <c r="D72" i="41" s="1"/>
  <c r="AL113" i="6" l="1"/>
  <c r="AK113" i="6" s="1"/>
  <c r="AM113" i="6" s="1"/>
  <c r="T73" i="6"/>
  <c r="Z63" i="6"/>
  <c r="Y63" i="6" s="1"/>
  <c r="J62" i="41" s="1"/>
  <c r="AL114" i="6" l="1"/>
  <c r="AK114" i="6" s="1"/>
  <c r="AM114" i="6" s="1"/>
  <c r="AA63" i="6"/>
  <c r="S74" i="6"/>
  <c r="R74" i="6" s="1"/>
  <c r="D73" i="41" s="1"/>
  <c r="T74" i="6" l="1"/>
  <c r="Z64" i="6"/>
  <c r="Y64" i="6" s="1"/>
  <c r="J63" i="41" s="1"/>
  <c r="AL115" i="6"/>
  <c r="AK115" i="6" s="1"/>
  <c r="AM115" i="6" s="1"/>
  <c r="AL116" i="6" l="1"/>
  <c r="AK116" i="6" s="1"/>
  <c r="AM116" i="6" s="1"/>
  <c r="AA64" i="6"/>
  <c r="S75" i="6"/>
  <c r="R75" i="6" s="1"/>
  <c r="D74" i="41" s="1"/>
  <c r="AL117" i="6" l="1"/>
  <c r="AK117" i="6" s="1"/>
  <c r="AM117" i="6" s="1"/>
  <c r="T75" i="6"/>
  <c r="Z65" i="6"/>
  <c r="Y65" i="6" s="1"/>
  <c r="J64" i="41" s="1"/>
  <c r="AL118" i="6" l="1"/>
  <c r="AK118" i="6" s="1"/>
  <c r="AM118" i="6" s="1"/>
  <c r="S76" i="6"/>
  <c r="R76" i="6" s="1"/>
  <c r="D75" i="41" s="1"/>
  <c r="AA65" i="6"/>
  <c r="AL119" i="6" l="1"/>
  <c r="AK119" i="6" s="1"/>
  <c r="AM119" i="6" s="1"/>
  <c r="Z66" i="6"/>
  <c r="Y66" i="6" s="1"/>
  <c r="J65" i="41" s="1"/>
  <c r="T76" i="6"/>
  <c r="AL120" i="6" l="1"/>
  <c r="AK120" i="6" s="1"/>
  <c r="AM120" i="6" s="1"/>
  <c r="S77" i="6"/>
  <c r="R77" i="6" s="1"/>
  <c r="D76" i="41" s="1"/>
  <c r="AA66" i="6"/>
  <c r="AL121" i="6" l="1"/>
  <c r="AK121" i="6" s="1"/>
  <c r="AM121" i="6" s="1"/>
  <c r="Z67" i="6"/>
  <c r="Y67" i="6" s="1"/>
  <c r="J66" i="41" s="1"/>
  <c r="T77" i="6"/>
  <c r="AL122" i="6" l="1"/>
  <c r="AK122" i="6" s="1"/>
  <c r="AM122" i="6" s="1"/>
  <c r="S78" i="6"/>
  <c r="R78" i="6" s="1"/>
  <c r="D77" i="41" s="1"/>
  <c r="AA67" i="6"/>
  <c r="AL123" i="6" l="1"/>
  <c r="AK123" i="6" s="1"/>
  <c r="AM123" i="6" s="1"/>
  <c r="Z68" i="6"/>
  <c r="Y68" i="6" s="1"/>
  <c r="J67" i="41" s="1"/>
  <c r="T78" i="6"/>
  <c r="AL124" i="6" l="1"/>
  <c r="AK124" i="6" s="1"/>
  <c r="AM124" i="6" s="1"/>
  <c r="S79" i="6"/>
  <c r="R79" i="6" s="1"/>
  <c r="D78" i="41" s="1"/>
  <c r="AA68" i="6"/>
  <c r="AL125" i="6" l="1"/>
  <c r="AK125" i="6" s="1"/>
  <c r="AM125" i="6" s="1"/>
  <c r="Z69" i="6"/>
  <c r="Y69" i="6" s="1"/>
  <c r="J68" i="41" s="1"/>
  <c r="T79" i="6"/>
  <c r="S80" i="6" l="1"/>
  <c r="R80" i="6" s="1"/>
  <c r="D79" i="41" s="1"/>
  <c r="AL126" i="6"/>
  <c r="AK126" i="6" s="1"/>
  <c r="AM126" i="6" s="1"/>
  <c r="AA69" i="6"/>
  <c r="AL127" i="6" l="1"/>
  <c r="AK127" i="6" s="1"/>
  <c r="AM127" i="6" s="1"/>
  <c r="Z70" i="6"/>
  <c r="Y70" i="6" s="1"/>
  <c r="J69" i="41" s="1"/>
  <c r="T80" i="6"/>
  <c r="S81" i="6" l="1"/>
  <c r="R81" i="6" s="1"/>
  <c r="D80" i="41" s="1"/>
  <c r="AA70" i="6"/>
  <c r="AL128" i="6"/>
  <c r="AK128" i="6" s="1"/>
  <c r="AM128" i="6" s="1"/>
  <c r="AL129" i="6" l="1"/>
  <c r="AK129" i="6" s="1"/>
  <c r="AM129" i="6" s="1"/>
  <c r="Z71" i="6"/>
  <c r="Y71" i="6" s="1"/>
  <c r="J70" i="41" s="1"/>
  <c r="T81" i="6"/>
  <c r="AL130" i="6" l="1"/>
  <c r="AK130" i="6" s="1"/>
  <c r="AM130" i="6" s="1"/>
  <c r="S82" i="6"/>
  <c r="R82" i="6" s="1"/>
  <c r="D81" i="41" s="1"/>
  <c r="AA71" i="6"/>
  <c r="Z72" i="6" l="1"/>
  <c r="Y72" i="6" s="1"/>
  <c r="J71" i="41" s="1"/>
  <c r="T82" i="6"/>
  <c r="AL131" i="6"/>
  <c r="AK131" i="6" s="1"/>
  <c r="AM131" i="6" s="1"/>
  <c r="AA72" i="6" l="1"/>
  <c r="Z73" i="6" s="1"/>
  <c r="Y73" i="6" s="1"/>
  <c r="J72" i="41" s="1"/>
  <c r="AL132" i="6"/>
  <c r="AK132" i="6" s="1"/>
  <c r="AM132" i="6" s="1"/>
  <c r="S83" i="6"/>
  <c r="R83" i="6" s="1"/>
  <c r="D82" i="41" s="1"/>
  <c r="AA73" i="6" l="1"/>
  <c r="AL133" i="6"/>
  <c r="AK133" i="6" s="1"/>
  <c r="AM133" i="6" s="1"/>
  <c r="T83" i="6"/>
  <c r="AL134" i="6" l="1"/>
  <c r="AK134" i="6" s="1"/>
  <c r="AM134" i="6" s="1"/>
  <c r="S84" i="6"/>
  <c r="R84" i="6" s="1"/>
  <c r="D83" i="41" s="1"/>
  <c r="Z74" i="6"/>
  <c r="Y74" i="6" s="1"/>
  <c r="J73" i="41" s="1"/>
  <c r="AA74" i="6" l="1"/>
  <c r="T84" i="6"/>
  <c r="AL135" i="6"/>
  <c r="AK135" i="6" s="1"/>
  <c r="AM135" i="6" s="1"/>
  <c r="AL136" i="6" l="1"/>
  <c r="AK136" i="6" s="1"/>
  <c r="AM136" i="6" s="1"/>
  <c r="S85" i="6"/>
  <c r="R85" i="6" s="1"/>
  <c r="D84" i="41" s="1"/>
  <c r="Z75" i="6"/>
  <c r="Y75" i="6" s="1"/>
  <c r="J74" i="41" s="1"/>
  <c r="AL137" i="6" l="1"/>
  <c r="AK137" i="6" s="1"/>
  <c r="AM137" i="6" s="1"/>
  <c r="AA75" i="6"/>
  <c r="T85" i="6"/>
  <c r="AL138" i="6" l="1"/>
  <c r="AK138" i="6" s="1"/>
  <c r="AM138" i="6" s="1"/>
  <c r="S86" i="6"/>
  <c r="R86" i="6" s="1"/>
  <c r="D85" i="41" s="1"/>
  <c r="Z76" i="6"/>
  <c r="Y76" i="6" s="1"/>
  <c r="J75" i="41" s="1"/>
  <c r="AA76" i="6" l="1"/>
  <c r="T86" i="6"/>
  <c r="AL139" i="6"/>
  <c r="AK139" i="6" s="1"/>
  <c r="AM139" i="6" s="1"/>
  <c r="AL140" i="6" l="1"/>
  <c r="AK140" i="6" s="1"/>
  <c r="AM140" i="6" s="1"/>
  <c r="S87" i="6"/>
  <c r="R87" i="6" s="1"/>
  <c r="D86" i="41" s="1"/>
  <c r="Z77" i="6"/>
  <c r="Y77" i="6" s="1"/>
  <c r="J76" i="41" s="1"/>
  <c r="AL141" i="6" l="1"/>
  <c r="AK141" i="6" s="1"/>
  <c r="AM141" i="6" s="1"/>
  <c r="AA77" i="6"/>
  <c r="T87" i="6"/>
  <c r="AL142" i="6" l="1"/>
  <c r="AK142" i="6" s="1"/>
  <c r="AM142" i="6" s="1"/>
  <c r="Z78" i="6"/>
  <c r="Y78" i="6" s="1"/>
  <c r="J77" i="41" s="1"/>
  <c r="S88" i="6"/>
  <c r="R88" i="6" s="1"/>
  <c r="D87" i="41" s="1"/>
  <c r="AL143" i="6" l="1"/>
  <c r="AK143" i="6" s="1"/>
  <c r="AM143" i="6" s="1"/>
  <c r="T88" i="6"/>
  <c r="AA78" i="6"/>
  <c r="AL144" i="6" l="1"/>
  <c r="AK144" i="6" s="1"/>
  <c r="AM144" i="6" s="1"/>
  <c r="S89" i="6"/>
  <c r="R89" i="6" s="1"/>
  <c r="D88" i="41" s="1"/>
  <c r="Z79" i="6"/>
  <c r="Y79" i="6" s="1"/>
  <c r="J78" i="41" s="1"/>
  <c r="AL145" i="6" l="1"/>
  <c r="AK145" i="6" s="1"/>
  <c r="AM145" i="6" s="1"/>
  <c r="AA79" i="6"/>
  <c r="T89" i="6"/>
  <c r="AL146" i="6" l="1"/>
  <c r="AK146" i="6" s="1"/>
  <c r="AM146" i="6" s="1"/>
  <c r="Z80" i="6"/>
  <c r="Y80" i="6" s="1"/>
  <c r="J79" i="41" s="1"/>
  <c r="S90" i="6"/>
  <c r="R90" i="6" s="1"/>
  <c r="D89" i="41" s="1"/>
  <c r="AL147" i="6" l="1"/>
  <c r="AK147" i="6" s="1"/>
  <c r="AM147" i="6" s="1"/>
  <c r="AA80" i="6"/>
  <c r="T90" i="6"/>
  <c r="AL148" i="6" l="1"/>
  <c r="AK148" i="6" s="1"/>
  <c r="AM148" i="6" s="1"/>
  <c r="S91" i="6"/>
  <c r="R91" i="6" s="1"/>
  <c r="D90" i="41" s="1"/>
  <c r="Z81" i="6"/>
  <c r="Y81" i="6" s="1"/>
  <c r="J80" i="41" s="1"/>
  <c r="AL149" i="6" l="1"/>
  <c r="AK149" i="6" s="1"/>
  <c r="AM149" i="6" s="1"/>
  <c r="AA81" i="6"/>
  <c r="T91" i="6"/>
  <c r="AL150" i="6" l="1"/>
  <c r="AK150" i="6" s="1"/>
  <c r="AM150" i="6" s="1"/>
  <c r="S92" i="6"/>
  <c r="R92" i="6" s="1"/>
  <c r="D91" i="41" s="1"/>
  <c r="Z82" i="6"/>
  <c r="Y82" i="6" s="1"/>
  <c r="J81" i="41" s="1"/>
  <c r="AL151" i="6" l="1"/>
  <c r="AK151" i="6" s="1"/>
  <c r="AM151" i="6" s="1"/>
  <c r="AA82" i="6"/>
  <c r="T92" i="6"/>
  <c r="AL152" i="6" l="1"/>
  <c r="AK152" i="6" s="1"/>
  <c r="AM152" i="6" s="1"/>
  <c r="S93" i="6"/>
  <c r="R93" i="6" s="1"/>
  <c r="D92" i="41" s="1"/>
  <c r="Z83" i="6"/>
  <c r="Y83" i="6" s="1"/>
  <c r="J82" i="41" s="1"/>
  <c r="AL153" i="6" l="1"/>
  <c r="AK153" i="6" s="1"/>
  <c r="AM153" i="6" s="1"/>
  <c r="AA83" i="6"/>
  <c r="T93" i="6"/>
  <c r="AL154" i="6" l="1"/>
  <c r="AK154" i="6" s="1"/>
  <c r="AM154" i="6" s="1"/>
  <c r="Z84" i="6"/>
  <c r="Y84" i="6" s="1"/>
  <c r="J83" i="41" s="1"/>
  <c r="S94" i="6"/>
  <c r="R94" i="6" s="1"/>
  <c r="D93" i="41" s="1"/>
  <c r="AL155" i="6" l="1"/>
  <c r="AK155" i="6" s="1"/>
  <c r="AM155" i="6" s="1"/>
  <c r="T94" i="6"/>
  <c r="AA84" i="6"/>
  <c r="Z85" i="6" l="1"/>
  <c r="Y85" i="6" s="1"/>
  <c r="J84" i="41" s="1"/>
  <c r="AL156" i="6"/>
  <c r="AK156" i="6" s="1"/>
  <c r="AM156" i="6" s="1"/>
  <c r="S95" i="6"/>
  <c r="R95" i="6" s="1"/>
  <c r="D94" i="41" s="1"/>
  <c r="AL157" i="6" l="1"/>
  <c r="AK157" i="6" s="1"/>
  <c r="AM157" i="6" s="1"/>
  <c r="T95" i="6"/>
  <c r="AA85" i="6"/>
  <c r="AL158" i="6" l="1"/>
  <c r="AK158" i="6" s="1"/>
  <c r="AM158" i="6" s="1"/>
  <c r="S96" i="6"/>
  <c r="R96" i="6" s="1"/>
  <c r="D95" i="41" s="1"/>
  <c r="Z86" i="6"/>
  <c r="Y86" i="6" s="1"/>
  <c r="J85" i="41" s="1"/>
  <c r="AL159" i="6" l="1"/>
  <c r="AK159" i="6" s="1"/>
  <c r="AM159" i="6" s="1"/>
  <c r="AA86" i="6"/>
  <c r="T96" i="6"/>
  <c r="AL160" i="6" l="1"/>
  <c r="AK160" i="6" s="1"/>
  <c r="AM160" i="6" s="1"/>
  <c r="S97" i="6"/>
  <c r="R97" i="6" s="1"/>
  <c r="D96" i="41" s="1"/>
  <c r="Z87" i="6"/>
  <c r="Y87" i="6" s="1"/>
  <c r="J86" i="41" s="1"/>
  <c r="AL161" i="6" l="1"/>
  <c r="AK161" i="6" s="1"/>
  <c r="AM161" i="6" s="1"/>
  <c r="T97" i="6"/>
  <c r="AA87" i="6"/>
  <c r="AL162" i="6" l="1"/>
  <c r="AK162" i="6" s="1"/>
  <c r="AM162" i="6" s="1"/>
  <c r="Z88" i="6"/>
  <c r="Y88" i="6" s="1"/>
  <c r="J87" i="41" s="1"/>
  <c r="S98" i="6"/>
  <c r="R98" i="6" s="1"/>
  <c r="D97" i="41" s="1"/>
  <c r="AL163" i="6" l="1"/>
  <c r="AK163" i="6" s="1"/>
  <c r="AM163" i="6" s="1"/>
  <c r="T98" i="6"/>
  <c r="AA88" i="6"/>
  <c r="AL164" i="6" l="1"/>
  <c r="AK164" i="6" s="1"/>
  <c r="AM164" i="6" s="1"/>
  <c r="S99" i="6"/>
  <c r="R99" i="6" s="1"/>
  <c r="D98" i="41" s="1"/>
  <c r="Z89" i="6"/>
  <c r="Y89" i="6" s="1"/>
  <c r="J88" i="41" s="1"/>
  <c r="AL165" i="6" l="1"/>
  <c r="AK165" i="6" s="1"/>
  <c r="AM165" i="6" s="1"/>
  <c r="AA89" i="6"/>
  <c r="T99" i="6"/>
  <c r="AL166" i="6" l="1"/>
  <c r="AK166" i="6" s="1"/>
  <c r="AM166" i="6" s="1"/>
  <c r="S100" i="6"/>
  <c r="R100" i="6" s="1"/>
  <c r="D99" i="41" s="1"/>
  <c r="Z90" i="6"/>
  <c r="Y90" i="6" s="1"/>
  <c r="J89" i="41" s="1"/>
  <c r="AL167" i="6" l="1"/>
  <c r="AK167" i="6" s="1"/>
  <c r="AM167" i="6" s="1"/>
  <c r="T100" i="6"/>
  <c r="AA90" i="6"/>
  <c r="AL168" i="6" l="1"/>
  <c r="AK168" i="6" s="1"/>
  <c r="AM168" i="6" s="1"/>
  <c r="Z91" i="6"/>
  <c r="Y91" i="6" s="1"/>
  <c r="J90" i="41" s="1"/>
  <c r="S101" i="6"/>
  <c r="R101" i="6" s="1"/>
  <c r="D100" i="41" s="1"/>
  <c r="AL169" i="6" l="1"/>
  <c r="AK169" i="6" s="1"/>
  <c r="AM169" i="6" s="1"/>
  <c r="AA91" i="6"/>
  <c r="T101" i="6"/>
  <c r="AL170" i="6" l="1"/>
  <c r="AK170" i="6" s="1"/>
  <c r="AM170" i="6" s="1"/>
  <c r="S102" i="6"/>
  <c r="R102" i="6" s="1"/>
  <c r="D101" i="41" s="1"/>
  <c r="Z92" i="6"/>
  <c r="Y92" i="6" s="1"/>
  <c r="J91" i="41" s="1"/>
  <c r="AA92" i="6" l="1"/>
  <c r="T102" i="6"/>
  <c r="AL171" i="6"/>
  <c r="AK171" i="6" s="1"/>
  <c r="AM171" i="6" s="1"/>
  <c r="AL172" i="6" l="1"/>
  <c r="AK172" i="6" s="1"/>
  <c r="AM172" i="6" s="1"/>
  <c r="S103" i="6"/>
  <c r="R103" i="6" s="1"/>
  <c r="D102" i="41" s="1"/>
  <c r="Z93" i="6"/>
  <c r="Y93" i="6" s="1"/>
  <c r="J92" i="41" s="1"/>
  <c r="AL173" i="6" l="1"/>
  <c r="AK173" i="6" s="1"/>
  <c r="AM173" i="6" s="1"/>
  <c r="T103" i="6"/>
  <c r="AA93" i="6"/>
  <c r="AL174" i="6" l="1"/>
  <c r="AK174" i="6" s="1"/>
  <c r="AM174" i="6" s="1"/>
  <c r="Z94" i="6"/>
  <c r="Y94" i="6" s="1"/>
  <c r="J93" i="41" s="1"/>
  <c r="S104" i="6"/>
  <c r="R104" i="6" s="1"/>
  <c r="D103" i="41" s="1"/>
  <c r="AL175" i="6" l="1"/>
  <c r="AK175" i="6" s="1"/>
  <c r="AM175" i="6" s="1"/>
  <c r="T104" i="6"/>
  <c r="AA94" i="6"/>
  <c r="AL176" i="6" l="1"/>
  <c r="AK176" i="6" s="1"/>
  <c r="AM176" i="6" s="1"/>
  <c r="Z95" i="6"/>
  <c r="Y95" i="6" s="1"/>
  <c r="J94" i="41" s="1"/>
  <c r="S105" i="6"/>
  <c r="R105" i="6" s="1"/>
  <c r="D104" i="41" s="1"/>
  <c r="AL177" i="6" l="1"/>
  <c r="AK177" i="6" s="1"/>
  <c r="AM177" i="6" s="1"/>
  <c r="T105" i="6"/>
  <c r="AA95" i="6"/>
  <c r="AL178" i="6" l="1"/>
  <c r="AK178" i="6" s="1"/>
  <c r="AM178" i="6" s="1"/>
  <c r="Z96" i="6"/>
  <c r="Y96" i="6" s="1"/>
  <c r="J95" i="41" s="1"/>
  <c r="S106" i="6"/>
  <c r="R106" i="6" s="1"/>
  <c r="D105" i="41" s="1"/>
  <c r="AL179" i="6" l="1"/>
  <c r="AK179" i="6" s="1"/>
  <c r="AM179" i="6" s="1"/>
  <c r="T106" i="6"/>
  <c r="AA96" i="6"/>
  <c r="AL180" i="6" l="1"/>
  <c r="AK180" i="6" s="1"/>
  <c r="AM180" i="6" s="1"/>
  <c r="Z97" i="6"/>
  <c r="Y97" i="6" s="1"/>
  <c r="J96" i="41" s="1"/>
  <c r="S107" i="6"/>
  <c r="R107" i="6" s="1"/>
  <c r="D106" i="41" s="1"/>
  <c r="AL181" i="6" l="1"/>
  <c r="AK181" i="6" s="1"/>
  <c r="AM181" i="6" s="1"/>
  <c r="T107" i="6"/>
  <c r="AA97" i="6"/>
  <c r="Z98" i="6" l="1"/>
  <c r="Y98" i="6" s="1"/>
  <c r="J97" i="41" s="1"/>
  <c r="AL182" i="6"/>
  <c r="AK182" i="6" s="1"/>
  <c r="AM182" i="6" s="1"/>
  <c r="S108" i="6"/>
  <c r="R108" i="6" s="1"/>
  <c r="D107" i="41" s="1"/>
  <c r="AL183" i="6" l="1"/>
  <c r="AK183" i="6" s="1"/>
  <c r="AM183" i="6" s="1"/>
  <c r="T108" i="6"/>
  <c r="AA98" i="6"/>
  <c r="AL184" i="6" l="1"/>
  <c r="AK184" i="6" s="1"/>
  <c r="AM184" i="6" s="1"/>
  <c r="S109" i="6"/>
  <c r="R109" i="6" s="1"/>
  <c r="D108" i="41" s="1"/>
  <c r="Z99" i="6"/>
  <c r="Y99" i="6" s="1"/>
  <c r="J98" i="41" s="1"/>
  <c r="AL185" i="6" l="1"/>
  <c r="AK185" i="6" s="1"/>
  <c r="AM185" i="6" s="1"/>
  <c r="AA99" i="6"/>
  <c r="T109" i="6"/>
  <c r="AL186" i="6" l="1"/>
  <c r="AK186" i="6" s="1"/>
  <c r="AM186" i="6" s="1"/>
  <c r="S110" i="6"/>
  <c r="R110" i="6" s="1"/>
  <c r="D109" i="41" s="1"/>
  <c r="Z100" i="6"/>
  <c r="Y100" i="6" s="1"/>
  <c r="J99" i="41" s="1"/>
  <c r="AL187" i="6" l="1"/>
  <c r="AK187" i="6" s="1"/>
  <c r="AM187" i="6" s="1"/>
  <c r="T110" i="6"/>
  <c r="AA100" i="6"/>
  <c r="AL188" i="6" l="1"/>
  <c r="AK188" i="6" s="1"/>
  <c r="AM188" i="6" s="1"/>
  <c r="S111" i="6"/>
  <c r="R111" i="6" s="1"/>
  <c r="D110" i="41" s="1"/>
  <c r="Z101" i="6"/>
  <c r="Y101" i="6" s="1"/>
  <c r="J100" i="41" s="1"/>
  <c r="AL189" i="6" l="1"/>
  <c r="AK189" i="6" s="1"/>
  <c r="AM189" i="6" s="1"/>
  <c r="AA101" i="6"/>
  <c r="T111" i="6"/>
  <c r="S112" i="6" l="1"/>
  <c r="R112" i="6" s="1"/>
  <c r="D111" i="41" s="1"/>
  <c r="AL190" i="6"/>
  <c r="AK190" i="6" s="1"/>
  <c r="AM190" i="6" s="1"/>
  <c r="Z102" i="6"/>
  <c r="Y102" i="6" s="1"/>
  <c r="J101" i="41" s="1"/>
  <c r="AL191" i="6" l="1"/>
  <c r="AK191" i="6" s="1"/>
  <c r="AM191" i="6" s="1"/>
  <c r="AA102" i="6"/>
  <c r="T112" i="6"/>
  <c r="S113" i="6" l="1"/>
  <c r="R113" i="6" s="1"/>
  <c r="D112" i="41" s="1"/>
  <c r="Z103" i="6"/>
  <c r="Y103" i="6" s="1"/>
  <c r="J102" i="41" s="1"/>
  <c r="AA103" i="6" l="1"/>
  <c r="T113" i="6"/>
  <c r="Z104" i="6" l="1"/>
  <c r="Y104" i="6" s="1"/>
  <c r="J103" i="41" s="1"/>
  <c r="S114" i="6"/>
  <c r="R114" i="6" s="1"/>
  <c r="D113" i="41" s="1"/>
  <c r="T114" i="6" l="1"/>
  <c r="AA104" i="6"/>
  <c r="Z105" i="6" l="1"/>
  <c r="Y105" i="6" s="1"/>
  <c r="J104" i="41" s="1"/>
  <c r="S115" i="6"/>
  <c r="R115" i="6" s="1"/>
  <c r="D114" i="41" s="1"/>
  <c r="T115" i="6" l="1"/>
  <c r="AA105" i="6"/>
  <c r="Z106" i="6" l="1"/>
  <c r="Y106" i="6" s="1"/>
  <c r="J105" i="41" s="1"/>
  <c r="S116" i="6"/>
  <c r="R116" i="6" s="1"/>
  <c r="D115" i="41" s="1"/>
  <c r="T116" i="6" l="1"/>
  <c r="AA106" i="6"/>
  <c r="S117" i="6" l="1"/>
  <c r="R117" i="6" s="1"/>
  <c r="D116" i="41" s="1"/>
  <c r="Z107" i="6"/>
  <c r="Y107" i="6" s="1"/>
  <c r="J106" i="41" s="1"/>
  <c r="T117" i="6" l="1"/>
  <c r="AA107" i="6"/>
  <c r="Z108" i="6" l="1"/>
  <c r="Y108" i="6" s="1"/>
  <c r="J107" i="41" s="1"/>
  <c r="S118" i="6"/>
  <c r="R118" i="6" s="1"/>
  <c r="D117" i="41" s="1"/>
  <c r="T118" i="6" l="1"/>
  <c r="AA108" i="6"/>
  <c r="Z109" i="6" l="1"/>
  <c r="Y109" i="6" s="1"/>
  <c r="J108" i="41" s="1"/>
  <c r="S119" i="6"/>
  <c r="R119" i="6" s="1"/>
  <c r="D118" i="41" s="1"/>
  <c r="T119" i="6" l="1"/>
  <c r="AA109" i="6"/>
  <c r="Z110" i="6" l="1"/>
  <c r="Y110" i="6" s="1"/>
  <c r="J109" i="41" s="1"/>
  <c r="S120" i="6"/>
  <c r="R120" i="6" s="1"/>
  <c r="D119" i="41" s="1"/>
  <c r="T120" i="6" l="1"/>
  <c r="AA110" i="6"/>
  <c r="Z111" i="6" l="1"/>
  <c r="Y111" i="6" s="1"/>
  <c r="J110" i="41" s="1"/>
  <c r="S121" i="6"/>
  <c r="R121" i="6" s="1"/>
  <c r="D120" i="41" s="1"/>
  <c r="T121" i="6" l="1"/>
  <c r="AA111" i="6"/>
  <c r="S122" i="6" l="1"/>
  <c r="R122" i="6" s="1"/>
  <c r="D121" i="41" s="1"/>
  <c r="Z112" i="6"/>
  <c r="Y112" i="6" s="1"/>
  <c r="J111" i="41" s="1"/>
  <c r="AA112" i="6" l="1"/>
  <c r="T122" i="6"/>
  <c r="S123" i="6" l="1"/>
  <c r="R123" i="6" s="1"/>
  <c r="D122" i="41" s="1"/>
  <c r="Z113" i="6"/>
  <c r="Y113" i="6" s="1"/>
  <c r="J112" i="41" s="1"/>
  <c r="T123" i="6" l="1"/>
  <c r="S124" i="6" s="1"/>
  <c r="R124" i="6" s="1"/>
  <c r="D123" i="41" s="1"/>
  <c r="AA113" i="6"/>
  <c r="T124" i="6" l="1"/>
  <c r="Z114" i="6"/>
  <c r="Y114" i="6" s="1"/>
  <c r="J113" i="41" s="1"/>
  <c r="AA114" i="6" l="1"/>
  <c r="S125" i="6"/>
  <c r="R125" i="6" s="1"/>
  <c r="D124" i="41" s="1"/>
  <c r="T125" i="6" l="1"/>
  <c r="Z115" i="6"/>
  <c r="Y115" i="6" s="1"/>
  <c r="J114" i="41" s="1"/>
  <c r="AA115" i="6" l="1"/>
  <c r="S126" i="6"/>
  <c r="R126" i="6" s="1"/>
  <c r="D125" i="41" s="1"/>
  <c r="T126" i="6" l="1"/>
  <c r="Z116" i="6"/>
  <c r="Y116" i="6" s="1"/>
  <c r="J115" i="41" s="1"/>
  <c r="AA116" i="6" l="1"/>
  <c r="S127" i="6"/>
  <c r="R127" i="6" s="1"/>
  <c r="D126" i="41" s="1"/>
  <c r="Z117" i="6" l="1"/>
  <c r="Y117" i="6" s="1"/>
  <c r="J116" i="41" s="1"/>
  <c r="T127" i="6"/>
  <c r="S128" i="6" l="1"/>
  <c r="R128" i="6" s="1"/>
  <c r="D127" i="41" s="1"/>
  <c r="AA117" i="6"/>
  <c r="T128" i="6" l="1"/>
  <c r="S129" i="6" s="1"/>
  <c r="R129" i="6" s="1"/>
  <c r="D128" i="41" s="1"/>
  <c r="Z118" i="6"/>
  <c r="Y118" i="6" s="1"/>
  <c r="J117" i="41" s="1"/>
  <c r="AA118" i="6" l="1"/>
  <c r="T129" i="6"/>
  <c r="Z119" i="6" l="1"/>
  <c r="Y119" i="6" s="1"/>
  <c r="J118" i="41" s="1"/>
  <c r="S130" i="6"/>
  <c r="R130" i="6" s="1"/>
  <c r="D129" i="41" s="1"/>
  <c r="AA119" i="6" l="1"/>
  <c r="Z120" i="6" s="1"/>
  <c r="Y120" i="6" s="1"/>
  <c r="J119" i="41" s="1"/>
  <c r="T130" i="6"/>
  <c r="AA120" i="6" l="1"/>
  <c r="S131" i="6"/>
  <c r="R131" i="6" s="1"/>
  <c r="T131" i="6" s="1"/>
  <c r="U5" i="6" s="1"/>
  <c r="Z121" i="6" l="1"/>
  <c r="Y121" i="6" s="1"/>
  <c r="J120" i="41" s="1"/>
  <c r="AA121" i="6" l="1"/>
  <c r="Z122" i="6" l="1"/>
  <c r="Y122" i="6" s="1"/>
  <c r="J121" i="41" s="1"/>
  <c r="AA122" i="6" l="1"/>
  <c r="Z123" i="6" l="1"/>
  <c r="Y123" i="6" s="1"/>
  <c r="J122" i="41" s="1"/>
  <c r="AA123" i="6" l="1"/>
  <c r="Z124" i="6" l="1"/>
  <c r="Y124" i="6" s="1"/>
  <c r="J123" i="41" s="1"/>
  <c r="AA124" i="6" l="1"/>
  <c r="Z125" i="6" l="1"/>
  <c r="Y125" i="6" s="1"/>
  <c r="J124" i="41" s="1"/>
  <c r="AA125" i="6" l="1"/>
  <c r="Z126" i="6" l="1"/>
  <c r="Y126" i="6" s="1"/>
  <c r="J125" i="41" s="1"/>
  <c r="AA126" i="6" l="1"/>
  <c r="Z127" i="6" l="1"/>
  <c r="Y127" i="6" s="1"/>
  <c r="J126" i="41" s="1"/>
  <c r="AA127" i="6" l="1"/>
  <c r="Z128" i="6" l="1"/>
  <c r="Y128" i="6" s="1"/>
  <c r="J127" i="41" s="1"/>
  <c r="AA128" i="6" l="1"/>
  <c r="Z129" i="6" l="1"/>
  <c r="Y129" i="6" s="1"/>
  <c r="J128" i="41" s="1"/>
  <c r="AA129" i="6" l="1"/>
  <c r="Z130" i="6" l="1"/>
  <c r="Y130" i="6" s="1"/>
  <c r="J129" i="41" s="1"/>
  <c r="AA130" i="6" l="1"/>
  <c r="Z131" i="6" l="1"/>
  <c r="Y131" i="6" s="1"/>
  <c r="J130" i="41" s="1"/>
  <c r="AA131" i="6" l="1"/>
  <c r="Z132" i="6" l="1"/>
  <c r="Y132" i="6" s="1"/>
  <c r="J131" i="41" s="1"/>
  <c r="AA132" i="6" l="1"/>
  <c r="Z133" i="6" l="1"/>
  <c r="Y133" i="6" s="1"/>
  <c r="J132" i="41" s="1"/>
  <c r="AA133" i="6" l="1"/>
  <c r="Z134" i="6" s="1"/>
  <c r="Y134" i="6" s="1"/>
  <c r="J133" i="41" s="1"/>
  <c r="AA134" i="6" l="1"/>
  <c r="Z135" i="6" l="1"/>
  <c r="Y135" i="6" s="1"/>
  <c r="J134" i="41" s="1"/>
  <c r="AA135" i="6" l="1"/>
  <c r="Z136" i="6" l="1"/>
  <c r="Y136" i="6" s="1"/>
  <c r="J135" i="41" s="1"/>
  <c r="AA136" i="6" l="1"/>
  <c r="Z137" i="6" l="1"/>
  <c r="Y137" i="6" s="1"/>
  <c r="J136" i="41" s="1"/>
  <c r="AA137" i="6" l="1"/>
  <c r="Z138" i="6" l="1"/>
  <c r="Y138" i="6" s="1"/>
  <c r="J137" i="41" s="1"/>
  <c r="AA138" i="6" l="1"/>
  <c r="Z139" i="6" l="1"/>
  <c r="Y139" i="6" s="1"/>
  <c r="J138" i="41" s="1"/>
  <c r="AA139" i="6" l="1"/>
  <c r="Z140" i="6" l="1"/>
  <c r="Y140" i="6" s="1"/>
  <c r="J139" i="41" s="1"/>
  <c r="AA140" i="6" l="1"/>
  <c r="Z141" i="6" s="1"/>
  <c r="Y141" i="6" s="1"/>
  <c r="J140" i="41" s="1"/>
  <c r="AA141" i="6" l="1"/>
  <c r="Z142" i="6" l="1"/>
  <c r="Y142" i="6" s="1"/>
  <c r="J141" i="41" s="1"/>
  <c r="AA142" i="6" l="1"/>
  <c r="Z143" i="6" l="1"/>
  <c r="Y143" i="6" s="1"/>
  <c r="J142" i="41" s="1"/>
  <c r="AA143" i="6" l="1"/>
  <c r="Z144" i="6" l="1"/>
  <c r="Y144" i="6" s="1"/>
  <c r="J143" i="41" s="1"/>
  <c r="AA144" i="6" l="1"/>
  <c r="Z145" i="6" s="1"/>
  <c r="Y145" i="6" s="1"/>
  <c r="J144" i="41" s="1"/>
  <c r="AA145" i="6" l="1"/>
  <c r="Z146" i="6" l="1"/>
  <c r="Y146" i="6" s="1"/>
  <c r="J145" i="41" s="1"/>
  <c r="AA146" i="6" l="1"/>
  <c r="Z147" i="6" l="1"/>
  <c r="Y147" i="6" s="1"/>
  <c r="J146" i="41" s="1"/>
  <c r="AA147" i="6" l="1"/>
  <c r="Z148" i="6" l="1"/>
  <c r="Y148" i="6" s="1"/>
  <c r="J147" i="41" s="1"/>
  <c r="AA148" i="6" l="1"/>
  <c r="Z149" i="6" l="1"/>
  <c r="Y149" i="6" s="1"/>
  <c r="J148" i="41" s="1"/>
  <c r="AA149" i="6" l="1"/>
  <c r="Z150" i="6" s="1"/>
  <c r="Y150" i="6" s="1"/>
  <c r="J149" i="41" s="1"/>
  <c r="AA150" i="6" l="1"/>
  <c r="Z151" i="6" s="1"/>
  <c r="Y151" i="6" s="1"/>
  <c r="J150" i="41" l="1"/>
  <c r="AA151" i="6"/>
  <c r="Z152" i="6" s="1"/>
  <c r="Y152" i="6" s="1"/>
  <c r="J151" i="41" s="1"/>
  <c r="AA152" i="6" l="1"/>
  <c r="Z153" i="6" l="1"/>
  <c r="Y153" i="6" s="1"/>
  <c r="J152" i="41" s="1"/>
  <c r="AA153" i="6" l="1"/>
  <c r="Z154" i="6" l="1"/>
  <c r="Y154" i="6" s="1"/>
  <c r="J153" i="41" s="1"/>
  <c r="AA154" i="6" l="1"/>
  <c r="Z155" i="6" l="1"/>
  <c r="Y155" i="6" s="1"/>
  <c r="J154" i="41" s="1"/>
  <c r="AA155" i="6" l="1"/>
  <c r="Z156" i="6" s="1"/>
  <c r="Y156" i="6" s="1"/>
  <c r="J155" i="41" s="1"/>
  <c r="AA156" i="6" l="1"/>
  <c r="Z157" i="6" s="1"/>
  <c r="Y157" i="6" s="1"/>
  <c r="J156" i="41" s="1"/>
  <c r="AA157" i="6" l="1"/>
  <c r="Z158" i="6" l="1"/>
  <c r="Y158" i="6" s="1"/>
  <c r="J157" i="41" s="1"/>
  <c r="AA158" i="6" l="1"/>
  <c r="Z159" i="6" s="1"/>
  <c r="Y159" i="6" s="1"/>
  <c r="J158" i="41" s="1"/>
  <c r="AA159" i="6" l="1"/>
  <c r="Z160" i="6" l="1"/>
  <c r="Y160" i="6" s="1"/>
  <c r="J159" i="41" s="1"/>
  <c r="AA160" i="6" l="1"/>
  <c r="Z161" i="6" l="1"/>
  <c r="Y161" i="6" s="1"/>
  <c r="J160" i="41" s="1"/>
  <c r="AA161" i="6" l="1"/>
  <c r="Z162" i="6" l="1"/>
  <c r="Y162" i="6" s="1"/>
  <c r="J161" i="41" s="1"/>
  <c r="AA162" i="6" l="1"/>
  <c r="Z163" i="6" l="1"/>
  <c r="Y163" i="6" s="1"/>
  <c r="J162" i="41" s="1"/>
  <c r="AA163" i="6" l="1"/>
  <c r="Z164" i="6" l="1"/>
  <c r="Y164" i="6" s="1"/>
  <c r="J163" i="41" s="1"/>
  <c r="AA164" i="6" l="1"/>
  <c r="Z165" i="6" l="1"/>
  <c r="Y165" i="6" s="1"/>
  <c r="J164" i="41" s="1"/>
  <c r="AA165" i="6" l="1"/>
  <c r="Z166" i="6" l="1"/>
  <c r="Y166" i="6" s="1"/>
  <c r="J165" i="41" s="1"/>
  <c r="AA166" i="6" l="1"/>
  <c r="Z167" i="6" l="1"/>
  <c r="Y167" i="6" s="1"/>
  <c r="J166" i="41" s="1"/>
  <c r="AA167" i="6" l="1"/>
  <c r="Z168" i="6" l="1"/>
  <c r="Y168" i="6" s="1"/>
  <c r="J167" i="41" s="1"/>
  <c r="AA168" i="6" l="1"/>
  <c r="Z169" i="6" l="1"/>
  <c r="Y169" i="6" s="1"/>
  <c r="J168" i="41" s="1"/>
  <c r="AA169" i="6" l="1"/>
  <c r="Z170" i="6" l="1"/>
  <c r="Y170" i="6" s="1"/>
  <c r="J169" i="41" s="1"/>
  <c r="AA170" i="6" l="1"/>
  <c r="Z171" i="6" s="1"/>
  <c r="Y171" i="6" s="1"/>
  <c r="J170" i="41" s="1"/>
  <c r="AA171" i="6" l="1"/>
  <c r="Z172" i="6" s="1"/>
  <c r="Y172" i="6" s="1"/>
  <c r="J171" i="41" s="1"/>
  <c r="AA172" i="6" l="1"/>
  <c r="Z173" i="6" l="1"/>
  <c r="Y173" i="6" s="1"/>
  <c r="J172" i="41" s="1"/>
  <c r="AA173" i="6" l="1"/>
  <c r="Z174" i="6" l="1"/>
  <c r="Y174" i="6" s="1"/>
  <c r="J173" i="41" s="1"/>
  <c r="AA174" i="6" l="1"/>
  <c r="Z175" i="6" l="1"/>
  <c r="Y175" i="6" s="1"/>
  <c r="J174" i="41" s="1"/>
  <c r="AA175" i="6" l="1"/>
  <c r="Z176" i="6" l="1"/>
  <c r="Y176" i="6" s="1"/>
  <c r="J175" i="41" s="1"/>
  <c r="AA176" i="6" l="1"/>
  <c r="Z177" i="6" l="1"/>
  <c r="Y177" i="6" s="1"/>
  <c r="J176" i="41" s="1"/>
  <c r="AA177" i="6" l="1"/>
  <c r="Z178" i="6" l="1"/>
  <c r="Y178" i="6" s="1"/>
  <c r="J177" i="41" s="1"/>
  <c r="AA178" i="6" l="1"/>
  <c r="Z179" i="6" l="1"/>
  <c r="Y179" i="6" s="1"/>
  <c r="J178" i="41" s="1"/>
  <c r="AA179" i="6" l="1"/>
  <c r="Z180" i="6" l="1"/>
  <c r="Y180" i="6" s="1"/>
  <c r="J179" i="41" s="1"/>
  <c r="AA180" i="6" l="1"/>
  <c r="Z181" i="6" l="1"/>
  <c r="Y181" i="6" s="1"/>
  <c r="J180" i="41" s="1"/>
  <c r="AA181" i="6" l="1"/>
  <c r="Z182" i="6" s="1"/>
  <c r="Y182" i="6" s="1"/>
  <c r="J181" i="41" s="1"/>
  <c r="AA182" i="6" l="1"/>
  <c r="Z183" i="6" l="1"/>
  <c r="Y183" i="6" s="1"/>
  <c r="J182" i="41" s="1"/>
  <c r="AA183" i="6" l="1"/>
  <c r="Z184" i="6" l="1"/>
  <c r="Y184" i="6" s="1"/>
  <c r="J183" i="41" s="1"/>
  <c r="AA184" i="6" l="1"/>
  <c r="Z185" i="6" s="1"/>
  <c r="Y185" i="6" s="1"/>
  <c r="J184" i="41" s="1"/>
  <c r="AA185" i="6" l="1"/>
  <c r="Z186" i="6" l="1"/>
  <c r="Y186" i="6" s="1"/>
  <c r="J185" i="41" s="1"/>
  <c r="AA186" i="6" l="1"/>
  <c r="Z187" i="6" l="1"/>
  <c r="Y187" i="6" s="1"/>
  <c r="J186" i="41" s="1"/>
  <c r="AA187" i="6" l="1"/>
  <c r="Z188" i="6" l="1"/>
  <c r="Y188" i="6" s="1"/>
  <c r="J187" i="41" s="1"/>
  <c r="AA188" i="6" l="1"/>
  <c r="Z189" i="6" l="1"/>
  <c r="Y189" i="6" s="1"/>
  <c r="J188" i="41" s="1"/>
  <c r="AA189" i="6" l="1"/>
  <c r="Z190" i="6" l="1"/>
  <c r="Y190" i="6" s="1"/>
  <c r="J189" i="41" s="1"/>
  <c r="AA190" i="6" l="1"/>
  <c r="Z191" i="6" l="1"/>
  <c r="Y191" i="6" s="1"/>
  <c r="AA191" i="6" s="1"/>
  <c r="AB5" i="6" s="1"/>
</calcChain>
</file>

<file path=xl/connections.xml><?xml version="1.0" encoding="utf-8"?>
<connections xmlns="http://schemas.openxmlformats.org/spreadsheetml/2006/main">
  <connection id="1" name="Conexão21" type="4" refreshedVersion="6" background="1" saveData="1">
    <webPr sourceData="1" parsePre="1" consecutive="1" xl2000="1" url="http://www.ipeadata.gov.br/ExibeSerie.aspx?serid=37796&amp;module=M" htmlTables="1">
      <tables count="1">
        <s v="grd_DXMainTable"/>
      </tables>
    </webPr>
  </connection>
  <connection id="2" name="Conexão3" type="4" refreshedVersion="0" background="1">
    <webPr url="http://www.ipeadata.gov.br/ExibeSerie.aspx?serid=37796&amp;module=M" htmlTables="1" htmlFormat="all"/>
  </connection>
  <connection id="3" name="Conexão4" type="4" refreshedVersion="0" background="1">
    <webPr url="http://www.ipeadata.gov.br/ExibeSerie.aspx?serid=37796&amp;module=M" htmlTables="1" htmlFormat="all"/>
  </connection>
  <connection id="4" name="Conexão5" type="4" refreshedVersion="0" background="1">
    <webPr url="http://www.ipeadata.gov.br/ExibeSerie.aspx?serid=37796&amp;module=M" htmlTables="1" htmlFormat="all"/>
  </connection>
  <connection id="5" name="Conexão6" type="4" refreshedVersion="0" background="1">
    <webPr url="http://www.ipeadata.gov.br/ExibeSerie.aspx?serid=37796&amp;module=M" htmlTables="1" htmlFormat="all"/>
  </connection>
  <connection id="6" name="Conexão7" type="4" refreshedVersion="0" background="1">
    <webPr url="http://www.ipeadata.gov.br/ExibeSerie.aspx?serid=37796&amp;module=M" htmlTables="1" htmlFormat="all"/>
  </connection>
  <connection id="7" name="Conexão9" type="4" refreshedVersion="0" background="1">
    <webPr url="http://www.ipeadata.gov.br/ExibeSerie.aspx?serid=37796&amp;module=M" htmlTables="1" htmlFormat="all"/>
  </connection>
</connections>
</file>

<file path=xl/sharedStrings.xml><?xml version="1.0" encoding="utf-8"?>
<sst xmlns="http://schemas.openxmlformats.org/spreadsheetml/2006/main" count="926" uniqueCount="581">
  <si>
    <t>Holidays</t>
  </si>
  <si>
    <t>Data</t>
  </si>
  <si>
    <t>Prazo</t>
  </si>
  <si>
    <t>mês carteira</t>
  </si>
  <si>
    <t>Fluxo</t>
  </si>
  <si>
    <t>Duration</t>
  </si>
  <si>
    <t>Taxa Emissão</t>
  </si>
  <si>
    <t>Valor Emissão</t>
  </si>
  <si>
    <t>SÊNIOR</t>
  </si>
  <si>
    <t>LIQUIDAÇÃO</t>
  </si>
  <si>
    <t>Assessor Legal</t>
  </si>
  <si>
    <t>Custódia</t>
  </si>
  <si>
    <t>Distribuição</t>
  </si>
  <si>
    <t>Escriturador</t>
  </si>
  <si>
    <t>Fiduciário</t>
  </si>
  <si>
    <t>Rating</t>
  </si>
  <si>
    <t>Base Cálculo</t>
  </si>
  <si>
    <t>Defasagem Fluxo</t>
  </si>
  <si>
    <t>Data de Emissão</t>
  </si>
  <si>
    <t>1º Aniversário</t>
  </si>
  <si>
    <t>Vencimento</t>
  </si>
  <si>
    <t>Taxa Carteira</t>
  </si>
  <si>
    <t>Séries</t>
  </si>
  <si>
    <t>aniversário 1</t>
  </si>
  <si>
    <t>aniversário 2</t>
  </si>
  <si>
    <t>base_mês</t>
  </si>
  <si>
    <t>dias</t>
  </si>
  <si>
    <t>PMT</t>
  </si>
  <si>
    <t>AMT</t>
  </si>
  <si>
    <t>Periodicidade</t>
  </si>
  <si>
    <t>-</t>
  </si>
  <si>
    <t>pagamento</t>
  </si>
  <si>
    <t>JUROS</t>
  </si>
  <si>
    <t>SALDO</t>
  </si>
  <si>
    <t>%AMT</t>
  </si>
  <si>
    <t>TOTAL</t>
  </si>
  <si>
    <t>CUSTOS &amp; DESPESAS</t>
  </si>
  <si>
    <t>DESCRIÇÃO</t>
  </si>
  <si>
    <t>Emissão</t>
  </si>
  <si>
    <t>CVM</t>
  </si>
  <si>
    <t>CETIP</t>
  </si>
  <si>
    <t>VP@COMPRA</t>
  </si>
  <si>
    <t>VP@EMISSÂO</t>
  </si>
  <si>
    <t>Sênior - Emissão</t>
  </si>
  <si>
    <t>Data Emissão</t>
  </si>
  <si>
    <t>Carência</t>
  </si>
  <si>
    <t>Tipo de Operação</t>
  </si>
  <si>
    <t>1º Pagamento</t>
  </si>
  <si>
    <t>Estruturação</t>
  </si>
  <si>
    <t>%</t>
  </si>
  <si>
    <t>Custodiante</t>
  </si>
  <si>
    <t>Coordenador Líder</t>
  </si>
  <si>
    <t>Lastro</t>
  </si>
  <si>
    <t>OVERCOLLATERAL</t>
  </si>
  <si>
    <t>FUNDOS DE GARANTIA</t>
  </si>
  <si>
    <t>Reserva</t>
  </si>
  <si>
    <t>Avaliação de Imóveis</t>
  </si>
  <si>
    <t>CAPTAÇÃO</t>
  </si>
  <si>
    <t>SUB_PREFERENCIAL</t>
  </si>
  <si>
    <t>SUBORDINADA</t>
  </si>
  <si>
    <t>DATAS_OPERAÇÃO</t>
  </si>
  <si>
    <t>Prazo Meses</t>
  </si>
  <si>
    <t>Prazo Dias</t>
  </si>
  <si>
    <t>ICVM</t>
  </si>
  <si>
    <t>TIPO</t>
  </si>
  <si>
    <t>Planilha de Estruturação &amp; Análise</t>
  </si>
  <si>
    <t>TÍTULO</t>
  </si>
  <si>
    <t>CRI</t>
  </si>
  <si>
    <t>% Garantido</t>
  </si>
  <si>
    <t>Despesa</t>
  </si>
  <si>
    <t>PMT Média</t>
  </si>
  <si>
    <t>Volume (TIR)</t>
  </si>
  <si>
    <t>Volume (TX. Lastro)</t>
  </si>
  <si>
    <t>Prazo Médio</t>
  </si>
  <si>
    <t>SUMÁRIO OPERAÇÃO</t>
  </si>
  <si>
    <t>PERIODICIDADE</t>
  </si>
  <si>
    <t>IGP-M - geral - índice (ago. 1994 = 100)</t>
  </si>
  <si>
    <t>1989.06</t>
  </si>
  <si>
    <t>1989.07</t>
  </si>
  <si>
    <t>1989.08</t>
  </si>
  <si>
    <t>1989.09</t>
  </si>
  <si>
    <t>1989.10</t>
  </si>
  <si>
    <t>1989.11</t>
  </si>
  <si>
    <t>1989.12</t>
  </si>
  <si>
    <t>1990.01</t>
  </si>
  <si>
    <t>1990.02</t>
  </si>
  <si>
    <t>1990.03</t>
  </si>
  <si>
    <t>1990.04</t>
  </si>
  <si>
    <t>1990.05</t>
  </si>
  <si>
    <t>1990.06</t>
  </si>
  <si>
    <t>1990.07</t>
  </si>
  <si>
    <t>1990.08</t>
  </si>
  <si>
    <t>1990.09</t>
  </si>
  <si>
    <t>1990.10</t>
  </si>
  <si>
    <t>1990.11</t>
  </si>
  <si>
    <t>1990.12</t>
  </si>
  <si>
    <t>1991.01</t>
  </si>
  <si>
    <t>1991.02</t>
  </si>
  <si>
    <t>1991.03</t>
  </si>
  <si>
    <t>1991.04</t>
  </si>
  <si>
    <t>1991.05</t>
  </si>
  <si>
    <t>1991.06</t>
  </si>
  <si>
    <t>1991.07</t>
  </si>
  <si>
    <t>1991.08</t>
  </si>
  <si>
    <t>1991.09</t>
  </si>
  <si>
    <t>1991.10</t>
  </si>
  <si>
    <t>1991.11</t>
  </si>
  <si>
    <t>1991.12</t>
  </si>
  <si>
    <t>1992.01</t>
  </si>
  <si>
    <t>1992.02</t>
  </si>
  <si>
    <t>1992.03</t>
  </si>
  <si>
    <t>1992.04</t>
  </si>
  <si>
    <t>1992.05</t>
  </si>
  <si>
    <t>1992.06</t>
  </si>
  <si>
    <t>1992.07</t>
  </si>
  <si>
    <t>1992.08</t>
  </si>
  <si>
    <t>1992.09</t>
  </si>
  <si>
    <t>1992.10</t>
  </si>
  <si>
    <t>1992.11</t>
  </si>
  <si>
    <t>1992.12</t>
  </si>
  <si>
    <t>1993.01</t>
  </si>
  <si>
    <t>1993.02</t>
  </si>
  <si>
    <t>1993.03</t>
  </si>
  <si>
    <t>1993.04</t>
  </si>
  <si>
    <t>1993.05</t>
  </si>
  <si>
    <t>1993.06</t>
  </si>
  <si>
    <t>1993.07</t>
  </si>
  <si>
    <t>1993.08</t>
  </si>
  <si>
    <t>1993.09</t>
  </si>
  <si>
    <t>1993.10</t>
  </si>
  <si>
    <t>1993.11</t>
  </si>
  <si>
    <t>1993.12</t>
  </si>
  <si>
    <t>1994.01</t>
  </si>
  <si>
    <t>1994.02</t>
  </si>
  <si>
    <t>1994.03</t>
  </si>
  <si>
    <t>1994.04</t>
  </si>
  <si>
    <t>1994.05</t>
  </si>
  <si>
    <t>1994.06</t>
  </si>
  <si>
    <t>1994.07</t>
  </si>
  <si>
    <t>1994.08</t>
  </si>
  <si>
    <t>1994.09</t>
  </si>
  <si>
    <t>1994.10</t>
  </si>
  <si>
    <t>1994.11</t>
  </si>
  <si>
    <t>1994.12</t>
  </si>
  <si>
    <t>1995.01</t>
  </si>
  <si>
    <t>1995.02</t>
  </si>
  <si>
    <t>1995.03</t>
  </si>
  <si>
    <t>1995.04</t>
  </si>
  <si>
    <t>1995.05</t>
  </si>
  <si>
    <t>1995.06</t>
  </si>
  <si>
    <t>1995.07</t>
  </si>
  <si>
    <t>1995.08</t>
  </si>
  <si>
    <t>1995.09</t>
  </si>
  <si>
    <t>1995.10</t>
  </si>
  <si>
    <t>1995.11</t>
  </si>
  <si>
    <t>1995.12</t>
  </si>
  <si>
    <t>1996.01</t>
  </si>
  <si>
    <t>1996.02</t>
  </si>
  <si>
    <t>1996.03</t>
  </si>
  <si>
    <t>1996.04</t>
  </si>
  <si>
    <t>1996.05</t>
  </si>
  <si>
    <t>1996.06</t>
  </si>
  <si>
    <t>1996.07</t>
  </si>
  <si>
    <t>1996.08</t>
  </si>
  <si>
    <t>1996.09</t>
  </si>
  <si>
    <t>1996.10</t>
  </si>
  <si>
    <t>1996.11</t>
  </si>
  <si>
    <t>1996.12</t>
  </si>
  <si>
    <t>1997.01</t>
  </si>
  <si>
    <t>1997.02</t>
  </si>
  <si>
    <t>1997.03</t>
  </si>
  <si>
    <t>1997.04</t>
  </si>
  <si>
    <t>1997.05</t>
  </si>
  <si>
    <t>1997.06</t>
  </si>
  <si>
    <t>1997.07</t>
  </si>
  <si>
    <t>1997.08</t>
  </si>
  <si>
    <t>1997.09</t>
  </si>
  <si>
    <t>1997.10</t>
  </si>
  <si>
    <t>1997.11</t>
  </si>
  <si>
    <t>1997.12</t>
  </si>
  <si>
    <t>1998.01</t>
  </si>
  <si>
    <t>1998.02</t>
  </si>
  <si>
    <t>1998.03</t>
  </si>
  <si>
    <t>1998.04</t>
  </si>
  <si>
    <t>1998.05</t>
  </si>
  <si>
    <t>1998.06</t>
  </si>
  <si>
    <t>1998.07</t>
  </si>
  <si>
    <t>1998.08</t>
  </si>
  <si>
    <t>1998.09</t>
  </si>
  <si>
    <t>1998.10</t>
  </si>
  <si>
    <t>1998.11</t>
  </si>
  <si>
    <t>1998.12</t>
  </si>
  <si>
    <t>1999.01</t>
  </si>
  <si>
    <t>1999.02</t>
  </si>
  <si>
    <t>1999.03</t>
  </si>
  <si>
    <t>1999.04</t>
  </si>
  <si>
    <t>1999.05</t>
  </si>
  <si>
    <t>1999.06</t>
  </si>
  <si>
    <t>1999.07</t>
  </si>
  <si>
    <t>1999.08</t>
  </si>
  <si>
    <t>1999.09</t>
  </si>
  <si>
    <t>1999.10</t>
  </si>
  <si>
    <t>1999.11</t>
  </si>
  <si>
    <t>1999.12</t>
  </si>
  <si>
    <t>2000.01</t>
  </si>
  <si>
    <t>2000.02</t>
  </si>
  <si>
    <t>2000.03</t>
  </si>
  <si>
    <t>2000.04</t>
  </si>
  <si>
    <t>2000.05</t>
  </si>
  <si>
    <t>2000.06</t>
  </si>
  <si>
    <t>2000.07</t>
  </si>
  <si>
    <t>2000.08</t>
  </si>
  <si>
    <t>2000.09</t>
  </si>
  <si>
    <t>2000.10</t>
  </si>
  <si>
    <t>2000.11</t>
  </si>
  <si>
    <t>2000.12</t>
  </si>
  <si>
    <t>2001.01</t>
  </si>
  <si>
    <t>2001.02</t>
  </si>
  <si>
    <t>2001.03</t>
  </si>
  <si>
    <t>2001.04</t>
  </si>
  <si>
    <t>2001.05</t>
  </si>
  <si>
    <t>2001.06</t>
  </si>
  <si>
    <t>2001.07</t>
  </si>
  <si>
    <t>2001.08</t>
  </si>
  <si>
    <t>2001.09</t>
  </si>
  <si>
    <t>2001.10</t>
  </si>
  <si>
    <t>2001.11</t>
  </si>
  <si>
    <t>2001.12</t>
  </si>
  <si>
    <t>2002.01</t>
  </si>
  <si>
    <t>2002.02</t>
  </si>
  <si>
    <t>2002.03</t>
  </si>
  <si>
    <t>2002.04</t>
  </si>
  <si>
    <t>2002.05</t>
  </si>
  <si>
    <t>2002.06</t>
  </si>
  <si>
    <t>2002.07</t>
  </si>
  <si>
    <t>2002.08</t>
  </si>
  <si>
    <t>2002.09</t>
  </si>
  <si>
    <t>2002.10</t>
  </si>
  <si>
    <t>2002.11</t>
  </si>
  <si>
    <t>2002.12</t>
  </si>
  <si>
    <t>2003.01</t>
  </si>
  <si>
    <t>2003.02</t>
  </si>
  <si>
    <t>2003.03</t>
  </si>
  <si>
    <t>2003.04</t>
  </si>
  <si>
    <t>2003.05</t>
  </si>
  <si>
    <t>2003.06</t>
  </si>
  <si>
    <t>2003.07</t>
  </si>
  <si>
    <t>2003.08</t>
  </si>
  <si>
    <t>2003.09</t>
  </si>
  <si>
    <t>2003.10</t>
  </si>
  <si>
    <t>2003.11</t>
  </si>
  <si>
    <t>2003.12</t>
  </si>
  <si>
    <t>2004.01</t>
  </si>
  <si>
    <t>2004.02</t>
  </si>
  <si>
    <t>2004.03</t>
  </si>
  <si>
    <t>2004.04</t>
  </si>
  <si>
    <t>2004.05</t>
  </si>
  <si>
    <t>2004.06</t>
  </si>
  <si>
    <t>2004.07</t>
  </si>
  <si>
    <t>2004.08</t>
  </si>
  <si>
    <t>2004.09</t>
  </si>
  <si>
    <t>2004.10</t>
  </si>
  <si>
    <t>2004.11</t>
  </si>
  <si>
    <t>2004.12</t>
  </si>
  <si>
    <t>2005.01</t>
  </si>
  <si>
    <t>2005.02</t>
  </si>
  <si>
    <t>2005.03</t>
  </si>
  <si>
    <t>2005.04</t>
  </si>
  <si>
    <t>2005.05</t>
  </si>
  <si>
    <t>2005.06</t>
  </si>
  <si>
    <t>2005.07</t>
  </si>
  <si>
    <t>2005.08</t>
  </si>
  <si>
    <t>2005.09</t>
  </si>
  <si>
    <t>2005.10</t>
  </si>
  <si>
    <t>2005.11</t>
  </si>
  <si>
    <t>2005.12</t>
  </si>
  <si>
    <t>2006.01</t>
  </si>
  <si>
    <t>2006.02</t>
  </si>
  <si>
    <t>2006.03</t>
  </si>
  <si>
    <t>2006.04</t>
  </si>
  <si>
    <t>2006.05</t>
  </si>
  <si>
    <t>2006.06</t>
  </si>
  <si>
    <t>2006.07</t>
  </si>
  <si>
    <t>2006.08</t>
  </si>
  <si>
    <t>2006.09</t>
  </si>
  <si>
    <t>2006.10</t>
  </si>
  <si>
    <t>2006.11</t>
  </si>
  <si>
    <t>2006.12</t>
  </si>
  <si>
    <t>2007.01</t>
  </si>
  <si>
    <t>2007.02</t>
  </si>
  <si>
    <t>2007.03</t>
  </si>
  <si>
    <t>2007.04</t>
  </si>
  <si>
    <t>2007.05</t>
  </si>
  <si>
    <t>2007.06</t>
  </si>
  <si>
    <t>2007.07</t>
  </si>
  <si>
    <t>2007.08</t>
  </si>
  <si>
    <t>2007.09</t>
  </si>
  <si>
    <t>2007.10</t>
  </si>
  <si>
    <t>2007.11</t>
  </si>
  <si>
    <t>2007.12</t>
  </si>
  <si>
    <t>2008.01</t>
  </si>
  <si>
    <t>2008.02</t>
  </si>
  <si>
    <t>2008.03</t>
  </si>
  <si>
    <t>2008.04</t>
  </si>
  <si>
    <t>2008.05</t>
  </si>
  <si>
    <t>2008.06</t>
  </si>
  <si>
    <t>2008.07</t>
  </si>
  <si>
    <t>2008.08</t>
  </si>
  <si>
    <t>2008.09</t>
  </si>
  <si>
    <t>2008.10</t>
  </si>
  <si>
    <t>2008.11</t>
  </si>
  <si>
    <t>2008.12</t>
  </si>
  <si>
    <t>2009.01</t>
  </si>
  <si>
    <t>2009.02</t>
  </si>
  <si>
    <t>2009.03</t>
  </si>
  <si>
    <t>2009.04</t>
  </si>
  <si>
    <t>2009.05</t>
  </si>
  <si>
    <t>2009.06</t>
  </si>
  <si>
    <t>2009.07</t>
  </si>
  <si>
    <t>2009.08</t>
  </si>
  <si>
    <t>2009.09</t>
  </si>
  <si>
    <t>2009.10</t>
  </si>
  <si>
    <t>2009.11</t>
  </si>
  <si>
    <t>2009.12</t>
  </si>
  <si>
    <t>2010.01</t>
  </si>
  <si>
    <t>2010.02</t>
  </si>
  <si>
    <t>2010.03</t>
  </si>
  <si>
    <t>2010.04</t>
  </si>
  <si>
    <t>2010.05</t>
  </si>
  <si>
    <t>2010.06</t>
  </si>
  <si>
    <t>2010.07</t>
  </si>
  <si>
    <t>2010.08</t>
  </si>
  <si>
    <t>2010.09</t>
  </si>
  <si>
    <t>2010.10</t>
  </si>
  <si>
    <t>2010.11</t>
  </si>
  <si>
    <t>2010.12</t>
  </si>
  <si>
    <t>2011.01</t>
  </si>
  <si>
    <t>2011.02</t>
  </si>
  <si>
    <t>2011.03</t>
  </si>
  <si>
    <t>2011.04</t>
  </si>
  <si>
    <t>2011.05</t>
  </si>
  <si>
    <t>2011.06</t>
  </si>
  <si>
    <t>2011.07</t>
  </si>
  <si>
    <t>2011.08</t>
  </si>
  <si>
    <t>2011.09</t>
  </si>
  <si>
    <t>2011.10</t>
  </si>
  <si>
    <t>2011.11</t>
  </si>
  <si>
    <t>2011.12</t>
  </si>
  <si>
    <t>2012.01</t>
  </si>
  <si>
    <t>2012.02</t>
  </si>
  <si>
    <t>2012.03</t>
  </si>
  <si>
    <t>2012.04</t>
  </si>
  <si>
    <t>2012.05</t>
  </si>
  <si>
    <t>2012.06</t>
  </si>
  <si>
    <t>2012.07</t>
  </si>
  <si>
    <t>2012.08</t>
  </si>
  <si>
    <t>2012.09</t>
  </si>
  <si>
    <t>2012.10</t>
  </si>
  <si>
    <t>2012.11</t>
  </si>
  <si>
    <t>2012.12</t>
  </si>
  <si>
    <t>2013.01</t>
  </si>
  <si>
    <t>2013.02</t>
  </si>
  <si>
    <t>2013.03</t>
  </si>
  <si>
    <t>2013.04</t>
  </si>
  <si>
    <t>2013.05</t>
  </si>
  <si>
    <t>2013.06</t>
  </si>
  <si>
    <t>2013.07</t>
  </si>
  <si>
    <t>2013.08</t>
  </si>
  <si>
    <t>2013.09</t>
  </si>
  <si>
    <t>2013.10</t>
  </si>
  <si>
    <t>2013.11</t>
  </si>
  <si>
    <t>2013.12</t>
  </si>
  <si>
    <t>2014.01</t>
  </si>
  <si>
    <t>2014.02</t>
  </si>
  <si>
    <t>2014.03</t>
  </si>
  <si>
    <t>2014.04</t>
  </si>
  <si>
    <t>2014.05</t>
  </si>
  <si>
    <t>2014.06</t>
  </si>
  <si>
    <t>2014.07</t>
  </si>
  <si>
    <t>2014.08</t>
  </si>
  <si>
    <t>2014.09</t>
  </si>
  <si>
    <t>2014.10</t>
  </si>
  <si>
    <t>2014.11</t>
  </si>
  <si>
    <t>2014.12</t>
  </si>
  <si>
    <t>2015.01</t>
  </si>
  <si>
    <t>2015.02</t>
  </si>
  <si>
    <t>2015.03</t>
  </si>
  <si>
    <t>2015.04</t>
  </si>
  <si>
    <t>2015.05</t>
  </si>
  <si>
    <t>2015.06</t>
  </si>
  <si>
    <t>2015.07</t>
  </si>
  <si>
    <t>2015.08</t>
  </si>
  <si>
    <t>2015.09</t>
  </si>
  <si>
    <t>2015.10</t>
  </si>
  <si>
    <t>2015.11</t>
  </si>
  <si>
    <t>2015.12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</si>
  <si>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</si>
  <si>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</si>
  <si>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</si>
  <si>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</si>
  <si>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</si>
  <si>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</si>
  <si>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</si>
  <si>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</si>
  <si>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</si>
  <si>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</si>
  <si>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</si>
  <si>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</si>
  <si>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2017.01</t>
  </si>
  <si>
    <t>2017.02</t>
  </si>
  <si>
    <t>PMT-CUSTO</t>
  </si>
  <si>
    <t>Defasagem Pgto</t>
  </si>
  <si>
    <t>% Saldo Sênior</t>
  </si>
  <si>
    <t>% PMT</t>
  </si>
  <si>
    <t>Sênior - Compra 1</t>
  </si>
  <si>
    <t>DELTA</t>
  </si>
  <si>
    <t>&lt;0</t>
  </si>
  <si>
    <t>&gt;0</t>
  </si>
  <si>
    <t>VP@CART1</t>
  </si>
  <si>
    <t>VP@CART2</t>
  </si>
  <si>
    <t>Sub_P  - Emissão</t>
  </si>
  <si>
    <t>% Saldo</t>
  </si>
  <si>
    <t>Sub - Emissão</t>
  </si>
  <si>
    <t>Over - Emissão</t>
  </si>
  <si>
    <t>Lastro 2</t>
  </si>
  <si>
    <t>Sênior</t>
  </si>
  <si>
    <t>SubP</t>
  </si>
  <si>
    <t>Sub</t>
  </si>
  <si>
    <t>Over</t>
  </si>
  <si>
    <t>Custo</t>
  </si>
  <si>
    <t>LASTRO</t>
  </si>
  <si>
    <t>OBS</t>
  </si>
  <si>
    <t>Mínimo</t>
  </si>
  <si>
    <t>Máximo</t>
  </si>
  <si>
    <t>ANBIMA</t>
  </si>
  <si>
    <t>Agente Registrador</t>
  </si>
  <si>
    <t>Registro CVM</t>
  </si>
  <si>
    <t>Taxa Transação</t>
  </si>
  <si>
    <t>Utilização Mensal</t>
  </si>
  <si>
    <t>Taxa de gestão</t>
  </si>
  <si>
    <t>Rating Emissão</t>
  </si>
  <si>
    <t>Banco Liquidante</t>
  </si>
  <si>
    <t>Marketing da Distribuição</t>
  </si>
  <si>
    <t>Registro CDCA</t>
  </si>
  <si>
    <t>Registro CCI</t>
  </si>
  <si>
    <t>Pré-Registro  CDCA</t>
  </si>
  <si>
    <t>Descrição</t>
  </si>
  <si>
    <t>Categoria</t>
  </si>
  <si>
    <t>Assessoria Legal</t>
  </si>
  <si>
    <t>Securitizadora</t>
  </si>
  <si>
    <t>Escrituração</t>
  </si>
  <si>
    <t>Control Union</t>
  </si>
  <si>
    <t>Publicidade</t>
  </si>
  <si>
    <t>Avaliadores</t>
  </si>
  <si>
    <t>Alíquota</t>
  </si>
  <si>
    <t>Valor Unitário</t>
  </si>
  <si>
    <t>Rating Renovação</t>
  </si>
  <si>
    <t>Tarifa Conta</t>
  </si>
  <si>
    <t>Abertura Conta Vinculada</t>
  </si>
  <si>
    <t>Manuntenção Conta Vinculada</t>
  </si>
  <si>
    <t>Cobrado por QTDE</t>
  </si>
  <si>
    <t>Pré Registro CPR/NCR/CRP</t>
  </si>
  <si>
    <t>Pré-Registro Debênture</t>
  </si>
  <si>
    <t>Módulo de Distribuição de Títulos (MDA)</t>
  </si>
  <si>
    <t>Alíquota + Adicional</t>
  </si>
  <si>
    <t>Distribuições</t>
  </si>
  <si>
    <t>Adicional</t>
  </si>
  <si>
    <t>De R$0,00 a R$50 milhões</t>
  </si>
  <si>
    <t>De R$50 mm a R$250 milhões</t>
  </si>
  <si>
    <t>De R$250 mm a R$500 milhões</t>
  </si>
  <si>
    <t>De R$500 milhões a R$1 bilhão</t>
  </si>
  <si>
    <t>Estimativa</t>
  </si>
  <si>
    <t>Abertura dos Livros Escriturais</t>
  </si>
  <si>
    <t>Due Diligence</t>
  </si>
  <si>
    <t>INCLUIR</t>
  </si>
  <si>
    <t>FLAT</t>
  </si>
  <si>
    <t>NÃO</t>
  </si>
  <si>
    <t>ANUAL</t>
  </si>
  <si>
    <t>MENSAL</t>
  </si>
  <si>
    <t>Carta de Titularidade</t>
  </si>
  <si>
    <t>Cobrado por CCI</t>
  </si>
  <si>
    <t>RECORRENTE A VISTA</t>
  </si>
  <si>
    <t>TAXA CARTEIRA</t>
  </si>
  <si>
    <t>Over - Lastro</t>
  </si>
  <si>
    <t>VP@LASTRO</t>
  </si>
  <si>
    <t>TIR</t>
  </si>
  <si>
    <t>Sub_Preferêncial</t>
  </si>
  <si>
    <t>Subordinada</t>
  </si>
  <si>
    <t>CRA</t>
  </si>
  <si>
    <t>Monitoramento</t>
  </si>
  <si>
    <t>Pré-Registro  CR</t>
  </si>
  <si>
    <t>Registro CR</t>
  </si>
  <si>
    <t>RECORRENTES</t>
  </si>
  <si>
    <t>Captação (+)</t>
  </si>
  <si>
    <t>Retenções (-)</t>
  </si>
  <si>
    <t>Líquidação</t>
  </si>
  <si>
    <t>All-In</t>
  </si>
  <si>
    <t>Obra 1</t>
  </si>
  <si>
    <t>Obra 2</t>
  </si>
  <si>
    <t>Obra 3</t>
  </si>
  <si>
    <t>Vencimentos no Mês</t>
  </si>
  <si>
    <t>Valores Mês</t>
  </si>
  <si>
    <t>Elegível</t>
  </si>
  <si>
    <t>Inelegível</t>
  </si>
  <si>
    <t>&lt;90</t>
  </si>
  <si>
    <t>&gt;90</t>
  </si>
  <si>
    <t>Data de Aniversário</t>
  </si>
  <si>
    <t>Data de Pagamento</t>
  </si>
  <si>
    <t>Tai Mensal</t>
  </si>
  <si>
    <t>Pagamento de Juros</t>
  </si>
  <si>
    <t>Mês</t>
  </si>
  <si>
    <t>Valor Presente Emissão</t>
  </si>
  <si>
    <t>Preço Unitário Emissão</t>
  </si>
  <si>
    <t>Taxa de Emissão</t>
  </si>
  <si>
    <t>Qtde. CRI</t>
  </si>
  <si>
    <t>Saldo</t>
  </si>
  <si>
    <t>Custo A Vista ( - )</t>
  </si>
  <si>
    <t>Custo Recorrente ( - )</t>
  </si>
  <si>
    <t>PMT [diferença]</t>
  </si>
  <si>
    <t>SEM CUSTO</t>
  </si>
  <si>
    <t>SubP 2</t>
  </si>
  <si>
    <t>Sub 2</t>
  </si>
  <si>
    <t>Over 2</t>
  </si>
  <si>
    <t>TRIMESTRAL</t>
  </si>
  <si>
    <t>Corporativo</t>
  </si>
  <si>
    <t>Servicer</t>
  </si>
  <si>
    <t>MENSAL/CLIENTE</t>
  </si>
  <si>
    <t>Originador CCB</t>
  </si>
  <si>
    <t>Cia Hipotecária</t>
  </si>
  <si>
    <t>Descrição da Oferta</t>
  </si>
  <si>
    <t>Instrumento de Captação:</t>
  </si>
  <si>
    <t>Emissor do CRI:</t>
  </si>
  <si>
    <t>ISEC SECURITIZADORA S.A.</t>
  </si>
  <si>
    <t>Cedente:</t>
  </si>
  <si>
    <t>Custodiante/Fiduciário:</t>
  </si>
  <si>
    <t>VORTX</t>
  </si>
  <si>
    <t>Coordenador Líder:</t>
  </si>
  <si>
    <t>A definir</t>
  </si>
  <si>
    <t>Instrução ICVM</t>
  </si>
  <si>
    <t>Assessor Legal:</t>
  </si>
  <si>
    <t>Rating:</t>
  </si>
  <si>
    <t>Distribuição:</t>
  </si>
  <si>
    <t>Valor Estimado da Emissão:</t>
  </si>
  <si>
    <t>Bookbuilding:</t>
  </si>
  <si>
    <t>Não</t>
  </si>
  <si>
    <t>Remuneração CRI Sênior:</t>
  </si>
  <si>
    <t>Prazo:</t>
  </si>
  <si>
    <t>Lastro do CRI:</t>
  </si>
  <si>
    <t>Fluxo de Pagamento:</t>
  </si>
  <si>
    <t>Finalidade dos Recursos:</t>
  </si>
  <si>
    <t>Garantias:</t>
  </si>
  <si>
    <t>Covenants:</t>
  </si>
  <si>
    <t>Break Funding Fee:</t>
  </si>
  <si>
    <t>Controle e Gestão do Lastro:</t>
  </si>
  <si>
    <t>Despesas e Custos não estimadas:</t>
  </si>
  <si>
    <t>Despesas e Custos estimados:</t>
  </si>
  <si>
    <t>Liberação dos recursos</t>
  </si>
  <si>
    <t>Data prevista para Emissão do CRI:</t>
  </si>
  <si>
    <t>Prazo para Cessão Fiduciária Completa</t>
  </si>
  <si>
    <t>SIM</t>
  </si>
  <si>
    <t>ISEC</t>
  </si>
  <si>
    <t>Bradesco</t>
  </si>
  <si>
    <t>Vórtx</t>
  </si>
  <si>
    <t>CETIP | B3</t>
  </si>
  <si>
    <t>Custos Estimados Operação</t>
  </si>
  <si>
    <t>Volume Estimado Emissão</t>
  </si>
  <si>
    <t>Volume Estimado Clientes</t>
  </si>
  <si>
    <t>Prestador</t>
  </si>
  <si>
    <t>Valor a Vista</t>
  </si>
  <si>
    <t>Valor Recorrente</t>
  </si>
  <si>
    <t>TOTAL***</t>
  </si>
  <si>
    <t>* R$ 80,00 por auditoria jurídica completa + R$ 10.000,00 por cedente (até 3 sócios) + R$ 10.000,00 por empreendimento (até 3 matrículas)</t>
  </si>
  <si>
    <t>** R$ 7,00 por contrato espelhado</t>
  </si>
  <si>
    <t>***Não considerando os custos cartorários</t>
  </si>
  <si>
    <t>Valor de Emissão</t>
  </si>
  <si>
    <t>Taxa de emissão</t>
  </si>
  <si>
    <t>Custo A Vista</t>
  </si>
  <si>
    <t>Custo Recorrente</t>
  </si>
  <si>
    <t>Liquidação</t>
  </si>
  <si>
    <t>All-in*</t>
  </si>
  <si>
    <t>A +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</si>
</sst>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0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&quot;R$&quot;\ #,##0.00;[Red]\-&quot;R$&quot;\ #,##0.00"/>
    <numFmt numFmtId="165" formatCode="_-* #,##0_-;\-* #,##0_-;_-* &quot;-&quot;??_-;_-@_-"/>
    <numFmt numFmtId="166" formatCode="000"/>
    <numFmt numFmtId="167" formatCode="mm/yy"/>
    <numFmt numFmtId="168" formatCode="0.0000%"/>
    <numFmt numFmtId="169" formatCode="0.000%"/>
    <numFmt numFmtId="170" formatCode="General_)"/>
    <numFmt numFmtId="171" formatCode="#,##0.0_);\(#,##0.0\);#,##0.0_);@_)"/>
    <numFmt numFmtId="172" formatCode="0.0%_);\(0.0%\);0.0%_);@_)"/>
    <numFmt numFmtId="173" formatCode="#,##0_ ;\-#,##0\ "/>
    <numFmt numFmtId="174" formatCode="&quot;(&quot;dd\ \-\ [$-416]mmm\ \-\ yyyy&quot;)&quot;"/>
    <numFmt numFmtId="175" formatCode="0.0000000%"/>
    <numFmt numFmtId="176" formatCode="&quot;R$&quot;\ #,##0.00"/>
    <numFmt numFmtId="177" formatCode="_-* #,##0.0000000_-;\-* #,##0.0000000_-;_-* &quot;-&quot;???????_-;_-@_-"/>
    <numFmt numFmtId="178" formatCode="0\ &quot;Mês(es)&quot;"/>
    <numFmt numFmtId="179" formatCode="0\ &quot;Dia Útil&quot;"/>
    <numFmt numFmtId="180" formatCode="&quot;Valor Pago &gt;&quot;0"/>
    <numFmt numFmtId="181" formatCode="&quot;Valor em Atraso &gt;&quot;0"/>
    <numFmt numFmtId="182" formatCode="&quot;Valor em Atraso &lt; &quot;0"/>
    <numFmt numFmtId="183" formatCode="&quot;Valor Pago &lt; &quot;0"/>
    <numFmt numFmtId="184" formatCode="0.0000"/>
    <numFmt numFmtId="185" formatCode="_-* #,##0.00000000_-;\-* #,##0.00000000_-;_-* &quot;-&quot;??_-;_-@_-"/>
    <numFmt numFmtId="186" formatCode="&quot;R$&quot;\ #,##0.00;\-&quot;R$&quot;#,##0.00"/>
    <numFmt numFmtId="187" formatCode="General\ &quot;anos&quot;"/>
    <numFmt numFmtId="188" formatCode="General\ &quot;meses&quot;"/>
    <numFmt numFmtId="189" formatCode="_-&quot;R$&quot;* #,##0_-;\-&quot;R$&quot;* #,##0_-;_-&quot;R$&quot;* &quot;-&quot;??_-;_-@_-"/>
    <numFmt numFmtId="190" formatCode="0.00000000%"/>
    <numFmt numFmtId="191" formatCode="_-&quot;R$&quot;\ * #,##0_-;\-&quot;R$&quot;\ * #,##0_-;_-&quot;R$&quot;\ * &quot;-&quot;??_-;_-@_-"/>
  </numFmts>
  <fonts count="48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i/>
      <sz val="11"/>
      <color theme="1"/>
      <name val="Century Gothic"/>
      <family val="2"/>
      <scheme val="minor"/>
    </font>
    <font>
      <sz val="10"/>
      <color indexed="8"/>
      <name val="MS Sans Serif"/>
      <family val="2"/>
    </font>
    <font>
      <b/>
      <sz val="10"/>
      <name val="Century Gothic"/>
      <family val="2"/>
      <scheme val="minor"/>
    </font>
    <font>
      <sz val="10"/>
      <name val="Arial"/>
      <family val="2"/>
    </font>
    <font>
      <b/>
      <sz val="10"/>
      <color theme="1"/>
      <name val="Century Gothic"/>
      <family val="2"/>
      <scheme val="minor"/>
    </font>
    <font>
      <sz val="10"/>
      <color theme="1"/>
      <name val="Century Gothic"/>
      <family val="2"/>
      <scheme val="minor"/>
    </font>
    <font>
      <u/>
      <sz val="11"/>
      <color theme="10"/>
      <name val="Century Gothic"/>
      <family val="2"/>
      <scheme val="minor"/>
    </font>
    <font>
      <sz val="10"/>
      <name val="Times New Roman"/>
      <family val="1"/>
    </font>
    <font>
      <sz val="8"/>
      <name val="Times New Roman"/>
      <family val="1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20"/>
      <color rgb="FF275F32"/>
      <name val="Arial"/>
      <family val="2"/>
    </font>
    <font>
      <b/>
      <sz val="15"/>
      <color rgb="FF275F32"/>
      <name val="Arial"/>
      <family val="2"/>
    </font>
    <font>
      <sz val="11"/>
      <color theme="0"/>
      <name val="Arial"/>
      <family val="2"/>
    </font>
    <font>
      <sz val="20"/>
      <color theme="0"/>
      <name val="Arial"/>
      <family val="2"/>
    </font>
    <font>
      <sz val="11"/>
      <name val="Century Gothic"/>
      <family val="2"/>
      <scheme val="minor"/>
    </font>
    <font>
      <sz val="11"/>
      <color theme="0"/>
      <name val="Century Gothic"/>
      <family val="2"/>
      <scheme val="minor"/>
    </font>
    <font>
      <i/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sz val="10"/>
      <color theme="0"/>
      <name val="Century Gothic"/>
      <family val="2"/>
      <scheme val="minor"/>
    </font>
    <font>
      <sz val="10"/>
      <color theme="0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1"/>
      <color rgb="FFFF0000"/>
      <name val="Century Gothic"/>
      <family val="2"/>
      <scheme val="minor"/>
    </font>
    <font>
      <sz val="12"/>
      <color theme="0"/>
      <name val="Century Gothic"/>
      <family val="2"/>
      <scheme val="minor"/>
    </font>
    <font>
      <sz val="12"/>
      <color theme="1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ajor"/>
    </font>
    <font>
      <b/>
      <sz val="10"/>
      <color theme="1"/>
      <name val="Century Gothic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2"/>
      <color rgb="FFFF0000"/>
      <name val="Arial"/>
      <family val="2"/>
    </font>
    <font>
      <b/>
      <sz val="11"/>
      <color theme="0"/>
      <name val="Tahoma"/>
      <family val="2"/>
    </font>
    <font>
      <sz val="11"/>
      <color theme="1"/>
      <name val="Tahoma"/>
      <family val="2"/>
    </font>
    <font>
      <sz val="11"/>
      <color rgb="FFFF0000"/>
      <name val="Tahoma"/>
      <family val="2"/>
    </font>
    <font>
      <b/>
      <i/>
      <sz val="11"/>
      <color theme="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255F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F3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D594F"/>
        <bgColor indexed="64"/>
      </patternFill>
    </fill>
    <fill>
      <patternFill patternType="solid">
        <fgColor rgb="FF105634"/>
        <bgColor indexed="64"/>
      </patternFill>
    </fill>
  </fills>
  <borders count="3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mediumDashed">
        <color theme="2" tint="-0.749992370372631"/>
      </left>
      <right/>
      <top style="mediumDashed">
        <color theme="2" tint="-0.749992370372631"/>
      </top>
      <bottom/>
      <diagonal/>
    </border>
    <border>
      <left/>
      <right/>
      <top style="mediumDashed">
        <color theme="2" tint="-0.749992370372631"/>
      </top>
      <bottom/>
      <diagonal/>
    </border>
    <border>
      <left/>
      <right style="mediumDashed">
        <color theme="2" tint="-0.749992370372631"/>
      </right>
      <top style="mediumDashed">
        <color theme="2" tint="-0.749992370372631"/>
      </top>
      <bottom/>
      <diagonal/>
    </border>
    <border>
      <left style="mediumDashed">
        <color theme="2" tint="-0.749992370372631"/>
      </left>
      <right/>
      <top/>
      <bottom/>
      <diagonal/>
    </border>
    <border>
      <left/>
      <right style="mediumDashed">
        <color theme="2" tint="-0.749992370372631"/>
      </right>
      <top/>
      <bottom/>
      <diagonal/>
    </border>
    <border>
      <left style="mediumDashed">
        <color theme="2" tint="-0.749992370372631"/>
      </left>
      <right/>
      <top/>
      <bottom style="mediumDashed">
        <color theme="2" tint="-0.749992370372631"/>
      </bottom>
      <diagonal/>
    </border>
    <border>
      <left/>
      <right/>
      <top/>
      <bottom style="mediumDashed">
        <color theme="2" tint="-0.749992370372631"/>
      </bottom>
      <diagonal/>
    </border>
    <border>
      <left/>
      <right style="mediumDashed">
        <color theme="2" tint="-0.749992370372631"/>
      </right>
      <top/>
      <bottom style="mediumDashed">
        <color theme="2" tint="-0.749992370372631"/>
      </bottom>
      <diagonal/>
    </border>
    <border>
      <left/>
      <right/>
      <top style="mediumDashed">
        <color theme="3" tint="-0.499984740745262"/>
      </top>
      <bottom/>
      <diagonal/>
    </border>
    <border>
      <left/>
      <right/>
      <top/>
      <bottom style="medium">
        <color theme="3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0" fontId="5" fillId="0" borderId="0"/>
    <xf numFmtId="0" fontId="8" fillId="0" borderId="0" applyNumberFormat="0" applyFill="0" applyBorder="0" applyAlignment="0" applyProtection="0"/>
    <xf numFmtId="170" fontId="9" fillId="0" borderId="0" applyFont="0" applyFill="0" applyBorder="0" applyAlignment="0" applyProtection="0"/>
    <xf numFmtId="171" fontId="10" fillId="0" borderId="0" applyFont="0" applyFill="0" applyBorder="0" applyProtection="0">
      <alignment horizontal="right"/>
    </xf>
    <xf numFmtId="172" fontId="10" fillId="0" borderId="0" applyFont="0" applyFill="0" applyBorder="0" applyProtection="0">
      <alignment horizontal="right"/>
    </xf>
    <xf numFmtId="0" fontId="1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35">
    <xf numFmtId="0" fontId="0" fillId="0" borderId="0" xfId="0"/>
    <xf numFmtId="0" fontId="4" fillId="0" borderId="0" xfId="3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Font="1" applyFill="1" applyBorder="1"/>
    <xf numFmtId="0" fontId="13" fillId="0" borderId="0" xfId="0" applyFont="1" applyFill="1"/>
    <xf numFmtId="0" fontId="2" fillId="0" borderId="0" xfId="0" applyFont="1" applyAlignment="1">
      <alignment horizontal="center"/>
    </xf>
    <xf numFmtId="0" fontId="13" fillId="0" borderId="16" xfId="0" applyFont="1" applyBorder="1"/>
    <xf numFmtId="0" fontId="18" fillId="0" borderId="17" xfId="0" applyFont="1" applyBorder="1" applyAlignment="1">
      <alignment horizontal="center" vertical="center"/>
    </xf>
    <xf numFmtId="0" fontId="13" fillId="0" borderId="18" xfId="0" applyFont="1" applyBorder="1"/>
    <xf numFmtId="0" fontId="18" fillId="0" borderId="19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3" fillId="0" borderId="0" xfId="0" applyFont="1" applyBorder="1"/>
    <xf numFmtId="0" fontId="13" fillId="0" borderId="20" xfId="0" applyFont="1" applyBorder="1"/>
    <xf numFmtId="0" fontId="18" fillId="0" borderId="2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3" fillId="0" borderId="23" xfId="0" applyFont="1" applyBorder="1"/>
    <xf numFmtId="0" fontId="13" fillId="0" borderId="1" xfId="0" applyFont="1" applyBorder="1"/>
    <xf numFmtId="0" fontId="13" fillId="0" borderId="24" xfId="0" applyFont="1" applyBorder="1"/>
    <xf numFmtId="43" fontId="13" fillId="0" borderId="0" xfId="1" applyFont="1"/>
    <xf numFmtId="43" fontId="13" fillId="0" borderId="0" xfId="1" applyFont="1" applyAlignment="1">
      <alignment horizontal="center"/>
    </xf>
    <xf numFmtId="165" fontId="13" fillId="0" borderId="0" xfId="0" applyNumberFormat="1" applyFont="1" applyFill="1"/>
    <xf numFmtId="10" fontId="13" fillId="0" borderId="0" xfId="2" applyNumberFormat="1" applyFont="1" applyFill="1"/>
    <xf numFmtId="164" fontId="13" fillId="0" borderId="0" xfId="1" applyNumberFormat="1" applyFont="1" applyFill="1"/>
    <xf numFmtId="0" fontId="14" fillId="0" borderId="3" xfId="0" applyFont="1" applyFill="1" applyBorder="1" applyAlignment="1">
      <alignment horizontal="center" vertical="center"/>
    </xf>
    <xf numFmtId="0" fontId="15" fillId="0" borderId="15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167" fontId="15" fillId="4" borderId="1" xfId="0" applyNumberFormat="1" applyFont="1" applyFill="1" applyBorder="1" applyAlignment="1">
      <alignment horizontal="center"/>
    </xf>
    <xf numFmtId="14" fontId="13" fillId="4" borderId="1" xfId="0" applyNumberFormat="1" applyFont="1" applyFill="1" applyBorder="1" applyAlignment="1">
      <alignment horizontal="center"/>
    </xf>
    <xf numFmtId="1" fontId="13" fillId="4" borderId="1" xfId="0" applyNumberFormat="1" applyFont="1" applyFill="1" applyBorder="1" applyAlignment="1">
      <alignment horizontal="center"/>
    </xf>
    <xf numFmtId="165" fontId="13" fillId="4" borderId="1" xfId="1" applyNumberFormat="1" applyFont="1" applyFill="1" applyBorder="1" applyAlignment="1">
      <alignment horizontal="center"/>
    </xf>
    <xf numFmtId="168" fontId="13" fillId="4" borderId="1" xfId="2" applyNumberFormat="1" applyFont="1" applyFill="1" applyBorder="1" applyAlignment="1">
      <alignment horizontal="center"/>
    </xf>
    <xf numFmtId="168" fontId="13" fillId="0" borderId="6" xfId="2" applyNumberFormat="1" applyFont="1" applyFill="1" applyBorder="1" applyAlignment="1">
      <alignment horizontal="center"/>
    </xf>
    <xf numFmtId="165" fontId="13" fillId="4" borderId="6" xfId="1" applyNumberFormat="1" applyFont="1" applyFill="1" applyBorder="1" applyAlignment="1">
      <alignment horizontal="center"/>
    </xf>
    <xf numFmtId="14" fontId="22" fillId="0" borderId="0" xfId="5" applyNumberFormat="1" applyFont="1" applyFill="1" applyBorder="1" applyAlignment="1">
      <alignment horizontal="center"/>
    </xf>
    <xf numFmtId="14" fontId="1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/>
    </xf>
    <xf numFmtId="10" fontId="13" fillId="0" borderId="0" xfId="2" applyNumberFormat="1" applyFont="1" applyAlignment="1">
      <alignment horizontal="center"/>
    </xf>
    <xf numFmtId="1" fontId="0" fillId="3" borderId="1" xfId="2" applyNumberFormat="1" applyFont="1" applyFill="1" applyBorder="1" applyAlignment="1">
      <alignment horizontal="center"/>
    </xf>
    <xf numFmtId="10" fontId="0" fillId="3" borderId="1" xfId="2" applyNumberFormat="1" applyFont="1" applyFill="1" applyBorder="1" applyAlignment="1">
      <alignment horizontal="center"/>
    </xf>
    <xf numFmtId="10" fontId="0" fillId="3" borderId="1" xfId="2" applyNumberFormat="1" applyFont="1" applyFill="1" applyBorder="1"/>
    <xf numFmtId="9" fontId="0" fillId="0" borderId="0" xfId="2" applyFont="1" applyAlignment="1">
      <alignment horizontal="center"/>
    </xf>
    <xf numFmtId="0" fontId="24" fillId="0" borderId="0" xfId="0" applyFont="1" applyAlignment="1">
      <alignment horizontal="center"/>
    </xf>
    <xf numFmtId="43" fontId="0" fillId="0" borderId="0" xfId="1" applyFont="1" applyAlignment="1">
      <alignment horizontal="center"/>
    </xf>
    <xf numFmtId="175" fontId="0" fillId="0" borderId="0" xfId="2" applyNumberFormat="1" applyFont="1" applyAlignment="1">
      <alignment horizontal="center"/>
    </xf>
    <xf numFmtId="43" fontId="0" fillId="0" borderId="0" xfId="1" applyFont="1"/>
    <xf numFmtId="175" fontId="0" fillId="0" borderId="0" xfId="0" applyNumberFormat="1" applyAlignment="1">
      <alignment horizontal="center"/>
    </xf>
    <xf numFmtId="175" fontId="0" fillId="0" borderId="0" xfId="1" applyNumberFormat="1" applyFont="1" applyAlignment="1">
      <alignment horizontal="center"/>
    </xf>
    <xf numFmtId="0" fontId="25" fillId="0" borderId="0" xfId="0" applyFont="1" applyAlignment="1">
      <alignment horizontal="center"/>
    </xf>
    <xf numFmtId="175" fontId="25" fillId="0" borderId="0" xfId="0" applyNumberFormat="1" applyFont="1" applyAlignment="1">
      <alignment horizontal="center"/>
    </xf>
    <xf numFmtId="0" fontId="26" fillId="7" borderId="25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6" fillId="4" borderId="0" xfId="6" applyFont="1" applyFill="1" applyAlignment="1">
      <alignment horizontal="left" vertical="center"/>
    </xf>
    <xf numFmtId="176" fontId="7" fillId="4" borderId="0" xfId="0" applyNumberFormat="1" applyFont="1" applyFill="1" applyAlignment="1">
      <alignment horizontal="center" vertical="center"/>
    </xf>
    <xf numFmtId="175" fontId="7" fillId="4" borderId="0" xfId="6" applyNumberFormat="1" applyFont="1" applyFill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165" fontId="20" fillId="2" borderId="1" xfId="1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165" fontId="13" fillId="9" borderId="1" xfId="1" applyNumberFormat="1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165" fontId="13" fillId="9" borderId="1" xfId="0" applyNumberFormat="1" applyFont="1" applyFill="1" applyBorder="1"/>
    <xf numFmtId="43" fontId="13" fillId="0" borderId="1" xfId="1" applyFont="1" applyBorder="1"/>
    <xf numFmtId="0" fontId="13" fillId="0" borderId="5" xfId="0" applyFont="1" applyBorder="1"/>
    <xf numFmtId="165" fontId="14" fillId="2" borderId="1" xfId="1" applyNumberFormat="1" applyFont="1" applyFill="1" applyBorder="1" applyAlignment="1">
      <alignment horizontal="center"/>
    </xf>
    <xf numFmtId="166" fontId="27" fillId="2" borderId="1" xfId="0" applyNumberFormat="1" applyFont="1" applyFill="1" applyBorder="1" applyAlignment="1">
      <alignment horizontal="center"/>
    </xf>
    <xf numFmtId="177" fontId="0" fillId="0" borderId="0" xfId="0" applyNumberFormat="1"/>
    <xf numFmtId="0" fontId="13" fillId="8" borderId="0" xfId="0" applyFont="1" applyFill="1"/>
    <xf numFmtId="9" fontId="0" fillId="0" borderId="0" xfId="2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43" fontId="0" fillId="0" borderId="0" xfId="1" applyFont="1" applyFill="1" applyAlignment="1">
      <alignment horizontal="center"/>
    </xf>
    <xf numFmtId="175" fontId="0" fillId="0" borderId="0" xfId="1" applyNumberFormat="1" applyFont="1" applyFill="1" applyAlignment="1">
      <alignment horizontal="center"/>
    </xf>
    <xf numFmtId="43" fontId="0" fillId="0" borderId="0" xfId="1" applyFont="1" applyFill="1"/>
    <xf numFmtId="0" fontId="21" fillId="2" borderId="10" xfId="0" applyFont="1" applyFill="1" applyBorder="1" applyAlignment="1">
      <alignment vertical="center"/>
    </xf>
    <xf numFmtId="0" fontId="21" fillId="2" borderId="11" xfId="0" applyFont="1" applyFill="1" applyBorder="1" applyAlignment="1">
      <alignment vertical="center"/>
    </xf>
    <xf numFmtId="0" fontId="21" fillId="2" borderId="13" xfId="0" applyFont="1" applyFill="1" applyBorder="1" applyAlignment="1">
      <alignment vertical="center"/>
    </xf>
    <xf numFmtId="0" fontId="23" fillId="2" borderId="2" xfId="0" applyFont="1" applyFill="1" applyBorder="1" applyAlignment="1">
      <alignment horizontal="center"/>
    </xf>
    <xf numFmtId="0" fontId="20" fillId="2" borderId="2" xfId="0" applyFont="1" applyFill="1" applyBorder="1" applyAlignment="1" applyProtection="1">
      <alignment horizontal="center" vertical="center"/>
      <protection locked="0"/>
    </xf>
    <xf numFmtId="0" fontId="20" fillId="2" borderId="6" xfId="0" applyFont="1" applyFill="1" applyBorder="1" applyAlignment="1" applyProtection="1">
      <alignment horizontal="center" vertical="center"/>
      <protection locked="0"/>
    </xf>
    <xf numFmtId="0" fontId="13" fillId="3" borderId="1" xfId="0" applyFont="1" applyFill="1" applyBorder="1" applyAlignment="1">
      <alignment horizontal="center"/>
    </xf>
    <xf numFmtId="169" fontId="13" fillId="3" borderId="1" xfId="2" applyNumberFormat="1" applyFont="1" applyFill="1" applyBorder="1" applyAlignment="1">
      <alignment horizontal="center"/>
    </xf>
    <xf numFmtId="14" fontId="13" fillId="3" borderId="1" xfId="0" applyNumberFormat="1" applyFont="1" applyFill="1" applyBorder="1" applyAlignment="1">
      <alignment horizontal="center"/>
    </xf>
    <xf numFmtId="0" fontId="0" fillId="0" borderId="1" xfId="0" applyBorder="1"/>
    <xf numFmtId="14" fontId="0" fillId="0" borderId="0" xfId="0" applyNumberFormat="1" applyAlignment="1">
      <alignment horizontal="center"/>
    </xf>
    <xf numFmtId="43" fontId="13" fillId="4" borderId="6" xfId="1" applyFont="1" applyFill="1" applyBorder="1" applyAlignment="1">
      <alignment horizontal="center"/>
    </xf>
    <xf numFmtId="43" fontId="13" fillId="4" borderId="1" xfId="1" applyFont="1" applyFill="1" applyBorder="1" applyAlignment="1">
      <alignment horizontal="center"/>
    </xf>
    <xf numFmtId="0" fontId="13" fillId="0" borderId="1" xfId="0" applyFont="1" applyFill="1" applyBorder="1"/>
    <xf numFmtId="173" fontId="13" fillId="0" borderId="1" xfId="1" applyNumberFormat="1" applyFont="1" applyFill="1" applyBorder="1" applyAlignment="1">
      <alignment horizontal="center"/>
    </xf>
    <xf numFmtId="178" fontId="13" fillId="3" borderId="1" xfId="1" applyNumberFormat="1" applyFont="1" applyFill="1" applyBorder="1" applyAlignment="1">
      <alignment horizontal="center"/>
    </xf>
    <xf numFmtId="179" fontId="13" fillId="3" borderId="1" xfId="0" applyNumberFormat="1" applyFont="1" applyFill="1" applyBorder="1" applyAlignment="1">
      <alignment horizontal="center"/>
    </xf>
    <xf numFmtId="0" fontId="17" fillId="0" borderId="0" xfId="0" applyFont="1"/>
    <xf numFmtId="0" fontId="17" fillId="0" borderId="1" xfId="0" applyFont="1" applyBorder="1"/>
    <xf numFmtId="0" fontId="17" fillId="0" borderId="0" xfId="0" applyFont="1" applyBorder="1"/>
    <xf numFmtId="0" fontId="17" fillId="0" borderId="1" xfId="0" applyFont="1" applyBorder="1" applyAlignment="1">
      <alignment horizontal="center"/>
    </xf>
    <xf numFmtId="0" fontId="20" fillId="2" borderId="1" xfId="0" applyFont="1" applyFill="1" applyBorder="1" applyAlignment="1">
      <alignment horizontal="center"/>
    </xf>
    <xf numFmtId="0" fontId="17" fillId="0" borderId="1" xfId="0" applyFont="1" applyFill="1" applyBorder="1"/>
    <xf numFmtId="43" fontId="13" fillId="4" borderId="4" xfId="1" applyFon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Alignment="1"/>
    <xf numFmtId="9" fontId="0" fillId="8" borderId="0" xfId="0" applyNumberFormat="1" applyFill="1" applyAlignment="1"/>
    <xf numFmtId="9" fontId="30" fillId="0" borderId="0" xfId="2" applyFont="1" applyAlignment="1">
      <alignment horizontal="center"/>
    </xf>
    <xf numFmtId="9" fontId="0" fillId="0" borderId="0" xfId="0" applyNumberFormat="1" applyFont="1" applyAlignment="1"/>
    <xf numFmtId="0" fontId="25" fillId="10" borderId="1" xfId="0" applyFont="1" applyFill="1" applyBorder="1" applyAlignment="1">
      <alignment horizontal="center"/>
    </xf>
    <xf numFmtId="180" fontId="25" fillId="10" borderId="1" xfId="0" applyNumberFormat="1" applyFont="1" applyFill="1" applyBorder="1" applyAlignment="1">
      <alignment horizontal="center"/>
    </xf>
    <xf numFmtId="183" fontId="25" fillId="10" borderId="1" xfId="0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82" fontId="25" fillId="10" borderId="1" xfId="0" applyNumberFormat="1" applyFont="1" applyFill="1" applyBorder="1" applyAlignment="1">
      <alignment horizontal="center"/>
    </xf>
    <xf numFmtId="181" fontId="25" fillId="10" borderId="1" xfId="0" applyNumberFormat="1" applyFont="1" applyFill="1" applyBorder="1" applyAlignment="1">
      <alignment horizontal="center"/>
    </xf>
    <xf numFmtId="166" fontId="28" fillId="0" borderId="1" xfId="0" applyNumberFormat="1" applyFont="1" applyFill="1" applyBorder="1" applyAlignment="1">
      <alignment horizontal="center"/>
    </xf>
    <xf numFmtId="14" fontId="28" fillId="0" borderId="1" xfId="0" applyNumberFormat="1" applyFont="1" applyFill="1" applyBorder="1" applyAlignment="1">
      <alignment horizontal="center"/>
    </xf>
    <xf numFmtId="1" fontId="28" fillId="0" borderId="1" xfId="0" applyNumberFormat="1" applyFont="1" applyFill="1" applyBorder="1" applyAlignment="1">
      <alignment horizontal="center"/>
    </xf>
    <xf numFmtId="184" fontId="28" fillId="0" borderId="1" xfId="2" applyNumberFormat="1" applyFont="1" applyFill="1" applyBorder="1" applyAlignment="1">
      <alignment horizontal="center"/>
    </xf>
    <xf numFmtId="0" fontId="0" fillId="0" borderId="0" xfId="0" applyFill="1"/>
    <xf numFmtId="43" fontId="0" fillId="3" borderId="1" xfId="1" applyFont="1" applyFill="1" applyBorder="1" applyAlignment="1">
      <alignment horizontal="center"/>
    </xf>
    <xf numFmtId="43" fontId="13" fillId="0" borderId="0" xfId="0" applyNumberFormat="1" applyFont="1"/>
    <xf numFmtId="0" fontId="20" fillId="2" borderId="1" xfId="0" applyFont="1" applyFill="1" applyBorder="1" applyAlignment="1">
      <alignment horizontal="center"/>
    </xf>
    <xf numFmtId="43" fontId="13" fillId="3" borderId="1" xfId="1" applyFont="1" applyFill="1" applyBorder="1" applyAlignment="1">
      <alignment horizontal="center"/>
    </xf>
    <xf numFmtId="43" fontId="17" fillId="0" borderId="1" xfId="1" applyFont="1" applyBorder="1"/>
    <xf numFmtId="10" fontId="17" fillId="0" borderId="1" xfId="2" applyNumberFormat="1" applyFont="1" applyBorder="1"/>
    <xf numFmtId="0" fontId="32" fillId="0" borderId="0" xfId="0" applyFont="1" applyAlignment="1">
      <alignment horizontal="left"/>
    </xf>
    <xf numFmtId="0" fontId="32" fillId="0" borderId="0" xfId="0" applyFont="1" applyAlignment="1"/>
    <xf numFmtId="0" fontId="0" fillId="0" borderId="0" xfId="0" applyAlignment="1"/>
    <xf numFmtId="0" fontId="32" fillId="0" borderId="28" xfId="0" applyFont="1" applyFill="1" applyBorder="1" applyAlignment="1">
      <alignment vertical="center"/>
    </xf>
    <xf numFmtId="0" fontId="33" fillId="0" borderId="28" xfId="0" applyFont="1" applyFill="1" applyBorder="1" applyAlignment="1">
      <alignment horizontal="justify" vertical="center"/>
    </xf>
    <xf numFmtId="0" fontId="33" fillId="0" borderId="28" xfId="0" applyFont="1" applyFill="1" applyBorder="1" applyAlignment="1">
      <alignment vertical="center"/>
    </xf>
    <xf numFmtId="0" fontId="34" fillId="0" borderId="28" xfId="0" applyFont="1" applyFill="1" applyBorder="1" applyAlignment="1">
      <alignment horizontal="left" vertical="center"/>
    </xf>
    <xf numFmtId="0" fontId="32" fillId="0" borderId="28" xfId="0" applyFont="1" applyFill="1" applyBorder="1" applyAlignment="1">
      <alignment horizontal="left" vertical="center"/>
    </xf>
    <xf numFmtId="0" fontId="32" fillId="12" borderId="0" xfId="0" applyFont="1" applyFill="1" applyBorder="1" applyAlignment="1">
      <alignment horizontal="left" vertical="center"/>
    </xf>
    <xf numFmtId="0" fontId="33" fillId="12" borderId="0" xfId="0" applyFont="1" applyFill="1" applyBorder="1" applyAlignment="1">
      <alignment vertical="center"/>
    </xf>
    <xf numFmtId="0" fontId="32" fillId="13" borderId="29" xfId="0" applyFont="1" applyFill="1" applyBorder="1" applyAlignment="1">
      <alignment horizontal="left" vertical="center"/>
    </xf>
    <xf numFmtId="14" fontId="32" fillId="13" borderId="29" xfId="0" applyNumberFormat="1" applyFont="1" applyFill="1" applyBorder="1" applyAlignment="1">
      <alignment horizontal="justify" vertical="center"/>
    </xf>
    <xf numFmtId="0" fontId="32" fillId="13" borderId="28" xfId="0" applyFont="1" applyFill="1" applyBorder="1" applyAlignment="1">
      <alignment horizontal="left" vertical="center"/>
    </xf>
    <xf numFmtId="0" fontId="33" fillId="13" borderId="28" xfId="0" applyFont="1" applyFill="1" applyBorder="1" applyAlignment="1">
      <alignment horizontal="justify" vertical="center"/>
    </xf>
    <xf numFmtId="186" fontId="33" fillId="13" borderId="28" xfId="11" applyNumberFormat="1" applyFont="1" applyFill="1" applyBorder="1" applyAlignment="1">
      <alignment horizontal="justify" vertical="center"/>
    </xf>
    <xf numFmtId="10" fontId="33" fillId="13" borderId="28" xfId="0" applyNumberFormat="1" applyFont="1" applyFill="1" applyBorder="1" applyAlignment="1">
      <alignment vertical="center"/>
    </xf>
    <xf numFmtId="0" fontId="33" fillId="13" borderId="28" xfId="0" applyFont="1" applyFill="1" applyBorder="1" applyAlignment="1">
      <alignment vertical="center"/>
    </xf>
    <xf numFmtId="0" fontId="32" fillId="13" borderId="0" xfId="0" applyFont="1" applyFill="1" applyBorder="1" applyAlignment="1">
      <alignment horizontal="left" vertical="center"/>
    </xf>
    <xf numFmtId="0" fontId="34" fillId="13" borderId="28" xfId="0" applyFont="1" applyFill="1" applyBorder="1" applyAlignment="1">
      <alignment horizontal="left" vertical="center"/>
    </xf>
    <xf numFmtId="0" fontId="32" fillId="13" borderId="28" xfId="0" applyFont="1" applyFill="1" applyBorder="1" applyAlignment="1">
      <alignment vertical="center"/>
    </xf>
    <xf numFmtId="0" fontId="32" fillId="13" borderId="0" xfId="0" applyFont="1" applyFill="1" applyBorder="1" applyAlignment="1">
      <alignment horizontal="justify" vertical="center"/>
    </xf>
    <xf numFmtId="0" fontId="33" fillId="13" borderId="0" xfId="0" applyFont="1" applyFill="1" applyBorder="1" applyAlignment="1">
      <alignment horizontal="justify" vertical="center"/>
    </xf>
    <xf numFmtId="0" fontId="33" fillId="0" borderId="29" xfId="0" applyFont="1" applyFill="1" applyBorder="1" applyAlignment="1">
      <alignment horizontal="justify" vertical="center"/>
    </xf>
    <xf numFmtId="0" fontId="33" fillId="0" borderId="32" xfId="0" applyFont="1" applyFill="1" applyBorder="1" applyAlignment="1">
      <alignment horizontal="justify" vertical="center"/>
    </xf>
    <xf numFmtId="188" fontId="33" fillId="0" borderId="28" xfId="0" applyNumberFormat="1" applyFont="1" applyFill="1" applyBorder="1" applyAlignment="1">
      <alignment horizontal="justify" vertical="center"/>
    </xf>
    <xf numFmtId="0" fontId="38" fillId="0" borderId="0" xfId="0" applyFont="1"/>
    <xf numFmtId="0" fontId="38" fillId="0" borderId="0" xfId="0" applyFont="1" applyFill="1" applyBorder="1"/>
    <xf numFmtId="0" fontId="39" fillId="14" borderId="2" xfId="0" applyFont="1" applyFill="1" applyBorder="1" applyAlignment="1">
      <alignment horizontal="center"/>
    </xf>
    <xf numFmtId="189" fontId="37" fillId="0" borderId="0" xfId="11" applyNumberFormat="1" applyFont="1" applyFill="1" applyBorder="1" applyAlignment="1">
      <alignment horizontal="center" vertical="center"/>
    </xf>
    <xf numFmtId="189" fontId="40" fillId="0" borderId="0" xfId="11" applyNumberFormat="1" applyFont="1" applyFill="1" applyBorder="1" applyAlignment="1">
      <alignment horizontal="center" vertical="center"/>
    </xf>
    <xf numFmtId="173" fontId="37" fillId="0" borderId="0" xfId="11" applyNumberFormat="1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center"/>
    </xf>
    <xf numFmtId="0" fontId="42" fillId="0" borderId="0" xfId="0" applyFont="1" applyFill="1" applyBorder="1" applyAlignment="1">
      <alignment horizontal="center"/>
    </xf>
    <xf numFmtId="44" fontId="41" fillId="0" borderId="0" xfId="11" applyFont="1" applyFill="1" applyBorder="1" applyAlignment="1">
      <alignment horizontal="center"/>
    </xf>
    <xf numFmtId="44" fontId="39" fillId="14" borderId="2" xfId="11" applyFont="1" applyFill="1" applyBorder="1" applyAlignment="1">
      <alignment horizontal="center"/>
    </xf>
    <xf numFmtId="0" fontId="41" fillId="0" borderId="0" xfId="0" applyFont="1" applyFill="1" applyBorder="1" applyAlignment="1"/>
    <xf numFmtId="0" fontId="41" fillId="0" borderId="0" xfId="0" applyFont="1" applyFill="1" applyBorder="1" applyAlignment="1">
      <alignment horizontal="left"/>
    </xf>
    <xf numFmtId="0" fontId="38" fillId="0" borderId="0" xfId="0" applyFont="1" applyFill="1" applyBorder="1" applyAlignment="1">
      <alignment horizontal="center"/>
    </xf>
    <xf numFmtId="190" fontId="36" fillId="0" borderId="0" xfId="2" applyNumberFormat="1" applyFont="1" applyFill="1" applyBorder="1" applyAlignment="1">
      <alignment horizontal="center"/>
    </xf>
    <xf numFmtId="189" fontId="43" fillId="0" borderId="0" xfId="11" applyNumberFormat="1" applyFont="1" applyFill="1" applyBorder="1" applyAlignment="1">
      <alignment horizontal="center" vertical="center"/>
    </xf>
    <xf numFmtId="0" fontId="44" fillId="15" borderId="0" xfId="0" applyFont="1" applyFill="1" applyBorder="1" applyAlignment="1">
      <alignment vertical="center"/>
    </xf>
    <xf numFmtId="0" fontId="45" fillId="4" borderId="11" xfId="0" applyFont="1" applyFill="1" applyBorder="1" applyAlignment="1">
      <alignment horizontal="center" vertical="center"/>
    </xf>
    <xf numFmtId="191" fontId="45" fillId="4" borderId="3" xfId="11" applyNumberFormat="1" applyFont="1" applyFill="1" applyBorder="1" applyAlignment="1">
      <alignment horizontal="center" vertical="center"/>
    </xf>
    <xf numFmtId="188" fontId="45" fillId="4" borderId="3" xfId="0" applyNumberFormat="1" applyFont="1" applyFill="1" applyBorder="1" applyAlignment="1">
      <alignment horizontal="center" vertical="center"/>
    </xf>
    <xf numFmtId="187" fontId="45" fillId="4" borderId="3" xfId="0" applyNumberFormat="1" applyFont="1" applyFill="1" applyBorder="1" applyAlignment="1">
      <alignment horizontal="center" vertical="center"/>
    </xf>
    <xf numFmtId="10" fontId="45" fillId="4" borderId="3" xfId="0" applyNumberFormat="1" applyFont="1" applyFill="1" applyBorder="1" applyAlignment="1">
      <alignment horizontal="center" vertical="center"/>
    </xf>
    <xf numFmtId="0" fontId="47" fillId="15" borderId="0" xfId="0" applyFont="1" applyFill="1" applyBorder="1" applyAlignment="1">
      <alignment vertical="center"/>
    </xf>
    <xf numFmtId="191" fontId="46" fillId="4" borderId="0" xfId="11" applyNumberFormat="1" applyFont="1" applyFill="1" applyBorder="1" applyAlignment="1">
      <alignment horizontal="center" vertical="center"/>
    </xf>
    <xf numFmtId="191" fontId="45" fillId="4" borderId="0" xfId="11" applyNumberFormat="1" applyFont="1" applyFill="1" applyBorder="1" applyAlignment="1">
      <alignment horizontal="center" vertical="center"/>
    </xf>
    <xf numFmtId="10" fontId="45" fillId="4" borderId="0" xfId="0" applyNumberFormat="1" applyFont="1" applyFill="1" applyBorder="1" applyAlignment="1">
      <alignment horizontal="center" vertical="center"/>
    </xf>
    <xf numFmtId="0" fontId="35" fillId="5" borderId="26" xfId="0" applyFont="1" applyFill="1" applyBorder="1" applyAlignment="1">
      <alignment horizontal="center" vertical="center"/>
    </xf>
    <xf numFmtId="0" fontId="35" fillId="5" borderId="27" xfId="0" applyFont="1" applyFill="1" applyBorder="1" applyAlignment="1">
      <alignment horizontal="center" vertical="center"/>
    </xf>
    <xf numFmtId="0" fontId="32" fillId="0" borderId="30" xfId="0" applyFont="1" applyFill="1" applyBorder="1" applyAlignment="1">
      <alignment horizontal="left" vertical="center"/>
    </xf>
    <xf numFmtId="0" fontId="32" fillId="0" borderId="31" xfId="0" applyFont="1" applyFill="1" applyBorder="1" applyAlignment="1">
      <alignment horizontal="left" vertical="center"/>
    </xf>
    <xf numFmtId="0" fontId="37" fillId="0" borderId="33" xfId="0" applyFont="1" applyFill="1" applyBorder="1" applyAlignment="1">
      <alignment vertical="center"/>
    </xf>
    <xf numFmtId="44" fontId="39" fillId="14" borderId="2" xfId="11" applyFont="1" applyFill="1" applyBorder="1" applyAlignment="1">
      <alignment horizontal="center"/>
    </xf>
    <xf numFmtId="44" fontId="39" fillId="14" borderId="3" xfId="11" applyFont="1" applyFill="1" applyBorder="1" applyAlignment="1">
      <alignment horizontal="center"/>
    </xf>
    <xf numFmtId="44" fontId="39" fillId="14" borderId="6" xfId="11" applyFont="1" applyFill="1" applyBorder="1" applyAlignment="1">
      <alignment horizontal="center"/>
    </xf>
    <xf numFmtId="165" fontId="17" fillId="3" borderId="1" xfId="1" applyNumberFormat="1" applyFont="1" applyFill="1" applyBorder="1" applyAlignment="1">
      <alignment horizontal="center"/>
    </xf>
    <xf numFmtId="165" fontId="17" fillId="3" borderId="2" xfId="1" applyNumberFormat="1" applyFont="1" applyFill="1" applyBorder="1" applyAlignment="1">
      <alignment horizontal="center"/>
    </xf>
    <xf numFmtId="165" fontId="17" fillId="3" borderId="6" xfId="1" applyNumberFormat="1" applyFont="1" applyFill="1" applyBorder="1" applyAlignment="1">
      <alignment horizontal="center"/>
    </xf>
    <xf numFmtId="165" fontId="17" fillId="0" borderId="2" xfId="1" applyNumberFormat="1" applyFont="1" applyFill="1" applyBorder="1" applyAlignment="1">
      <alignment horizontal="center"/>
    </xf>
    <xf numFmtId="165" fontId="17" fillId="0" borderId="6" xfId="1" applyNumberFormat="1" applyFont="1" applyFill="1" applyBorder="1" applyAlignment="1">
      <alignment horizontal="center"/>
    </xf>
    <xf numFmtId="165" fontId="13" fillId="0" borderId="1" xfId="1" applyNumberFormat="1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10" fontId="13" fillId="0" borderId="1" xfId="2" applyNumberFormat="1" applyFont="1" applyFill="1" applyBorder="1" applyAlignment="1">
      <alignment horizontal="center"/>
    </xf>
    <xf numFmtId="187" fontId="13" fillId="0" borderId="1" xfId="0" applyNumberFormat="1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165" fontId="17" fillId="0" borderId="9" xfId="0" applyNumberFormat="1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165" fontId="17" fillId="0" borderId="1" xfId="1" applyNumberFormat="1" applyFont="1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165" fontId="16" fillId="3" borderId="1" xfId="1" applyNumberFormat="1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17" fillId="0" borderId="3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7" fillId="3" borderId="1" xfId="0" applyFont="1" applyFill="1" applyBorder="1" applyAlignment="1"/>
    <xf numFmtId="165" fontId="11" fillId="6" borderId="1" xfId="0" applyNumberFormat="1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27" fillId="6" borderId="1" xfId="0" applyFont="1" applyFill="1" applyBorder="1" applyAlignment="1">
      <alignment horizontal="center"/>
    </xf>
    <xf numFmtId="14" fontId="13" fillId="0" borderId="1" xfId="0" applyNumberFormat="1" applyFont="1" applyFill="1" applyBorder="1" applyAlignment="1">
      <alignment horizontal="center"/>
    </xf>
    <xf numFmtId="10" fontId="11" fillId="6" borderId="1" xfId="2" applyNumberFormat="1" applyFont="1" applyFill="1" applyBorder="1" applyAlignment="1">
      <alignment horizontal="center"/>
    </xf>
    <xf numFmtId="174" fontId="19" fillId="0" borderId="0" xfId="0" applyNumberFormat="1" applyFont="1" applyBorder="1" applyAlignment="1">
      <alignment horizontal="right" vertical="center"/>
    </xf>
    <xf numFmtId="0" fontId="20" fillId="2" borderId="1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7" fillId="2" borderId="1" xfId="0" applyFont="1" applyFill="1" applyBorder="1" applyAlignment="1">
      <alignment horizontal="center"/>
    </xf>
    <xf numFmtId="10" fontId="13" fillId="0" borderId="12" xfId="2" applyNumberFormat="1" applyFont="1" applyBorder="1" applyAlignment="1">
      <alignment horizontal="center"/>
    </xf>
    <xf numFmtId="0" fontId="17" fillId="0" borderId="5" xfId="0" applyFont="1" applyFill="1" applyBorder="1" applyAlignment="1">
      <alignment horizontal="center"/>
    </xf>
    <xf numFmtId="43" fontId="17" fillId="0" borderId="1" xfId="1" applyFont="1" applyFill="1" applyBorder="1" applyAlignment="1">
      <alignment horizontal="center"/>
    </xf>
    <xf numFmtId="10" fontId="17" fillId="0" borderId="1" xfId="2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/>
    </xf>
    <xf numFmtId="0" fontId="27" fillId="2" borderId="3" xfId="0" applyFont="1" applyFill="1" applyBorder="1" applyAlignment="1">
      <alignment horizontal="center"/>
    </xf>
    <xf numFmtId="0" fontId="27" fillId="2" borderId="6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5" fillId="3" borderId="1" xfId="6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5" fillId="3" borderId="14" xfId="6" applyFont="1" applyFill="1" applyBorder="1" applyAlignment="1">
      <alignment horizontal="center" vertical="center"/>
    </xf>
    <xf numFmtId="0" fontId="15" fillId="3" borderId="4" xfId="6" applyFont="1" applyFill="1" applyBorder="1" applyAlignment="1">
      <alignment horizontal="center" vertical="center"/>
    </xf>
    <xf numFmtId="10" fontId="13" fillId="0" borderId="1" xfId="0" applyNumberFormat="1" applyFont="1" applyFill="1" applyBorder="1" applyAlignment="1">
      <alignment horizontal="center"/>
    </xf>
    <xf numFmtId="0" fontId="20" fillId="11" borderId="1" xfId="0" applyFont="1" applyFill="1" applyBorder="1" applyAlignment="1" applyProtection="1">
      <alignment horizontal="center" vertical="center"/>
      <protection locked="0"/>
    </xf>
    <xf numFmtId="43" fontId="13" fillId="0" borderId="1" xfId="1" applyFont="1" applyFill="1" applyBorder="1" applyAlignment="1">
      <alignment horizontal="center"/>
    </xf>
    <xf numFmtId="185" fontId="13" fillId="0" borderId="1" xfId="1" applyNumberFormat="1" applyFont="1" applyFill="1" applyBorder="1" applyAlignment="1">
      <alignment horizontal="center"/>
    </xf>
    <xf numFmtId="0" fontId="31" fillId="6" borderId="10" xfId="0" applyFont="1" applyFill="1" applyBorder="1" applyAlignment="1">
      <alignment horizontal="center"/>
    </xf>
    <xf numFmtId="0" fontId="31" fillId="6" borderId="11" xfId="0" applyFont="1" applyFill="1" applyBorder="1" applyAlignment="1">
      <alignment horizontal="center"/>
    </xf>
    <xf numFmtId="0" fontId="31" fillId="6" borderId="13" xfId="0" applyFont="1" applyFill="1" applyBorder="1" applyAlignment="1">
      <alignment horizontal="center"/>
    </xf>
  </cellXfs>
  <cellStyles count="13">
    <cellStyle name="Hiperlink" xfId="6" builtinId="8"/>
    <cellStyle name="Moeda" xfId="11" builtinId="4"/>
    <cellStyle name="Moeda 3" xfId="12"/>
    <cellStyle name="Normal" xfId="0" builtinId="0"/>
    <cellStyle name="Normal 12" xfId="10"/>
    <cellStyle name="Normal 2" xfId="4"/>
    <cellStyle name="Normal 3" xfId="3"/>
    <cellStyle name="Normal 4" xfId="7"/>
    <cellStyle name="Normal_CDI-PTAX" xfId="5"/>
    <cellStyle name="Porcentagem" xfId="2" builtinId="5"/>
    <cellStyle name="Porcentagem 2" xfId="9"/>
    <cellStyle name="Vírgula" xfId="1" builtinId="3"/>
    <cellStyle name="Vírgula 2" xfId="8"/>
  </cellStyles>
  <dxfs count="73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00FF00"/>
      <color rgb="FF275F32"/>
      <color rgb="FFD3EDD8"/>
      <color rgb="FFCFA9F5"/>
      <color rgb="FF255F31"/>
      <color rgb="FF77C786"/>
      <color rgb="FF66FF33"/>
      <color rgb="FFCC0099"/>
      <color rgb="FFA64C0E"/>
      <color rgb="FF2658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Lastro</c:v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val>
            <c:numRef>
              <c:f>ESTRUTURA!$H$12:$H$107</c:f>
              <c:numCache>
                <c:formatCode>_-* #,##0_-;\-* #,##0_-;_-* "-"??_-;_-@_-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F-4682-A247-ECE83C55B0B9}"/>
            </c:ext>
          </c:extLst>
        </c:ser>
        <c:ser>
          <c:idx val="1"/>
          <c:order val="1"/>
          <c:tx>
            <c:v>Sênior</c:v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val>
            <c:numRef>
              <c:f>ESTRUTURA!$Q$12:$Q$107</c:f>
              <c:numCache>
                <c:formatCode>_-* #,##0_-;\-* #,##0_-;_-* "-"??_-;_-@_-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F-4682-A247-ECE83C55B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747072"/>
        <c:axId val="20374761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Sub_Preferêncial</c:v>
                </c:tx>
                <c:spPr>
                  <a:ln w="38100" cap="flat" cmpd="dbl" algn="ctr">
                    <a:solidFill>
                      <a:schemeClr val="accent3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ESTRUTURA!$X$12:$X$371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24F-4682-A247-ECE83C55B0B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Subordinada</c:v>
                </c:tx>
                <c:spPr>
                  <a:ln w="38100" cap="flat" cmpd="dbl" algn="ctr">
                    <a:solidFill>
                      <a:schemeClr val="accent4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ESTRUTURA!$AD$12:$AD$371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24F-4682-A247-ECE83C55B0B9}"/>
                  </c:ext>
                </c:extLst>
              </c15:ser>
            </c15:filteredLineSeries>
          </c:ext>
        </c:extLst>
      </c:lineChart>
      <c:catAx>
        <c:axId val="20374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747616"/>
        <c:crosses val="autoZero"/>
        <c:auto val="1"/>
        <c:lblAlgn val="ctr"/>
        <c:lblOffset val="100"/>
        <c:noMultiLvlLbl val="0"/>
      </c:catAx>
      <c:valAx>
        <c:axId val="20374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&quot;R$&quot;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74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33617</xdr:colOff>
      <xdr:row>1</xdr:row>
      <xdr:rowOff>22412</xdr:rowOff>
    </xdr:from>
    <xdr:to>
      <xdr:col>1</xdr:col>
      <xdr:colOff>2376499</xdr:colOff>
      <xdr:row>1</xdr:row>
      <xdr:rowOff>705970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57DE41C-568F-4D21-AC23-62629A741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176" y="246530"/>
          <a:ext cx="2342882" cy="683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666750</xdr:colOff>
      <xdr:row>10</xdr:row>
      <xdr:rowOff>136070</xdr:rowOff>
    </xdr:from>
    <xdr:to>
      <xdr:col>20</xdr:col>
      <xdr:colOff>666750</xdr:colOff>
      <xdr:row>21</xdr:row>
      <xdr:rowOff>122464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46DCE92-F6CD-4828-B0D3-E2741A404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13608</xdr:colOff>
      <xdr:row>1</xdr:row>
      <xdr:rowOff>54429</xdr:rowOff>
    </xdr:from>
    <xdr:to>
      <xdr:col>6</xdr:col>
      <xdr:colOff>461605</xdr:colOff>
      <xdr:row>3</xdr:row>
      <xdr:rowOff>326572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31ED2CA-6EC7-4B3D-A2B4-341B86323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4322" y="244929"/>
          <a:ext cx="3264676" cy="952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.Estrutura&#231;&#227;o/01.%20An&#225;lises%20Carteiras/2017/06%20-%20Junho/12%20-%20FERNANDO/Viabilidade%20&amp;%20An&#225;li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SHEET"/>
      <sheetName val="CAPA"/>
      <sheetName val="ESTRUTURA"/>
      <sheetName val="CUSTOS"/>
      <sheetName val="ANEXO"/>
      <sheetName val="INAD"/>
      <sheetName val="bd"/>
      <sheetName val="Tabela"/>
    </sheetNames>
    <sheetDataSet>
      <sheetData sheetId="0"/>
      <sheetData sheetId="1">
        <row r="7">
          <cell r="H7" t="str">
            <v>CRI</v>
          </cell>
        </row>
      </sheetData>
      <sheetData sheetId="2">
        <row r="12">
          <cell r="H12">
            <v>427712.0806364275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name="ExibeSerie.aspx?serid=37796&amp;module=M_1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rilha de Vapor">
  <a:themeElements>
    <a:clrScheme name="Trilha de Vapor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Trilha de Vapor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Trilha de Vapor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VP@EMISS&#194;O" TargetMode="External"/><Relationship Id="rId3" Type="http://schemas.openxmlformats.org/officeDocument/2006/relationships/hyperlink" Target="mailto:VP@EMISS&#194;O" TargetMode="External"/><Relationship Id="rId7" Type="http://schemas.openxmlformats.org/officeDocument/2006/relationships/hyperlink" Target="mailto:VP@CART" TargetMode="External"/><Relationship Id="rId2" Type="http://schemas.openxmlformats.org/officeDocument/2006/relationships/hyperlink" Target="mailto:VP@EMISS&#194;O" TargetMode="External"/><Relationship Id="rId1" Type="http://schemas.openxmlformats.org/officeDocument/2006/relationships/hyperlink" Target="mailto:VP@COMPRA" TargetMode="External"/><Relationship Id="rId6" Type="http://schemas.openxmlformats.org/officeDocument/2006/relationships/hyperlink" Target="mailto:VP@CART" TargetMode="External"/><Relationship Id="rId5" Type="http://schemas.openxmlformats.org/officeDocument/2006/relationships/hyperlink" Target="mailto:VP@EMISS&#194;O" TargetMode="External"/><Relationship Id="rId4" Type="http://schemas.openxmlformats.org/officeDocument/2006/relationships/hyperlink" Target="mailto:VP@EMISS&#194;O" TargetMode="External"/><Relationship Id="rId9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0"/>
  <sheetViews>
    <sheetView showGridLines="0" zoomScaleNormal="100" workbookViewId="0">
      <selection activeCell="C2" sqref="C2"/>
    </sheetView>
  </sheetViews>
  <sheetFormatPr defaultRowHeight="16.5" outlineLevelCol="2" x14ac:dyDescent="0.3"/>
  <cols>
    <col min="2" max="2" width="17.625" bestFit="1" customWidth="1"/>
    <col min="3" max="3" width="20" customWidth="1"/>
    <col min="4" max="4" width="20.875" bestFit="1" customWidth="1" outlineLevel="1"/>
    <col min="5" max="5" width="21.875" customWidth="1" outlineLevel="2"/>
  </cols>
  <sheetData>
    <row r="2" spans="2:5" ht="22.5" customHeight="1" x14ac:dyDescent="0.3">
      <c r="B2" s="161" t="str">
        <f>IF(C2="Sênior","Série","Séries")</f>
        <v>Série</v>
      </c>
      <c r="C2" s="162" t="s">
        <v>425</v>
      </c>
      <c r="D2" s="162">
        <f>IF(nm_séries=1,,IF(nm_séries=2,"Subordinada","Subordinada Preferencial"))</f>
        <v>0</v>
      </c>
      <c r="E2" s="162">
        <f>IF(nm_séries=3,"Subordinada",0)</f>
        <v>0</v>
      </c>
    </row>
    <row r="3" spans="2:5" ht="22.5" customHeight="1" x14ac:dyDescent="0.3">
      <c r="B3" s="161" t="s">
        <v>574</v>
      </c>
      <c r="C3" s="163">
        <f>CAPA!J25</f>
        <v>0</v>
      </c>
      <c r="D3" s="163">
        <f>CAPA!O25</f>
        <v>0</v>
      </c>
      <c r="E3" s="163">
        <f>CAPA!T25</f>
        <v>0</v>
      </c>
    </row>
    <row r="4" spans="2:5" ht="22.5" customHeight="1" x14ac:dyDescent="0.3">
      <c r="B4" s="161" t="s">
        <v>2</v>
      </c>
      <c r="C4" s="164">
        <f>CAPA!J27</f>
        <v>0</v>
      </c>
      <c r="D4" s="164">
        <f>CAPA!O27</f>
        <v>0</v>
      </c>
      <c r="E4" s="164">
        <f>CAPA!T27</f>
        <v>120</v>
      </c>
    </row>
    <row r="5" spans="2:5" ht="22.5" customHeight="1" x14ac:dyDescent="0.3">
      <c r="B5" s="161" t="s">
        <v>5</v>
      </c>
      <c r="C5" s="165">
        <f>CAPA!J28</f>
        <v>0</v>
      </c>
      <c r="D5" s="165">
        <f>CAPA!O28</f>
        <v>0</v>
      </c>
      <c r="E5" s="165">
        <f>CAPA!T28</f>
        <v>0</v>
      </c>
    </row>
    <row r="6" spans="2:5" ht="22.5" customHeight="1" x14ac:dyDescent="0.3">
      <c r="B6" s="161" t="s">
        <v>575</v>
      </c>
      <c r="C6" s="166">
        <f>CAPA!J26</f>
        <v>0.2</v>
      </c>
      <c r="D6" s="166">
        <f>CAPA!O26</f>
        <v>0</v>
      </c>
      <c r="E6" s="166">
        <f>CAPA!T26</f>
        <v>0</v>
      </c>
    </row>
    <row r="7" spans="2:5" ht="22.5" customHeight="1" x14ac:dyDescent="0.3">
      <c r="B7" s="161" t="s">
        <v>576</v>
      </c>
      <c r="C7" s="168">
        <f>CAPA!T45</f>
        <v>0</v>
      </c>
      <c r="D7" s="168"/>
      <c r="E7" s="168"/>
    </row>
    <row r="8" spans="2:5" ht="22.5" customHeight="1" x14ac:dyDescent="0.3">
      <c r="B8" s="161" t="s">
        <v>577</v>
      </c>
      <c r="C8" s="168">
        <f>CAPA!T46</f>
        <v>0</v>
      </c>
      <c r="D8" s="168"/>
      <c r="E8" s="168"/>
    </row>
    <row r="9" spans="2:5" ht="22.5" customHeight="1" x14ac:dyDescent="0.3">
      <c r="B9" s="161" t="s">
        <v>578</v>
      </c>
      <c r="C9" s="169">
        <f>CAPA!T47</f>
        <v>0</v>
      </c>
      <c r="D9" s="169"/>
      <c r="E9" s="169"/>
    </row>
    <row r="10" spans="2:5" ht="22.5" customHeight="1" x14ac:dyDescent="0.3">
      <c r="B10" s="167" t="s">
        <v>579</v>
      </c>
      <c r="C10" s="170">
        <f>CAPA!T48</f>
        <v>0.12682503013196977</v>
      </c>
      <c r="D10" s="170"/>
      <c r="E10" s="170"/>
    </row>
  </sheetData>
  <mergeCells count="4">
    <mergeCell ref="C7:E7"/>
    <mergeCell ref="C8:E8"/>
    <mergeCell ref="C9:E9"/>
    <mergeCell ref="C10:E1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C28"/>
  <sheetViews>
    <sheetView showGridLines="0" zoomScale="85" zoomScaleNormal="85" workbookViewId="0">
      <selection activeCell="G26" sqref="G26"/>
    </sheetView>
  </sheetViews>
  <sheetFormatPr defaultRowHeight="16.5" x14ac:dyDescent="0.3"/>
  <cols>
    <col min="1" max="1" width="9" customWidth="1"/>
    <col min="2" max="2" width="44" style="121" customWidth="1"/>
    <col min="3" max="3" width="49" style="122" customWidth="1"/>
  </cols>
  <sheetData>
    <row r="1" spans="2:3" ht="17.25" thickBot="1" x14ac:dyDescent="0.35"/>
    <row r="2" spans="2:3" s="123" customFormat="1" ht="57.75" customHeight="1" thickBot="1" x14ac:dyDescent="0.35">
      <c r="B2" s="171" t="s">
        <v>529</v>
      </c>
      <c r="C2" s="172"/>
    </row>
    <row r="3" spans="2:3" s="123" customFormat="1" ht="33" customHeight="1" thickBot="1" x14ac:dyDescent="0.35">
      <c r="B3" s="129" t="s">
        <v>530</v>
      </c>
      <c r="C3" s="130" t="str">
        <f>IF(título="CRI","Certificados de Recebíveis Imobiliários (“CRI”)","Certificados de Recebíveis do Agronegócio (“CRA”)")</f>
        <v>Certificados de Recebíveis Imobiliários (“CRI”)</v>
      </c>
    </row>
    <row r="4" spans="2:3" s="123" customFormat="1" ht="33" customHeight="1" thickBot="1" x14ac:dyDescent="0.35">
      <c r="B4" s="128" t="s">
        <v>531</v>
      </c>
      <c r="C4" s="124" t="s">
        <v>532</v>
      </c>
    </row>
    <row r="5" spans="2:3" s="123" customFormat="1" ht="33" customHeight="1" thickBot="1" x14ac:dyDescent="0.35">
      <c r="B5" s="131" t="s">
        <v>557</v>
      </c>
      <c r="C5" s="132">
        <f>dt_emissão</f>
        <v>42993</v>
      </c>
    </row>
    <row r="6" spans="2:3" s="123" customFormat="1" ht="33" customHeight="1" thickBot="1" x14ac:dyDescent="0.35">
      <c r="B6" s="128" t="s">
        <v>533</v>
      </c>
      <c r="C6" s="125" t="s">
        <v>30</v>
      </c>
    </row>
    <row r="7" spans="2:3" s="123" customFormat="1" ht="33" customHeight="1" thickBot="1" x14ac:dyDescent="0.35">
      <c r="B7" s="133" t="s">
        <v>534</v>
      </c>
      <c r="C7" s="134" t="s">
        <v>535</v>
      </c>
    </row>
    <row r="8" spans="2:3" s="123" customFormat="1" ht="33" customHeight="1" thickBot="1" x14ac:dyDescent="0.35">
      <c r="B8" s="128" t="s">
        <v>536</v>
      </c>
      <c r="C8" s="125" t="s">
        <v>537</v>
      </c>
    </row>
    <row r="9" spans="2:3" s="123" customFormat="1" ht="33" customHeight="1" thickBot="1" x14ac:dyDescent="0.35">
      <c r="B9" s="133" t="s">
        <v>538</v>
      </c>
      <c r="C9" s="134">
        <f>icvm</f>
        <v>476</v>
      </c>
    </row>
    <row r="10" spans="2:3" s="123" customFormat="1" ht="33" customHeight="1" thickBot="1" x14ac:dyDescent="0.35">
      <c r="B10" s="128" t="s">
        <v>539</v>
      </c>
      <c r="C10" s="125" t="s">
        <v>537</v>
      </c>
    </row>
    <row r="11" spans="2:3" s="123" customFormat="1" ht="33" customHeight="1" thickBot="1" x14ac:dyDescent="0.35">
      <c r="B11" s="133" t="s">
        <v>540</v>
      </c>
      <c r="C11" s="134" t="s">
        <v>537</v>
      </c>
    </row>
    <row r="12" spans="2:3" s="123" customFormat="1" ht="33" customHeight="1" thickBot="1" x14ac:dyDescent="0.35">
      <c r="B12" s="128" t="s">
        <v>541</v>
      </c>
      <c r="C12" s="125" t="s">
        <v>537</v>
      </c>
    </row>
    <row r="13" spans="2:3" s="123" customFormat="1" ht="33" customHeight="1" thickBot="1" x14ac:dyDescent="0.35">
      <c r="B13" s="133" t="s">
        <v>542</v>
      </c>
      <c r="C13" s="135">
        <f>sd_se+sd_subp+sd_sub</f>
        <v>0</v>
      </c>
    </row>
    <row r="14" spans="2:3" s="123" customFormat="1" ht="33" customHeight="1" thickBot="1" x14ac:dyDescent="0.35">
      <c r="B14" s="128" t="s">
        <v>543</v>
      </c>
      <c r="C14" s="125" t="s">
        <v>544</v>
      </c>
    </row>
    <row r="15" spans="2:3" s="123" customFormat="1" ht="33" customHeight="1" thickBot="1" x14ac:dyDescent="0.35">
      <c r="B15" s="133" t="s">
        <v>545</v>
      </c>
      <c r="C15" s="136" t="str">
        <f>CAPA!J26*100&amp;"% + IGPM"</f>
        <v>20% + IGPM</v>
      </c>
    </row>
    <row r="16" spans="2:3" s="123" customFormat="1" ht="33" customHeight="1" thickBot="1" x14ac:dyDescent="0.35">
      <c r="B16" s="128" t="s">
        <v>546</v>
      </c>
      <c r="C16" s="145">
        <f>prazo_op</f>
        <v>0</v>
      </c>
    </row>
    <row r="17" spans="2:3" s="123" customFormat="1" ht="33" customHeight="1" thickBot="1" x14ac:dyDescent="0.35">
      <c r="B17" s="133" t="s">
        <v>547</v>
      </c>
      <c r="C17" s="134" t="s">
        <v>537</v>
      </c>
    </row>
    <row r="18" spans="2:3" s="123" customFormat="1" ht="38.25" customHeight="1" thickBot="1" x14ac:dyDescent="0.35">
      <c r="B18" s="128" t="s">
        <v>548</v>
      </c>
      <c r="C18" s="125" t="s">
        <v>537</v>
      </c>
    </row>
    <row r="19" spans="2:3" s="123" customFormat="1" ht="33" customHeight="1" thickBot="1" x14ac:dyDescent="0.35">
      <c r="B19" s="133" t="s">
        <v>549</v>
      </c>
      <c r="C19" s="137" t="s">
        <v>537</v>
      </c>
    </row>
    <row r="20" spans="2:3" s="123" customFormat="1" ht="33" customHeight="1" thickBot="1" x14ac:dyDescent="0.35">
      <c r="B20" s="173" t="s">
        <v>550</v>
      </c>
      <c r="C20" s="126" t="s">
        <v>537</v>
      </c>
    </row>
    <row r="21" spans="2:3" s="123" customFormat="1" ht="33" customHeight="1" thickBot="1" x14ac:dyDescent="0.35">
      <c r="B21" s="174"/>
      <c r="C21" s="126" t="s">
        <v>537</v>
      </c>
    </row>
    <row r="22" spans="2:3" s="123" customFormat="1" ht="33" customHeight="1" thickBot="1" x14ac:dyDescent="0.35">
      <c r="B22" s="138" t="s">
        <v>558</v>
      </c>
      <c r="C22" s="134" t="s">
        <v>537</v>
      </c>
    </row>
    <row r="23" spans="2:3" s="123" customFormat="1" ht="33" customHeight="1" thickBot="1" x14ac:dyDescent="0.35">
      <c r="B23" s="127" t="s">
        <v>551</v>
      </c>
      <c r="C23" s="125" t="s">
        <v>537</v>
      </c>
    </row>
    <row r="24" spans="2:3" s="123" customFormat="1" ht="33" customHeight="1" thickBot="1" x14ac:dyDescent="0.35">
      <c r="B24" s="139" t="s">
        <v>552</v>
      </c>
      <c r="C24" s="134" t="s">
        <v>537</v>
      </c>
    </row>
    <row r="25" spans="2:3" s="123" customFormat="1" ht="33" customHeight="1" thickBot="1" x14ac:dyDescent="0.35">
      <c r="B25" s="128" t="s">
        <v>553</v>
      </c>
      <c r="C25" s="143" t="s">
        <v>537</v>
      </c>
    </row>
    <row r="26" spans="2:3" s="123" customFormat="1" ht="33" customHeight="1" thickBot="1" x14ac:dyDescent="0.35">
      <c r="B26" s="140" t="s">
        <v>554</v>
      </c>
      <c r="C26" s="141" t="s">
        <v>537</v>
      </c>
    </row>
    <row r="27" spans="2:3" s="123" customFormat="1" ht="33" customHeight="1" thickBot="1" x14ac:dyDescent="0.35">
      <c r="B27" s="128" t="s">
        <v>555</v>
      </c>
      <c r="C27" s="144" t="s">
        <v>537</v>
      </c>
    </row>
    <row r="28" spans="2:3" s="123" customFormat="1" ht="33" customHeight="1" x14ac:dyDescent="0.3">
      <c r="B28" s="133" t="s">
        <v>556</v>
      </c>
      <c r="C28" s="142" t="s">
        <v>537</v>
      </c>
    </row>
  </sheetData>
  <mergeCells count="2">
    <mergeCell ref="B2:C2"/>
    <mergeCell ref="B20:B21"/>
  </mergeCells>
  <pageMargins left="0.51181102362204722" right="0.51181102362204722" top="0.78740157480314965" bottom="0.78740157480314965" header="0.31496062992125984" footer="0.31496062992125984"/>
  <pageSetup paperSize="9" scale="83" fitToHeight="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51"/>
  <sheetViews>
    <sheetView showGridLines="0" topLeftCell="A23" zoomScale="70" zoomScaleNormal="70" workbookViewId="0">
      <selection activeCell="C52" sqref="C52"/>
    </sheetView>
  </sheetViews>
  <sheetFormatPr defaultColWidth="2.375" defaultRowHeight="16.5" x14ac:dyDescent="0.3"/>
  <cols>
    <col min="1" max="1" width="2.625" style="146" customWidth="1"/>
    <col min="2" max="2" width="22.75" style="147" bestFit="1" customWidth="1"/>
    <col min="3" max="3" width="34.375" style="147" bestFit="1" customWidth="1"/>
    <col min="4" max="4" width="15.625" style="147" bestFit="1" customWidth="1"/>
    <col min="5" max="5" width="13.75" style="147" bestFit="1" customWidth="1"/>
    <col min="6" max="7" width="14.75" style="147" bestFit="1" customWidth="1"/>
    <col min="8" max="8" width="15.75" style="147" customWidth="1"/>
    <col min="9" max="16384" width="2.375" style="146"/>
  </cols>
  <sheetData>
    <row r="2" spans="2:8" ht="17.25" thickBot="1" x14ac:dyDescent="0.35">
      <c r="B2" s="175" t="s">
        <v>564</v>
      </c>
      <c r="C2" s="175"/>
      <c r="D2" s="175"/>
      <c r="E2" s="175"/>
      <c r="F2" s="175"/>
      <c r="G2" s="175"/>
      <c r="H2" s="175"/>
    </row>
    <row r="3" spans="2:8" ht="17.25" thickTop="1" x14ac:dyDescent="0.3"/>
    <row r="5" spans="2:8" x14ac:dyDescent="0.3">
      <c r="B5" s="148" t="s">
        <v>565</v>
      </c>
      <c r="C5" s="149">
        <f>CAPA!T43</f>
        <v>0</v>
      </c>
      <c r="D5" s="150"/>
    </row>
    <row r="6" spans="2:8" x14ac:dyDescent="0.3">
      <c r="B6" s="148" t="s">
        <v>494</v>
      </c>
      <c r="C6" s="160">
        <f>CAPA!T44</f>
        <v>0</v>
      </c>
      <c r="D6" s="150"/>
    </row>
    <row r="7" spans="2:8" x14ac:dyDescent="0.3">
      <c r="B7" s="148" t="s">
        <v>516</v>
      </c>
      <c r="C7" s="160">
        <f>CAPA!T45</f>
        <v>0</v>
      </c>
      <c r="D7" s="150"/>
    </row>
    <row r="8" spans="2:8" x14ac:dyDescent="0.3">
      <c r="B8" s="148" t="s">
        <v>517</v>
      </c>
      <c r="C8" s="160">
        <f>CAPA!T46</f>
        <v>0</v>
      </c>
      <c r="D8" s="150"/>
    </row>
    <row r="9" spans="2:8" x14ac:dyDescent="0.3">
      <c r="B9" s="148" t="s">
        <v>495</v>
      </c>
      <c r="C9" s="160">
        <f>CAPA!T47</f>
        <v>0</v>
      </c>
      <c r="D9" s="150"/>
    </row>
    <row r="10" spans="2:8" x14ac:dyDescent="0.3">
      <c r="B10" s="148" t="s">
        <v>566</v>
      </c>
      <c r="C10" s="151">
        <f>nm_elegíveis</f>
        <v>1</v>
      </c>
    </row>
    <row r="11" spans="2:8" x14ac:dyDescent="0.3">
      <c r="B11" s="149"/>
      <c r="C11" s="149"/>
    </row>
    <row r="12" spans="2:8" x14ac:dyDescent="0.3">
      <c r="B12" s="148" t="s">
        <v>567</v>
      </c>
      <c r="C12" s="148" t="s">
        <v>446</v>
      </c>
      <c r="D12" s="148" t="s">
        <v>29</v>
      </c>
      <c r="E12" s="148" t="s">
        <v>454</v>
      </c>
      <c r="F12" s="148" t="s">
        <v>455</v>
      </c>
      <c r="G12" s="148" t="s">
        <v>568</v>
      </c>
      <c r="H12" s="148" t="s">
        <v>569</v>
      </c>
    </row>
    <row r="13" spans="2:8" x14ac:dyDescent="0.3">
      <c r="B13" s="152" t="s">
        <v>434</v>
      </c>
      <c r="C13" s="152" t="s">
        <v>434</v>
      </c>
      <c r="D13" s="153" t="str">
        <f>VLOOKUP(C13,Tabela!$A$2:$H$35,3,0)</f>
        <v>FLAT</v>
      </c>
      <c r="E13" s="159">
        <f>IF(Tabela!E2&gt;0,,IF(Tabela!F2&gt;0,,VLOOKUP(C13,Tabela!$A$2:$H$35,7,0)))</f>
        <v>0</v>
      </c>
      <c r="F13" s="154">
        <f>VLOOKUP(C13,Tabela!$A$2:$H$35,8,0)</f>
        <v>0</v>
      </c>
      <c r="G13" s="154">
        <f>VLOOKUP(C13,CAPA!$C$36:$I$74,2,0)</f>
        <v>0</v>
      </c>
      <c r="H13" s="154">
        <v>0</v>
      </c>
    </row>
    <row r="14" spans="2:8" x14ac:dyDescent="0.3">
      <c r="B14" s="152" t="s">
        <v>537</v>
      </c>
      <c r="C14" s="152" t="s">
        <v>448</v>
      </c>
      <c r="D14" s="153" t="str">
        <f>VLOOKUP(C14,Tabela!$A$2:$H$35,3,0)</f>
        <v>FLAT</v>
      </c>
      <c r="E14" s="159">
        <f>IF(Tabela!E3&gt;0,,IF(Tabela!F3&gt;0,,VLOOKUP(C14,Tabela!$A$2:$H$35,7,0)))</f>
        <v>0</v>
      </c>
      <c r="F14" s="154">
        <f>VLOOKUP(C14,Tabela!$A$2:$H$35,8,0)</f>
        <v>100000</v>
      </c>
      <c r="G14" s="154">
        <f>VLOOKUP(C14,CAPA!$C$36:$I$74,2,0)</f>
        <v>0</v>
      </c>
      <c r="H14" s="154">
        <v>0</v>
      </c>
    </row>
    <row r="15" spans="2:8" x14ac:dyDescent="0.3">
      <c r="B15" s="152" t="s">
        <v>537</v>
      </c>
      <c r="C15" s="152" t="s">
        <v>473</v>
      </c>
      <c r="D15" s="153" t="str">
        <f>VLOOKUP(C15,Tabela!$A$2:$H$35,3,0)</f>
        <v>FLAT</v>
      </c>
      <c r="E15" s="159">
        <f>IF(Tabela!E4&gt;0,,IF(Tabela!F4&gt;0,,VLOOKUP(C15,Tabela!$A$2:$H$35,7,0)))</f>
        <v>0</v>
      </c>
      <c r="F15" s="154">
        <f>VLOOKUP(C15,Tabela!$A$2:$H$35,8,0)</f>
        <v>1000</v>
      </c>
      <c r="G15" s="154">
        <f>VLOOKUP(C15,CAPA!$C$36:$I$74,2,0)</f>
        <v>0</v>
      </c>
      <c r="H15" s="154">
        <v>0</v>
      </c>
    </row>
    <row r="16" spans="2:8" x14ac:dyDescent="0.3">
      <c r="B16" s="152" t="s">
        <v>537</v>
      </c>
      <c r="C16" s="152" t="s">
        <v>56</v>
      </c>
      <c r="D16" s="153" t="str">
        <f>VLOOKUP(C16,Tabela!$A$2:$H$35,3,0)</f>
        <v>FLAT</v>
      </c>
      <c r="E16" s="159">
        <f>IF(Tabela!E5&gt;0,,IF(Tabela!F5&gt;0,,VLOOKUP(C16,Tabela!$A$2:$H$35,7,0)))</f>
        <v>0</v>
      </c>
      <c r="F16" s="154">
        <f>VLOOKUP(C16,Tabela!$A$2:$H$35,8,0)</f>
        <v>10000</v>
      </c>
      <c r="G16" s="154">
        <f>VLOOKUP(C16,CAPA!$C$36:$I$74,2,0)</f>
        <v>0</v>
      </c>
      <c r="H16" s="154">
        <v>0</v>
      </c>
    </row>
    <row r="17" spans="2:8" x14ac:dyDescent="0.3">
      <c r="B17" s="152" t="s">
        <v>561</v>
      </c>
      <c r="C17" s="152" t="s">
        <v>457</v>
      </c>
      <c r="D17" s="153" t="str">
        <f>VLOOKUP(C17,Tabela!$A$2:$H$35,3,0)</f>
        <v>MENSAL</v>
      </c>
      <c r="E17" s="159">
        <f>IF(Tabela!E6&gt;0,,IF(Tabela!F6&gt;0,,VLOOKUP(C17,Tabela!$A$2:$H$35,7,0)))</f>
        <v>0</v>
      </c>
      <c r="F17" s="154">
        <f>VLOOKUP(C17,Tabela!$A$2:$H$35,8,0)</f>
        <v>150</v>
      </c>
      <c r="G17" s="154">
        <f>VLOOKUP(C17,CAPA!$C$36:$I$74,2,0)</f>
        <v>0</v>
      </c>
      <c r="H17" s="154">
        <f>F17*prazo_op</f>
        <v>0</v>
      </c>
    </row>
    <row r="18" spans="2:8" x14ac:dyDescent="0.3">
      <c r="B18" s="152" t="s">
        <v>561</v>
      </c>
      <c r="C18" s="152" t="s">
        <v>458</v>
      </c>
      <c r="D18" s="153" t="str">
        <f>VLOOKUP(C18,Tabela!$A$2:$H$35,3,0)</f>
        <v>FLAT</v>
      </c>
      <c r="E18" s="159">
        <f>IF(Tabela!E7&gt;0,,IF(Tabela!F7&gt;0,,VLOOKUP(C18,Tabela!$A$2:$H$35,7,0)))</f>
        <v>0</v>
      </c>
      <c r="F18" s="154">
        <f>VLOOKUP(C18,Tabela!$A$2:$H$35,8,0)</f>
        <v>2500</v>
      </c>
      <c r="G18" s="154">
        <f>VLOOKUP(C18,CAPA!$C$36:$I$74,2,0)</f>
        <v>0</v>
      </c>
      <c r="H18" s="154">
        <v>0</v>
      </c>
    </row>
    <row r="19" spans="2:8" x14ac:dyDescent="0.3">
      <c r="B19" s="152" t="s">
        <v>561</v>
      </c>
      <c r="C19" s="152" t="s">
        <v>459</v>
      </c>
      <c r="D19" s="153" t="str">
        <f>VLOOKUP(C19,Tabela!$A$2:$H$35,3,0)</f>
        <v>MENSAL</v>
      </c>
      <c r="E19" s="159">
        <f>IF(Tabela!E8&gt;0,,IF(Tabela!F8&gt;0,,VLOOKUP(C19,Tabela!$A$2:$H$35,7,0)))</f>
        <v>0</v>
      </c>
      <c r="F19" s="154">
        <f>VLOOKUP(C19,Tabela!$A$2:$H$35,8,0)</f>
        <v>1500</v>
      </c>
      <c r="G19" s="154">
        <f>VLOOKUP(C19,CAPA!$C$36:$I$74,2,0)</f>
        <v>0</v>
      </c>
      <c r="H19" s="154">
        <f>F19*prazo_op</f>
        <v>0</v>
      </c>
    </row>
    <row r="20" spans="2:8" x14ac:dyDescent="0.3">
      <c r="B20" s="152" t="s">
        <v>563</v>
      </c>
      <c r="C20" s="152" t="s">
        <v>490</v>
      </c>
      <c r="D20" s="153" t="str">
        <f>VLOOKUP(C20,Tabela!$A$2:$H$35,3,0)</f>
        <v>FLAT</v>
      </c>
      <c r="E20" s="159">
        <f>IF(Tabela!E9&gt;0,,IF(Tabela!F9&gt;0,,VLOOKUP(C20,Tabela!$A$2:$H$35,7,0)))</f>
        <v>0</v>
      </c>
      <c r="F20" s="154">
        <f>VLOOKUP(C20,Tabela!$A$2:$H$35,8,0)</f>
        <v>0</v>
      </c>
      <c r="G20" s="154">
        <f>VLOOKUP(C20,CAPA!$C$36:$I$74,2,0)</f>
        <v>0</v>
      </c>
      <c r="H20" s="154">
        <f>F20*96</f>
        <v>0</v>
      </c>
    </row>
    <row r="21" spans="2:8" x14ac:dyDescent="0.3">
      <c r="B21" s="152" t="s">
        <v>563</v>
      </c>
      <c r="C21" s="152" t="s">
        <v>491</v>
      </c>
      <c r="D21" s="153" t="str">
        <f>VLOOKUP(C21,Tabela!$A$2:$H$35,3,0)</f>
        <v>FLAT</v>
      </c>
      <c r="E21" s="159">
        <f>IF(Tabela!E10&gt;0,,IF(Tabela!F10&gt;0,,VLOOKUP(C21,Tabela!$A$2:$H$35,7,0)))</f>
        <v>2.3300000000000001E-5</v>
      </c>
      <c r="F21" s="154">
        <f>VLOOKUP(C21,Tabela!$A$2:$H$35,8,0)</f>
        <v>0</v>
      </c>
      <c r="G21" s="154">
        <f>VLOOKUP(C21,CAPA!$C$36:$I$74,2,0)</f>
        <v>0</v>
      </c>
      <c r="H21" s="154">
        <v>0</v>
      </c>
    </row>
    <row r="22" spans="2:8" x14ac:dyDescent="0.3">
      <c r="B22" s="152" t="s">
        <v>563</v>
      </c>
      <c r="C22" s="152" t="s">
        <v>445</v>
      </c>
      <c r="D22" s="153" t="str">
        <f>VLOOKUP(C22,Tabela!$A$2:$H$35,3,0)</f>
        <v>FLAT</v>
      </c>
      <c r="E22" s="159">
        <f>IF(Tabela!E11&gt;0,,IF(Tabela!F11&gt;0,,VLOOKUP(C22,Tabela!$A$2:$H$35,7,0)))</f>
        <v>0</v>
      </c>
      <c r="F22" s="154">
        <f>VLOOKUP(C22,Tabela!$A$2:$H$35,8,0)</f>
        <v>0</v>
      </c>
      <c r="G22" s="154" t="e">
        <f>VLOOKUP(C22,CAPA!$C$36:$I$74,2,0)</f>
        <v>#N/A</v>
      </c>
      <c r="H22" s="154" t="e">
        <f>G22*96</f>
        <v>#N/A</v>
      </c>
    </row>
    <row r="23" spans="2:8" x14ac:dyDescent="0.3">
      <c r="B23" s="152" t="s">
        <v>563</v>
      </c>
      <c r="C23" s="152" t="s">
        <v>443</v>
      </c>
      <c r="D23" s="153" t="str">
        <f>VLOOKUP(C23,Tabela!$A$2:$H$35,3,0)</f>
        <v>FLAT</v>
      </c>
      <c r="E23" s="159">
        <f>IF(Tabela!E12&gt;0,,IF(Tabela!F12&gt;0,,VLOOKUP(C23,Tabela!$A$2:$H$35,7,0)))</f>
        <v>5.0000000000000002E-5</v>
      </c>
      <c r="F23" s="154">
        <f>VLOOKUP(C23,Tabela!$A$2:$H$35,8,0)</f>
        <v>0</v>
      </c>
      <c r="G23" s="154" t="e">
        <f>VLOOKUP(C23,CAPA!$C$36:$I$74,2,0)</f>
        <v>#N/A</v>
      </c>
      <c r="H23" s="154" t="e">
        <f>G23*(96/3)</f>
        <v>#N/A</v>
      </c>
    </row>
    <row r="24" spans="2:8" x14ac:dyDescent="0.3">
      <c r="B24" s="152" t="s">
        <v>563</v>
      </c>
      <c r="C24" s="152" t="s">
        <v>444</v>
      </c>
      <c r="D24" s="153" t="str">
        <f>VLOOKUP(C24,Tabela!$A$2:$H$35,3,0)</f>
        <v>FLAT</v>
      </c>
      <c r="E24" s="159">
        <f>IF(Tabela!E13&gt;0,,IF(Tabela!F13&gt;0,,VLOOKUP(C24,Tabela!$A$2:$H$35,7,0)))</f>
        <v>9.3200000000000002E-5</v>
      </c>
      <c r="F24" s="154">
        <f>VLOOKUP(C24,Tabela!$A$2:$H$35,8,0)</f>
        <v>0</v>
      </c>
      <c r="G24" s="154">
        <f>VLOOKUP(C24,CAPA!$C$36:$I$74,2,0)</f>
        <v>0</v>
      </c>
      <c r="H24" s="154">
        <v>0</v>
      </c>
    </row>
    <row r="25" spans="2:8" x14ac:dyDescent="0.3">
      <c r="B25" s="152" t="s">
        <v>563</v>
      </c>
      <c r="C25" s="152" t="s">
        <v>479</v>
      </c>
      <c r="D25" s="153" t="str">
        <f>VLOOKUP(C25,Tabela!$A$2:$H$35,3,0)</f>
        <v>FLAT</v>
      </c>
      <c r="E25" s="159">
        <f>IF(Tabela!E14&gt;0,,IF(Tabela!F14&gt;0,,VLOOKUP(C25,Tabela!$A$2:$H$35,7,0)))</f>
        <v>0</v>
      </c>
      <c r="F25" s="154">
        <f>VLOOKUP(C25,Tabela!$A$2:$H$35,8,0)</f>
        <v>71.12</v>
      </c>
      <c r="G25" s="154">
        <f>VLOOKUP(C25,CAPA!$C$36:$I$74,2,0)</f>
        <v>0</v>
      </c>
      <c r="H25" s="154">
        <v>0</v>
      </c>
    </row>
    <row r="26" spans="2:8" x14ac:dyDescent="0.3">
      <c r="B26" s="152" t="s">
        <v>563</v>
      </c>
      <c r="C26" s="152" t="s">
        <v>461</v>
      </c>
      <c r="D26" s="153" t="str">
        <f>VLOOKUP(C26,Tabela!$A$2:$H$35,3,0)</f>
        <v>FLAT</v>
      </c>
      <c r="E26" s="159">
        <f>IF(Tabela!E15&gt;0,,IF(Tabela!F15&gt;0,,VLOOKUP(C26,Tabela!$A$2:$H$35,7,0)))</f>
        <v>0</v>
      </c>
      <c r="F26" s="154">
        <f>VLOOKUP(C26,Tabela!$A$2:$H$35,8,0)</f>
        <v>29.3</v>
      </c>
      <c r="G26" s="154" t="e">
        <f>VLOOKUP(C26,CAPA!$C$36:$I$74,2,0)</f>
        <v>#N/A</v>
      </c>
      <c r="H26" s="154">
        <v>0</v>
      </c>
    </row>
    <row r="27" spans="2:8" x14ac:dyDescent="0.3">
      <c r="B27" s="152" t="s">
        <v>563</v>
      </c>
      <c r="C27" s="152" t="s">
        <v>462</v>
      </c>
      <c r="D27" s="153" t="str">
        <f>VLOOKUP(C27,Tabela!$A$2:$H$35,3,0)</f>
        <v>FLAT</v>
      </c>
      <c r="E27" s="159">
        <f>IF(Tabela!E16&gt;0,,IF(Tabela!F16&gt;0,,VLOOKUP(C27,Tabela!$A$2:$H$35,7,0)))</f>
        <v>0</v>
      </c>
      <c r="F27" s="154">
        <f>VLOOKUP(C27,Tabela!$A$2:$H$35,8,0)</f>
        <v>0</v>
      </c>
      <c r="G27" s="154">
        <f>VLOOKUP(C27,CAPA!$C$36:$I$74,2,0)</f>
        <v>0</v>
      </c>
      <c r="H27" s="154">
        <f>F27*96</f>
        <v>0</v>
      </c>
    </row>
    <row r="28" spans="2:8" x14ac:dyDescent="0.3">
      <c r="B28" s="152" t="s">
        <v>563</v>
      </c>
      <c r="C28" s="152" t="s">
        <v>437</v>
      </c>
      <c r="D28" s="153" t="str">
        <f>VLOOKUP(C28,Tabela!$A$2:$H$35,3,0)</f>
        <v>MENSAL</v>
      </c>
      <c r="E28" s="159">
        <f>IF(Tabela!E17&gt;0,,IF(Tabela!F17&gt;0,,VLOOKUP(C28,Tabela!$A$2:$H$35,7,0)))</f>
        <v>0</v>
      </c>
      <c r="F28" s="154">
        <f>VLOOKUP(C28,Tabela!$A$2:$H$35,8,0)</f>
        <v>66.400000000000006</v>
      </c>
      <c r="G28" s="154">
        <f>VLOOKUP(C28,CAPA!$C$36:$I$74,2,0)</f>
        <v>0</v>
      </c>
      <c r="H28" s="154">
        <f>F28*prazo_op</f>
        <v>0</v>
      </c>
    </row>
    <row r="29" spans="2:8" x14ac:dyDescent="0.3">
      <c r="B29" s="152" t="s">
        <v>563</v>
      </c>
      <c r="C29" s="152" t="s">
        <v>438</v>
      </c>
      <c r="D29" s="153" t="str">
        <f>VLOOKUP(C29,Tabela!$A$2:$H$35,3,0)</f>
        <v>MENSAL</v>
      </c>
      <c r="E29" s="159">
        <f>IF(Tabela!E18&gt;0,,IF(Tabela!F18&gt;0,,VLOOKUP(C29,Tabela!$A$2:$H$35,7,0)))</f>
        <v>0</v>
      </c>
      <c r="F29" s="154">
        <f>VLOOKUP(C29,Tabela!$A$2:$H$35,8,0)</f>
        <v>44.2</v>
      </c>
      <c r="G29" s="154">
        <f>VLOOKUP(C29,CAPA!$C$36:$I$74,2,0)</f>
        <v>0</v>
      </c>
      <c r="H29" s="154">
        <f>F29*prazo_op</f>
        <v>0</v>
      </c>
    </row>
    <row r="30" spans="2:8" x14ac:dyDescent="0.3">
      <c r="B30" s="152" t="s">
        <v>563</v>
      </c>
      <c r="C30" s="152" t="s">
        <v>463</v>
      </c>
      <c r="D30" s="153" t="str">
        <f>VLOOKUP(C30,Tabela!$A$2:$H$35,3,0)</f>
        <v>FLAT</v>
      </c>
      <c r="E30" s="159">
        <f>IF(Tabela!E19&gt;0,,IF(Tabela!F19&gt;0,,VLOOKUP(C30,Tabela!$A$2:$H$35,7,0)))</f>
        <v>1.166E-5</v>
      </c>
      <c r="F30" s="154">
        <f>VLOOKUP(C30,Tabela!$A$2:$H$35,8,0)</f>
        <v>0</v>
      </c>
      <c r="G30" s="154">
        <f>VLOOKUP(C30,CAPA!$C$36:$I$74,2,0)</f>
        <v>0</v>
      </c>
      <c r="H30" s="154">
        <v>0</v>
      </c>
    </row>
    <row r="31" spans="2:8" x14ac:dyDescent="0.3">
      <c r="B31" s="152" t="s">
        <v>537</v>
      </c>
      <c r="C31" s="152" t="s">
        <v>489</v>
      </c>
      <c r="D31" s="153" t="str">
        <f>VLOOKUP(C31,Tabela!$A$2:$H$35,3,0)</f>
        <v>MENSAL</v>
      </c>
      <c r="E31" s="159">
        <f>IF(Tabela!E20&gt;0,,IF(Tabela!F20&gt;0,,VLOOKUP(C31,Tabela!$A$2:$H$35,7,0)))</f>
        <v>0</v>
      </c>
      <c r="F31" s="154">
        <f>VLOOKUP(C31,Tabela!$A$2:$H$35,8,0)</f>
        <v>1000</v>
      </c>
      <c r="G31" s="154">
        <f>VLOOKUP(C31,CAPA!$C$36:$I$74,2,0)</f>
        <v>0</v>
      </c>
      <c r="H31" s="154">
        <f>F31*prazo_op</f>
        <v>0</v>
      </c>
    </row>
    <row r="32" spans="2:8" x14ac:dyDescent="0.3">
      <c r="B32" s="152" t="s">
        <v>537</v>
      </c>
      <c r="C32" s="152" t="s">
        <v>12</v>
      </c>
      <c r="D32" s="153" t="str">
        <f>VLOOKUP(C32,Tabela!$A$2:$H$35,3,0)</f>
        <v>FLAT</v>
      </c>
      <c r="E32" s="159">
        <f>IF(Tabela!E21&gt;0,,IF(Tabela!F21&gt;0,,VLOOKUP(C32,Tabela!$A$2:$H$35,7,0)))</f>
        <v>0.03</v>
      </c>
      <c r="F32" s="154">
        <f>VLOOKUP(C32,Tabela!$A$2:$H$35,8,0)</f>
        <v>0</v>
      </c>
      <c r="G32" s="154">
        <f>VLOOKUP(C32,CAPA!$C$36:$I$74,2,0)</f>
        <v>0</v>
      </c>
      <c r="H32" s="154">
        <v>0</v>
      </c>
    </row>
    <row r="33" spans="2:8" x14ac:dyDescent="0.3">
      <c r="B33" s="152" t="s">
        <v>562</v>
      </c>
      <c r="C33" s="152" t="s">
        <v>435</v>
      </c>
      <c r="D33" s="153" t="str">
        <f>VLOOKUP(C33,Tabela!$A$2:$H$35,3,0)</f>
        <v>FLAT</v>
      </c>
      <c r="E33" s="159">
        <f>IF(Tabela!E22&gt;0,,IF(Tabela!F22&gt;0,,VLOOKUP(C33,Tabela!$A$2:$H$35,7,0)))</f>
        <v>0</v>
      </c>
      <c r="F33" s="154">
        <f>VLOOKUP(C33,Tabela!$A$2:$H$35,8,0)</f>
        <v>5975.8575355563526</v>
      </c>
      <c r="G33" s="154">
        <f>VLOOKUP(C33,CAPA!$C$36:$I$74,2,0)</f>
        <v>0</v>
      </c>
      <c r="H33" s="154">
        <v>0</v>
      </c>
    </row>
    <row r="34" spans="2:8" x14ac:dyDescent="0.3">
      <c r="B34" s="152" t="s">
        <v>562</v>
      </c>
      <c r="C34" s="152" t="s">
        <v>11</v>
      </c>
      <c r="D34" s="153" t="str">
        <f>VLOOKUP(C34,Tabela!$A$2:$H$35,3,0)</f>
        <v>ANUAL</v>
      </c>
      <c r="E34" s="159">
        <f>IF(Tabela!E23&gt;0,,IF(Tabela!F23&gt;0,,VLOOKUP(C34,Tabela!$A$2:$H$35,7,0)))</f>
        <v>0</v>
      </c>
      <c r="F34" s="154">
        <f>VLOOKUP(C34,Tabela!$A$2:$H$35,8,0)</f>
        <v>3585.5145213338114</v>
      </c>
      <c r="G34" s="154">
        <f>VLOOKUP(C34,CAPA!$C$36:$I$74,2,0)</f>
        <v>0</v>
      </c>
      <c r="H34" s="154">
        <f>F34*(prazo_op/12)</f>
        <v>0</v>
      </c>
    </row>
    <row r="35" spans="2:8" x14ac:dyDescent="0.3">
      <c r="B35" s="152" t="s">
        <v>39</v>
      </c>
      <c r="C35" s="152" t="s">
        <v>436</v>
      </c>
      <c r="D35" s="153" t="str">
        <f>VLOOKUP(C35,Tabela!$A$2:$H$35,3,0)</f>
        <v>FLAT</v>
      </c>
      <c r="E35" s="159">
        <f>IF(Tabela!E24&gt;0,,IF(Tabela!F24&gt;0,,VLOOKUP(C35,Tabela!$A$2:$H$35,7,0)))</f>
        <v>0</v>
      </c>
      <c r="F35" s="154">
        <f>VLOOKUP(C35,Tabela!$A$2:$H$35,8,0)</f>
        <v>0</v>
      </c>
      <c r="G35" s="154">
        <f>VLOOKUP(C35,CAPA!$C$36:$I$74,2,0)</f>
        <v>0</v>
      </c>
      <c r="H35" s="154">
        <v>0</v>
      </c>
    </row>
    <row r="36" spans="2:8" x14ac:dyDescent="0.3">
      <c r="B36" s="152" t="s">
        <v>562</v>
      </c>
      <c r="C36" s="152" t="s">
        <v>450</v>
      </c>
      <c r="D36" s="153" t="str">
        <f>VLOOKUP(C36,Tabela!$A$2:$H$35,3,0)</f>
        <v>MENSAL</v>
      </c>
      <c r="E36" s="159">
        <f>IF(Tabela!E25&gt;0,,IF(Tabela!F25&gt;0,,VLOOKUP(C36,Tabela!$A$2:$H$35,7,0)))</f>
        <v>0</v>
      </c>
      <c r="F36" s="154">
        <f>VLOOKUP(C36,Tabela!$A$2:$H$35,8,0)</f>
        <v>300</v>
      </c>
      <c r="G36" s="154">
        <f>VLOOKUP(C36,CAPA!$C$36:$I$74,2,0)</f>
        <v>0</v>
      </c>
      <c r="H36" s="154">
        <f>F36*prazo_op</f>
        <v>0</v>
      </c>
    </row>
    <row r="37" spans="2:8" x14ac:dyDescent="0.3">
      <c r="B37" s="152" t="s">
        <v>562</v>
      </c>
      <c r="C37" s="152" t="s">
        <v>472</v>
      </c>
      <c r="D37" s="153" t="str">
        <f>VLOOKUP(C37,Tabela!$A$2:$H$35,3,0)</f>
        <v>FLAT</v>
      </c>
      <c r="E37" s="159">
        <f>IF(Tabela!E26&gt;0,,IF(Tabela!F26&gt;0,,VLOOKUP(C37,Tabela!$A$2:$H$35,7,0)))</f>
        <v>0</v>
      </c>
      <c r="F37" s="154">
        <f>VLOOKUP(C37,Tabela!$A$2:$H$35,8,0)</f>
        <v>2500</v>
      </c>
      <c r="G37" s="154">
        <f>VLOOKUP(C37,CAPA!$C$36:$I$74,2,0)</f>
        <v>0</v>
      </c>
      <c r="H37" s="154">
        <v>0</v>
      </c>
    </row>
    <row r="38" spans="2:8" x14ac:dyDescent="0.3">
      <c r="B38" s="152" t="s">
        <v>562</v>
      </c>
      <c r="C38" s="152" t="s">
        <v>14</v>
      </c>
      <c r="D38" s="153" t="str">
        <f>VLOOKUP(C38,Tabela!$A$2:$H$35,3,0)</f>
        <v>TRIMESTRAL</v>
      </c>
      <c r="E38" s="159">
        <f>IF(Tabela!E27&gt;0,,IF(Tabela!F27&gt;0,,VLOOKUP(C38,Tabela!$A$2:$H$35,7,0)))</f>
        <v>0</v>
      </c>
      <c r="F38" s="154">
        <f>VLOOKUP(C38,Tabela!$A$2:$H$35,8,0)</f>
        <v>4780.6860284450822</v>
      </c>
      <c r="G38" s="154">
        <f>VLOOKUP(C38,CAPA!$C$36:$I$74,2,0)</f>
        <v>0</v>
      </c>
      <c r="H38" s="154">
        <f>F38*(prazo_op/3)</f>
        <v>0</v>
      </c>
    </row>
    <row r="39" spans="2:8" x14ac:dyDescent="0.3">
      <c r="B39" s="152" t="s">
        <v>537</v>
      </c>
      <c r="C39" s="152" t="s">
        <v>442</v>
      </c>
      <c r="D39" s="153" t="str">
        <f>VLOOKUP(C39,Tabela!$A$2:$H$35,3,0)</f>
        <v>FLAT</v>
      </c>
      <c r="E39" s="159">
        <f>IF(Tabela!E28&gt;0,,IF(Tabela!F28&gt;0,,VLOOKUP(C39,Tabela!$A$2:$H$35,7,0)))</f>
        <v>0</v>
      </c>
      <c r="F39" s="154">
        <f>VLOOKUP(C39,Tabela!$A$2:$H$35,8,0)</f>
        <v>50000</v>
      </c>
      <c r="G39" s="154">
        <f>VLOOKUP(C39,CAPA!$C$36:$I$74,2,0)</f>
        <v>0</v>
      </c>
      <c r="H39" s="154">
        <v>0</v>
      </c>
    </row>
    <row r="40" spans="2:8" x14ac:dyDescent="0.3">
      <c r="B40" s="152" t="s">
        <v>537</v>
      </c>
      <c r="C40" s="152" t="s">
        <v>440</v>
      </c>
      <c r="D40" s="153" t="str">
        <f>VLOOKUP(C40,Tabela!$A$2:$H$35,3,0)</f>
        <v>FLAT</v>
      </c>
      <c r="E40" s="159">
        <f>IF(Tabela!E29&gt;0,,IF(Tabela!F29&gt;0,,VLOOKUP(C40,Tabela!$A$2:$H$35,7,0)))</f>
        <v>0</v>
      </c>
      <c r="F40" s="154">
        <f>VLOOKUP(C40,Tabela!$A$2:$H$35,8,0)</f>
        <v>35000</v>
      </c>
      <c r="G40" s="154">
        <f>VLOOKUP(C40,CAPA!$C$36:$I$74,2,0)</f>
        <v>0</v>
      </c>
      <c r="H40" s="154">
        <v>0</v>
      </c>
    </row>
    <row r="41" spans="2:8" x14ac:dyDescent="0.3">
      <c r="B41" s="152" t="s">
        <v>537</v>
      </c>
      <c r="C41" s="152" t="s">
        <v>456</v>
      </c>
      <c r="D41" s="153" t="str">
        <f>VLOOKUP(C41,Tabela!$A$2:$H$35,3,0)</f>
        <v>ANUAL</v>
      </c>
      <c r="E41" s="159">
        <f>IF(Tabela!E30&gt;0,,IF(Tabela!F30&gt;0,,VLOOKUP(C41,Tabela!$A$2:$H$35,7,0)))</f>
        <v>0</v>
      </c>
      <c r="F41" s="154">
        <f>VLOOKUP(C41,Tabela!$A$2:$H$35,8,0)</f>
        <v>15000</v>
      </c>
      <c r="G41" s="154">
        <f>VLOOKUP(C41,CAPA!$C$36:$I$74,2,0)</f>
        <v>0</v>
      </c>
      <c r="H41" s="154">
        <f>F41*(prazo_op/12)</f>
        <v>0</v>
      </c>
    </row>
    <row r="42" spans="2:8" x14ac:dyDescent="0.3">
      <c r="B42" s="152" t="s">
        <v>560</v>
      </c>
      <c r="C42" s="152" t="s">
        <v>38</v>
      </c>
      <c r="D42" s="153" t="str">
        <f>VLOOKUP(C42,Tabela!$A$2:$H$35,3,0)</f>
        <v>FLAT</v>
      </c>
      <c r="E42" s="159">
        <f>IF(Tabela!E31&gt;0,,IF(Tabela!F31&gt;0,,VLOOKUP(C42,Tabela!$A$2:$H$35,7,0)))</f>
        <v>0</v>
      </c>
      <c r="F42" s="154">
        <f>VLOOKUP(C42,Tabela!$A$2:$H$35,8,0)</f>
        <v>200000</v>
      </c>
      <c r="G42" s="154">
        <f>VLOOKUP(C42,CAPA!$C$36:$I$74,2,0)</f>
        <v>0</v>
      </c>
      <c r="H42" s="154">
        <v>0</v>
      </c>
    </row>
    <row r="43" spans="2:8" x14ac:dyDescent="0.3">
      <c r="C43" s="152" t="s">
        <v>48</v>
      </c>
      <c r="D43" s="153" t="str">
        <f>VLOOKUP(C43,Tabela!$A$2:$H$35,3,0)</f>
        <v>FLAT</v>
      </c>
      <c r="E43" s="159">
        <f>IF(Tabela!E32&gt;0,,IF(Tabela!F32&gt;0,,VLOOKUP(C43,Tabela!$A$2:$H$35,7,0)))</f>
        <v>0.03</v>
      </c>
      <c r="F43" s="154">
        <f>VLOOKUP(C43,Tabela!$A$2:$H$35,8,0)</f>
        <v>0</v>
      </c>
      <c r="G43" s="154">
        <f>VLOOKUP(C43,CAPA!$C$36:$I$74,2,0)</f>
        <v>0</v>
      </c>
      <c r="H43" s="154">
        <v>0</v>
      </c>
    </row>
    <row r="44" spans="2:8" x14ac:dyDescent="0.3">
      <c r="B44" s="152" t="s">
        <v>560</v>
      </c>
      <c r="C44" s="158" t="s">
        <v>439</v>
      </c>
      <c r="D44" s="153" t="str">
        <f>VLOOKUP(C44,Tabela!$A$2:$H$35,3,0)</f>
        <v>MENSAL</v>
      </c>
      <c r="E44" s="159">
        <f>IF(Tabela!E33&gt;0,,IF(Tabela!F33&gt;0,,VLOOKUP(C44,Tabela!$A$2:$H$35,7,0)))</f>
        <v>0</v>
      </c>
      <c r="F44" s="154">
        <f>VLOOKUP(C44,Tabela!$A$2:$H$35,8,0)</f>
        <v>3000</v>
      </c>
      <c r="G44" s="154">
        <f>VLOOKUP(C44,CAPA!$C$36:$I$74,2,0)</f>
        <v>0</v>
      </c>
      <c r="H44" s="154">
        <f>F44*prazo_op</f>
        <v>0</v>
      </c>
    </row>
    <row r="45" spans="2:8" x14ac:dyDescent="0.3">
      <c r="B45" s="152" t="s">
        <v>537</v>
      </c>
      <c r="C45" s="158" t="s">
        <v>525</v>
      </c>
      <c r="D45" s="153" t="str">
        <f>VLOOKUP(C45,Tabela!$A$2:$H$35,3,0)</f>
        <v>MENSAL/CLIENTE</v>
      </c>
      <c r="E45" s="159">
        <f>IF(Tabela!E34&gt;0,,IF(Tabela!F34&gt;0,,VLOOKUP(C45,Tabela!$A$2:$H$35,7,0)))</f>
        <v>0</v>
      </c>
      <c r="F45" s="154">
        <f>VLOOKUP(C45,Tabela!$A$2:$H$35,8,0)</f>
        <v>30</v>
      </c>
      <c r="G45" s="154">
        <f>VLOOKUP(C45,CAPA!$C$36:$I$74,2,0)</f>
        <v>0</v>
      </c>
      <c r="H45" s="154">
        <f>F45*prazo_op*nm_elegíveis</f>
        <v>0</v>
      </c>
    </row>
    <row r="46" spans="2:8" x14ac:dyDescent="0.3">
      <c r="B46" s="152" t="s">
        <v>537</v>
      </c>
      <c r="C46" s="158" t="s">
        <v>527</v>
      </c>
      <c r="D46" s="153" t="str">
        <f>VLOOKUP(C46,Tabela!$A$2:$H$35,3,0)</f>
        <v>FLAT</v>
      </c>
      <c r="E46" s="159">
        <f>IF(Tabela!E35&gt;0,,IF(Tabela!F35&gt;0,,VLOOKUP(C46,Tabela!$A$2:$H$35,7,0)))</f>
        <v>0</v>
      </c>
      <c r="F46" s="154">
        <f>VLOOKUP(C46,Tabela!$A$2:$H$35,8,0)</f>
        <v>0</v>
      </c>
      <c r="G46" s="154">
        <f>VLOOKUP(C46,CAPA!$C$36:$I$74,2,0)</f>
        <v>0</v>
      </c>
      <c r="H46" s="154">
        <v>0</v>
      </c>
    </row>
    <row r="47" spans="2:8" x14ac:dyDescent="0.3">
      <c r="B47" s="176" t="s">
        <v>570</v>
      </c>
      <c r="C47" s="177"/>
      <c r="D47" s="177"/>
      <c r="E47" s="177"/>
      <c r="F47" s="178"/>
      <c r="G47" s="155" t="e">
        <f>SUM(G18:G43)</f>
        <v>#N/A</v>
      </c>
      <c r="H47" s="155" t="e">
        <f>SUM(H18:H43)</f>
        <v>#N/A</v>
      </c>
    </row>
    <row r="49" spans="2:2" x14ac:dyDescent="0.3">
      <c r="B49" s="156" t="s">
        <v>571</v>
      </c>
    </row>
    <row r="50" spans="2:2" x14ac:dyDescent="0.3">
      <c r="B50" s="156" t="s">
        <v>572</v>
      </c>
    </row>
    <row r="51" spans="2:2" x14ac:dyDescent="0.3">
      <c r="B51" s="157" t="s">
        <v>573</v>
      </c>
    </row>
  </sheetData>
  <autoFilter ref="B12:H47"/>
  <mergeCells count="2">
    <mergeCell ref="B2:H2"/>
    <mergeCell ref="B47:F47"/>
  </mergeCells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C1:W75"/>
  <sheetViews>
    <sheetView showGridLines="0" topLeftCell="B10" zoomScale="70" zoomScaleNormal="70" workbookViewId="0">
      <selection activeCell="T48" sqref="T48:U48"/>
    </sheetView>
  </sheetViews>
  <sheetFormatPr defaultRowHeight="14.25" x14ac:dyDescent="0.2"/>
  <cols>
    <col min="1" max="1" width="9" style="3" customWidth="1"/>
    <col min="2" max="2" width="8.875" style="3" customWidth="1"/>
    <col min="3" max="4" width="9" style="3" customWidth="1"/>
    <col min="5" max="5" width="10.125" style="3" bestFit="1" customWidth="1"/>
    <col min="6" max="13" width="9" style="3"/>
    <col min="14" max="14" width="9.875" style="3" bestFit="1" customWidth="1"/>
    <col min="15" max="17" width="9" style="3"/>
    <col min="18" max="18" width="10.125" style="3" bestFit="1" customWidth="1"/>
    <col min="19" max="22" width="9" style="3"/>
    <col min="23" max="23" width="8.25" style="3" customWidth="1"/>
    <col min="24" max="16384" width="9" style="3"/>
  </cols>
  <sheetData>
    <row r="1" spans="3:23" ht="15" thickBot="1" x14ac:dyDescent="0.25"/>
    <row r="2" spans="3:23" ht="26.25" x14ac:dyDescent="0.2">
      <c r="C2" s="7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9"/>
    </row>
    <row r="3" spans="3:23" ht="26.25" x14ac:dyDescent="0.2">
      <c r="C3" s="10"/>
      <c r="D3" s="11"/>
      <c r="E3" s="11"/>
      <c r="F3" s="12"/>
      <c r="G3" s="11"/>
      <c r="H3" s="12"/>
      <c r="I3" s="11"/>
      <c r="K3" s="11"/>
      <c r="L3" s="11" t="s">
        <v>65</v>
      </c>
      <c r="M3" s="11"/>
      <c r="N3" s="11"/>
      <c r="O3" s="11"/>
      <c r="P3" s="11"/>
      <c r="Q3" s="11"/>
      <c r="R3" s="203">
        <f ca="1">TODAY()</f>
        <v>42964</v>
      </c>
      <c r="S3" s="203"/>
      <c r="T3" s="203"/>
      <c r="U3" s="13"/>
    </row>
    <row r="4" spans="3:23" ht="27" thickBot="1" x14ac:dyDescent="0.25"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6"/>
    </row>
    <row r="6" spans="3:23" x14ac:dyDescent="0.2">
      <c r="C6" s="204" t="s">
        <v>482</v>
      </c>
      <c r="D6" s="204"/>
      <c r="E6" s="204"/>
      <c r="F6" s="204"/>
      <c r="H6" s="204" t="s">
        <v>66</v>
      </c>
      <c r="I6" s="204"/>
      <c r="J6" s="204"/>
      <c r="K6" s="204"/>
      <c r="L6" s="17"/>
      <c r="M6" s="204" t="s">
        <v>63</v>
      </c>
      <c r="N6" s="204"/>
      <c r="O6" s="204"/>
      <c r="P6" s="204"/>
      <c r="Q6" s="17"/>
      <c r="R6" s="204" t="s">
        <v>64</v>
      </c>
      <c r="S6" s="204"/>
      <c r="T6" s="204"/>
      <c r="U6" s="204"/>
    </row>
    <row r="7" spans="3:23" x14ac:dyDescent="0.2">
      <c r="C7" s="208">
        <f>tx_lastro</f>
        <v>0.12683</v>
      </c>
      <c r="D7" s="208"/>
      <c r="E7" s="208"/>
      <c r="F7" s="208"/>
      <c r="H7" s="185" t="s">
        <v>67</v>
      </c>
      <c r="I7" s="185"/>
      <c r="J7" s="185"/>
      <c r="K7" s="185"/>
      <c r="L7" s="17"/>
      <c r="M7" s="185">
        <v>476</v>
      </c>
      <c r="N7" s="185"/>
      <c r="O7" s="185"/>
      <c r="P7" s="185"/>
      <c r="Q7" s="17"/>
      <c r="R7" s="205" t="str">
        <f>op_tipo</f>
        <v>Corporativo</v>
      </c>
      <c r="S7" s="206"/>
      <c r="T7" s="206"/>
      <c r="U7" s="206"/>
    </row>
    <row r="8" spans="3:23" ht="15" thickBot="1" x14ac:dyDescent="0.25"/>
    <row r="9" spans="3:23" x14ac:dyDescent="0.2"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</row>
    <row r="10" spans="3:23" ht="15" x14ac:dyDescent="0.2">
      <c r="C10" s="212" t="s">
        <v>74</v>
      </c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</row>
    <row r="11" spans="3:23" x14ac:dyDescent="0.2"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3:23" x14ac:dyDescent="0.2"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3:23" x14ac:dyDescent="0.2"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3:23" x14ac:dyDescent="0.2"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3:23" x14ac:dyDescent="0.2"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3:23" x14ac:dyDescent="0.2"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W16" s="19"/>
    </row>
    <row r="17" spans="3:23" x14ac:dyDescent="0.2"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W17" s="116"/>
    </row>
    <row r="18" spans="3:23" x14ac:dyDescent="0.2"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3:23" x14ac:dyDescent="0.2"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3:23" x14ac:dyDescent="0.2"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3:23" x14ac:dyDescent="0.2"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3:23" x14ac:dyDescent="0.2"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3:23" x14ac:dyDescent="0.2"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3:23" x14ac:dyDescent="0.2">
      <c r="C24" s="200" t="s">
        <v>60</v>
      </c>
      <c r="D24" s="200"/>
      <c r="E24" s="200"/>
      <c r="F24" s="200"/>
      <c r="G24" s="92"/>
      <c r="H24" s="200" t="s">
        <v>8</v>
      </c>
      <c r="I24" s="200"/>
      <c r="J24" s="200"/>
      <c r="K24" s="200"/>
      <c r="L24" s="92"/>
      <c r="M24" s="200" t="s">
        <v>58</v>
      </c>
      <c r="N24" s="200"/>
      <c r="O24" s="200"/>
      <c r="P24" s="200"/>
      <c r="Q24" s="92"/>
      <c r="R24" s="200" t="s">
        <v>59</v>
      </c>
      <c r="S24" s="200"/>
      <c r="T24" s="200"/>
      <c r="U24" s="200"/>
    </row>
    <row r="25" spans="3:23" x14ac:dyDescent="0.2">
      <c r="C25" s="185" t="s">
        <v>44</v>
      </c>
      <c r="D25" s="185"/>
      <c r="E25" s="201">
        <f>dt_emissão</f>
        <v>42993</v>
      </c>
      <c r="F25" s="201"/>
      <c r="G25" s="87"/>
      <c r="H25" s="185" t="s">
        <v>7</v>
      </c>
      <c r="I25" s="185"/>
      <c r="J25" s="184">
        <f>sd_se</f>
        <v>0</v>
      </c>
      <c r="K25" s="184"/>
      <c r="L25" s="87"/>
      <c r="M25" s="185" t="s">
        <v>7</v>
      </c>
      <c r="N25" s="185"/>
      <c r="O25" s="184">
        <f>sd_subp</f>
        <v>0</v>
      </c>
      <c r="P25" s="184"/>
      <c r="Q25" s="87"/>
      <c r="R25" s="185" t="s">
        <v>7</v>
      </c>
      <c r="S25" s="185"/>
      <c r="T25" s="184">
        <f>sd_sub</f>
        <v>0</v>
      </c>
      <c r="U25" s="184"/>
    </row>
    <row r="26" spans="3:23" x14ac:dyDescent="0.2">
      <c r="C26" s="185" t="s">
        <v>19</v>
      </c>
      <c r="D26" s="185"/>
      <c r="E26" s="201">
        <f>dt_aniversário</f>
        <v>43023</v>
      </c>
      <c r="F26" s="201"/>
      <c r="G26" s="87"/>
      <c r="H26" s="185" t="s">
        <v>6</v>
      </c>
      <c r="I26" s="185"/>
      <c r="J26" s="186">
        <f>tx_se</f>
        <v>0.2</v>
      </c>
      <c r="K26" s="186"/>
      <c r="L26" s="87"/>
      <c r="M26" s="185" t="s">
        <v>6</v>
      </c>
      <c r="N26" s="185"/>
      <c r="O26" s="186">
        <f>tx_subp</f>
        <v>0</v>
      </c>
      <c r="P26" s="186"/>
      <c r="Q26" s="87"/>
      <c r="R26" s="185" t="s">
        <v>6</v>
      </c>
      <c r="S26" s="185"/>
      <c r="T26" s="186">
        <f>tx_sub</f>
        <v>0</v>
      </c>
      <c r="U26" s="186"/>
    </row>
    <row r="27" spans="3:23" x14ac:dyDescent="0.2">
      <c r="C27" s="185" t="s">
        <v>47</v>
      </c>
      <c r="D27" s="185"/>
      <c r="E27" s="201">
        <f>dt_pagamento</f>
        <v>43023</v>
      </c>
      <c r="F27" s="201"/>
      <c r="G27" s="87"/>
      <c r="H27" s="185" t="s">
        <v>2</v>
      </c>
      <c r="I27" s="185"/>
      <c r="J27" s="185">
        <f>prazo_se</f>
        <v>0</v>
      </c>
      <c r="K27" s="185"/>
      <c r="L27" s="87"/>
      <c r="M27" s="185" t="s">
        <v>2</v>
      </c>
      <c r="N27" s="185"/>
      <c r="O27" s="185">
        <f>prazo_subp</f>
        <v>0</v>
      </c>
      <c r="P27" s="185"/>
      <c r="Q27" s="87"/>
      <c r="R27" s="185" t="s">
        <v>2</v>
      </c>
      <c r="S27" s="185"/>
      <c r="T27" s="185">
        <f>prazo_sub</f>
        <v>120</v>
      </c>
      <c r="U27" s="185"/>
    </row>
    <row r="28" spans="3:23" x14ac:dyDescent="0.2">
      <c r="C28" s="185" t="s">
        <v>20</v>
      </c>
      <c r="D28" s="185"/>
      <c r="E28" s="201">
        <f>dt_vencimento</f>
        <v>42993</v>
      </c>
      <c r="F28" s="201"/>
      <c r="G28" s="87"/>
      <c r="H28" s="185" t="s">
        <v>5</v>
      </c>
      <c r="I28" s="185"/>
      <c r="J28" s="187">
        <f>IFERROR(TRUNC(SUMPRODUCT(ESTRUTURA!A12:A371,ESTRUTURA!U12:U371)/sd_se/12,1),0)</f>
        <v>0</v>
      </c>
      <c r="K28" s="187"/>
      <c r="L28" s="87"/>
      <c r="M28" s="185" t="s">
        <v>5</v>
      </c>
      <c r="N28" s="185"/>
      <c r="O28" s="187">
        <f>IFERROR(TRUNC(SUMPRODUCT(ESTRUTURA!A12:A371,ESTRUTURA!AB12:AB371)/sd_subp/12,2),0)</f>
        <v>0</v>
      </c>
      <c r="P28" s="187"/>
      <c r="Q28" s="87"/>
      <c r="R28" s="185" t="s">
        <v>5</v>
      </c>
      <c r="S28" s="185"/>
      <c r="T28" s="187">
        <f>IFERROR(TRUNC(SUMPRODUCT(ESTRUTURA!A12:A371,ESTRUTURA!AH12:AH371)/sd_sub/12,2),0)</f>
        <v>0</v>
      </c>
      <c r="U28" s="187"/>
    </row>
    <row r="29" spans="3:23" x14ac:dyDescent="0.2">
      <c r="C29" s="185" t="s">
        <v>61</v>
      </c>
      <c r="D29" s="185"/>
      <c r="E29" s="185">
        <f>prazo_op</f>
        <v>0</v>
      </c>
      <c r="F29" s="185"/>
      <c r="G29" s="87"/>
      <c r="H29" s="185" t="s">
        <v>73</v>
      </c>
      <c r="I29" s="185"/>
      <c r="J29" s="187">
        <f>IFERROR(TRUNC(SUMPRODUCT(ESTRUTURA!A12:A371,ESTRUTURA!Q12:Q371)/SUM(ESTRUTURA!Q12:Q371)/12,1),0)</f>
        <v>0</v>
      </c>
      <c r="K29" s="187"/>
      <c r="L29" s="87"/>
      <c r="M29" s="185" t="s">
        <v>73</v>
      </c>
      <c r="N29" s="185"/>
      <c r="O29" s="187">
        <f>IFERROR(TRUNC(SUMPRODUCT(ESTRUTURA!A12:A371,ESTRUTURA!X12:X371)/SUM(ESTRUTURA!X12:X371)/12,2),0)</f>
        <v>0</v>
      </c>
      <c r="P29" s="187"/>
      <c r="Q29" s="87"/>
      <c r="R29" s="185" t="s">
        <v>73</v>
      </c>
      <c r="S29" s="185"/>
      <c r="T29" s="187">
        <f>IFERROR(TRUNC(SUMPRODUCT(ESTRUTURA!A12:A371,ESTRUTURA!AD12:AD371)/SUM(ESTRUTURA!AD12:AD371)/12,2),0)</f>
        <v>0</v>
      </c>
      <c r="U29" s="187"/>
    </row>
    <row r="30" spans="3:23" x14ac:dyDescent="0.2">
      <c r="C30" s="185" t="s">
        <v>62</v>
      </c>
      <c r="D30" s="185"/>
      <c r="E30" s="185">
        <f>E28-E25</f>
        <v>0</v>
      </c>
      <c r="F30" s="185"/>
      <c r="G30" s="87"/>
      <c r="H30" s="185" t="s">
        <v>45</v>
      </c>
      <c r="I30" s="185"/>
      <c r="J30" s="185">
        <f>carência_se</f>
        <v>0</v>
      </c>
      <c r="K30" s="185"/>
      <c r="L30" s="87"/>
      <c r="M30" s="185" t="s">
        <v>45</v>
      </c>
      <c r="N30" s="185"/>
      <c r="O30" s="185">
        <f>carência_subp</f>
        <v>0</v>
      </c>
      <c r="P30" s="185"/>
      <c r="Q30" s="87"/>
      <c r="R30" s="185" t="s">
        <v>45</v>
      </c>
      <c r="S30" s="185"/>
      <c r="T30" s="185">
        <f>carência_sub</f>
        <v>0</v>
      </c>
      <c r="U30" s="185"/>
    </row>
    <row r="31" spans="3:23" x14ac:dyDescent="0.2">
      <c r="C31" s="87"/>
      <c r="D31" s="87"/>
      <c r="E31" s="87"/>
      <c r="F31" s="87"/>
      <c r="G31" s="87"/>
      <c r="H31" s="185" t="s">
        <v>49</v>
      </c>
      <c r="I31" s="185"/>
      <c r="J31" s="186">
        <f>per_se</f>
        <v>0</v>
      </c>
      <c r="K31" s="186"/>
      <c r="L31" s="87"/>
      <c r="M31" s="185" t="s">
        <v>49</v>
      </c>
      <c r="N31" s="185"/>
      <c r="O31" s="186">
        <f>per_subp</f>
        <v>0</v>
      </c>
      <c r="P31" s="186"/>
      <c r="Q31" s="87"/>
      <c r="R31" s="185" t="s">
        <v>49</v>
      </c>
      <c r="S31" s="185"/>
      <c r="T31" s="186">
        <f>per_sub</f>
        <v>0</v>
      </c>
      <c r="U31" s="186"/>
    </row>
    <row r="33" spans="3:22" x14ac:dyDescent="0.2"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3:22" x14ac:dyDescent="0.2">
      <c r="C34" s="207" t="s">
        <v>36</v>
      </c>
      <c r="D34" s="207"/>
      <c r="E34" s="207"/>
      <c r="F34" s="207"/>
      <c r="G34" s="207"/>
      <c r="H34" s="207"/>
      <c r="I34" s="207"/>
      <c r="J34" s="207"/>
      <c r="K34" s="207"/>
      <c r="L34" s="93"/>
      <c r="M34" s="207" t="s">
        <v>53</v>
      </c>
      <c r="N34" s="207"/>
      <c r="O34" s="207"/>
      <c r="P34" s="207"/>
      <c r="Q34" s="92"/>
      <c r="R34" s="207" t="s">
        <v>54</v>
      </c>
      <c r="S34" s="207"/>
      <c r="T34" s="207"/>
      <c r="U34" s="207"/>
      <c r="V34" s="91"/>
    </row>
    <row r="35" spans="3:22" x14ac:dyDescent="0.2">
      <c r="C35" s="213" t="s">
        <v>37</v>
      </c>
      <c r="D35" s="214"/>
      <c r="E35" s="214"/>
      <c r="F35" s="214"/>
      <c r="G35" s="215"/>
      <c r="H35" s="207" t="s">
        <v>475</v>
      </c>
      <c r="I35" s="207"/>
      <c r="J35" s="207" t="s">
        <v>492</v>
      </c>
      <c r="K35" s="207"/>
      <c r="L35" s="93"/>
      <c r="M35" s="188" t="s">
        <v>72</v>
      </c>
      <c r="N35" s="188"/>
      <c r="O35" s="210">
        <f>sd_over</f>
        <v>0</v>
      </c>
      <c r="P35" s="210"/>
      <c r="Q35" s="96"/>
      <c r="R35" s="188" t="s">
        <v>55</v>
      </c>
      <c r="S35" s="188"/>
      <c r="T35" s="188">
        <v>0</v>
      </c>
      <c r="U35" s="188"/>
      <c r="V35" s="91"/>
    </row>
    <row r="36" spans="3:22" x14ac:dyDescent="0.2">
      <c r="C36" s="197" t="str">
        <f>IF(título="CRI",bd!J2,bd!K2)</f>
        <v>Avaliação de Imóveis</v>
      </c>
      <c r="D36" s="197"/>
      <c r="E36" s="197"/>
      <c r="F36" s="197"/>
      <c r="G36" s="197"/>
      <c r="H36" s="179">
        <f>HLOOKUP(C36,CUSTOS!$C$5:$AJ$11,7,0)</f>
        <v>0</v>
      </c>
      <c r="I36" s="179"/>
      <c r="J36" s="179">
        <f>HLOOKUP(C36,CUSTOS!$C$5:$AJ$11,4,0)-H36</f>
        <v>0</v>
      </c>
      <c r="K36" s="179"/>
      <c r="L36" s="93"/>
      <c r="M36" s="188" t="s">
        <v>71</v>
      </c>
      <c r="N36" s="188"/>
      <c r="O36" s="210">
        <f>sd_over2</f>
        <v>0</v>
      </c>
      <c r="P36" s="210"/>
      <c r="Q36" s="96"/>
      <c r="R36" s="188" t="s">
        <v>69</v>
      </c>
      <c r="S36" s="188"/>
      <c r="T36" s="188">
        <v>0</v>
      </c>
      <c r="U36" s="188"/>
      <c r="V36" s="91"/>
    </row>
    <row r="37" spans="3:22" x14ac:dyDescent="0.2">
      <c r="C37" s="197" t="str">
        <f>IF(título="CRI",bd!J3,bd!K3)</f>
        <v>Monitoramento</v>
      </c>
      <c r="D37" s="197"/>
      <c r="E37" s="197"/>
      <c r="F37" s="197"/>
      <c r="G37" s="197"/>
      <c r="H37" s="179">
        <f>HLOOKUP(C37,CUSTOS!$C$5:$AJ$11,7,0)</f>
        <v>0</v>
      </c>
      <c r="I37" s="179"/>
      <c r="J37" s="179">
        <f>HLOOKUP(C37,CUSTOS!$C$5:$AJ$11,4,0)-H37</f>
        <v>0</v>
      </c>
      <c r="K37" s="179"/>
      <c r="L37" s="93"/>
      <c r="M37" s="188" t="s">
        <v>68</v>
      </c>
      <c r="N37" s="188"/>
      <c r="O37" s="211">
        <f>IFERROR(O35/(J25+O25+T25),0)</f>
        <v>0</v>
      </c>
      <c r="P37" s="211"/>
      <c r="Q37" s="96"/>
      <c r="R37" s="188" t="s">
        <v>497</v>
      </c>
      <c r="S37" s="188"/>
      <c r="T37" s="188">
        <v>0</v>
      </c>
      <c r="U37" s="188"/>
      <c r="V37" s="91"/>
    </row>
    <row r="38" spans="3:22" x14ac:dyDescent="0.2">
      <c r="C38" s="197" t="str">
        <f>IF(título="CRI",bd!J4,bd!K4)</f>
        <v>Distribuição</v>
      </c>
      <c r="D38" s="197"/>
      <c r="E38" s="197"/>
      <c r="F38" s="197"/>
      <c r="G38" s="197"/>
      <c r="H38" s="179">
        <f>HLOOKUP(C38,CUSTOS!$C$5:$AJ$11,7,0)</f>
        <v>0</v>
      </c>
      <c r="I38" s="179"/>
      <c r="J38" s="179">
        <f>HLOOKUP(C38,CUSTOS!$C$5:$AJ$11,4,0)-H38</f>
        <v>0</v>
      </c>
      <c r="K38" s="179"/>
      <c r="L38" s="93"/>
      <c r="M38" s="188" t="s">
        <v>485</v>
      </c>
      <c r="N38" s="188"/>
      <c r="O38" s="211">
        <f>tx_over</f>
        <v>0</v>
      </c>
      <c r="P38" s="211"/>
      <c r="Q38" s="96"/>
      <c r="R38" s="188" t="s">
        <v>498</v>
      </c>
      <c r="S38" s="188"/>
      <c r="T38" s="188">
        <v>0</v>
      </c>
      <c r="U38" s="188"/>
      <c r="V38" s="91"/>
    </row>
    <row r="39" spans="3:22" x14ac:dyDescent="0.2">
      <c r="C39" s="197" t="str">
        <f>IF(título="CRI",bd!J5,bd!K5)</f>
        <v>Estruturação</v>
      </c>
      <c r="D39" s="197"/>
      <c r="E39" s="197"/>
      <c r="F39" s="197"/>
      <c r="G39" s="197"/>
      <c r="H39" s="179">
        <f>HLOOKUP(C39,CUSTOS!$C$5:$AJ$11,7,0)</f>
        <v>0</v>
      </c>
      <c r="I39" s="179"/>
      <c r="J39" s="179">
        <f>HLOOKUP(C39,CUSTOS!$C$5:$AJ$11,4,0)-H39</f>
        <v>0</v>
      </c>
      <c r="K39" s="179"/>
      <c r="L39" s="93"/>
      <c r="M39" s="188" t="s">
        <v>70</v>
      </c>
      <c r="N39" s="188"/>
      <c r="O39" s="210" t="e">
        <f>AVERAGE(ESTRUTURA!AJ12:AJ371)</f>
        <v>#DIV/0!</v>
      </c>
      <c r="P39" s="210"/>
      <c r="Q39" s="96"/>
      <c r="R39" s="188" t="s">
        <v>499</v>
      </c>
      <c r="S39" s="188"/>
      <c r="T39" s="188">
        <v>0</v>
      </c>
      <c r="U39" s="188"/>
      <c r="V39" s="91"/>
    </row>
    <row r="40" spans="3:22" x14ac:dyDescent="0.2">
      <c r="C40" s="197" t="str">
        <f>IF(título="CRI",bd!J6,bd!K6)</f>
        <v>Assessor Legal</v>
      </c>
      <c r="D40" s="197"/>
      <c r="E40" s="197"/>
      <c r="F40" s="197"/>
      <c r="G40" s="197"/>
      <c r="H40" s="179">
        <f>H41+H42</f>
        <v>0</v>
      </c>
      <c r="I40" s="179"/>
      <c r="J40" s="179">
        <f>J41+J42</f>
        <v>0</v>
      </c>
      <c r="K40" s="179"/>
      <c r="L40" s="93"/>
      <c r="M40" s="92"/>
      <c r="N40" s="92"/>
      <c r="O40" s="92"/>
      <c r="P40" s="92"/>
      <c r="Q40" s="92"/>
      <c r="R40" s="92"/>
      <c r="S40" s="92"/>
      <c r="T40" s="92"/>
      <c r="U40" s="92"/>
      <c r="V40" s="91"/>
    </row>
    <row r="41" spans="3:22" x14ac:dyDescent="0.2">
      <c r="C41" s="188" t="str">
        <f>IF(título="CRI",bd!J7,bd!K7)</f>
        <v>Assessoria Legal</v>
      </c>
      <c r="D41" s="188"/>
      <c r="E41" s="188"/>
      <c r="F41" s="188"/>
      <c r="G41" s="188"/>
      <c r="H41" s="191">
        <f>HLOOKUP(C41,CUSTOS!$C$5:$AJ$11,7,0)</f>
        <v>0</v>
      </c>
      <c r="I41" s="191"/>
      <c r="J41" s="191">
        <f>HLOOKUP(C41,CUSTOS!$C$5:$AJ$11,4,0)-H41</f>
        <v>0</v>
      </c>
      <c r="K41" s="191"/>
      <c r="L41" s="93"/>
      <c r="M41" s="92"/>
      <c r="N41" s="92"/>
      <c r="O41" s="92"/>
      <c r="P41" s="92"/>
      <c r="Q41" s="92"/>
      <c r="R41" s="92"/>
      <c r="S41" s="92"/>
      <c r="T41" s="92"/>
      <c r="U41" s="92"/>
      <c r="V41" s="93"/>
    </row>
    <row r="42" spans="3:22" x14ac:dyDescent="0.2">
      <c r="C42" s="188" t="str">
        <f>IF(título="CRI",bd!J8,bd!K8)</f>
        <v>Due Diligence</v>
      </c>
      <c r="D42" s="188"/>
      <c r="E42" s="188"/>
      <c r="F42" s="188"/>
      <c r="G42" s="188"/>
      <c r="H42" s="191">
        <f>HLOOKUP(C42,CUSTOS!$C$5:$AJ$11,7,0)</f>
        <v>0</v>
      </c>
      <c r="I42" s="191"/>
      <c r="J42" s="191">
        <f>HLOOKUP(C42,CUSTOS!$C$5:$AJ$11,4,0)-H42</f>
        <v>0</v>
      </c>
      <c r="K42" s="191"/>
      <c r="L42" s="93"/>
      <c r="M42" s="207" t="s">
        <v>57</v>
      </c>
      <c r="N42" s="207"/>
      <c r="O42" s="207"/>
      <c r="P42" s="207"/>
      <c r="Q42" s="92"/>
      <c r="R42" s="207" t="s">
        <v>9</v>
      </c>
      <c r="S42" s="207"/>
      <c r="T42" s="207"/>
      <c r="U42" s="207"/>
      <c r="V42" s="93"/>
    </row>
    <row r="43" spans="3:22" x14ac:dyDescent="0.2">
      <c r="C43" s="197" t="str">
        <f>IF(título="CRI",bd!J9,bd!K9)</f>
        <v>Servicer</v>
      </c>
      <c r="D43" s="197"/>
      <c r="E43" s="197"/>
      <c r="F43" s="197"/>
      <c r="G43" s="197"/>
      <c r="H43" s="179">
        <f>HLOOKUP(C43,CUSTOS!$C$5:$AJ$11,7,0)</f>
        <v>0</v>
      </c>
      <c r="I43" s="179"/>
      <c r="J43" s="179">
        <f>HLOOKUP(C43,CUSTOS!$C$5:$AJ$11,4,0)-H43</f>
        <v>0</v>
      </c>
      <c r="K43" s="179"/>
      <c r="L43" s="91"/>
      <c r="M43" s="188" t="s">
        <v>425</v>
      </c>
      <c r="N43" s="188"/>
      <c r="O43" s="189">
        <f>J25</f>
        <v>0</v>
      </c>
      <c r="P43" s="190"/>
      <c r="Q43" s="92"/>
      <c r="R43" s="188" t="s">
        <v>493</v>
      </c>
      <c r="S43" s="188"/>
      <c r="T43" s="189">
        <f>O47</f>
        <v>0</v>
      </c>
      <c r="U43" s="190"/>
      <c r="V43" s="91"/>
    </row>
    <row r="44" spans="3:22" x14ac:dyDescent="0.2">
      <c r="C44" s="197" t="str">
        <f>IF(título="CRI",bd!J10,bd!K10)</f>
        <v>Originador CCB</v>
      </c>
      <c r="D44" s="197"/>
      <c r="E44" s="197"/>
      <c r="F44" s="197"/>
      <c r="G44" s="197"/>
      <c r="H44" s="179">
        <f>HLOOKUP(C44,CUSTOS!$C$5:$AJ$11,7,0)</f>
        <v>0</v>
      </c>
      <c r="I44" s="179"/>
      <c r="J44" s="179">
        <f>HLOOKUP(C44,CUSTOS!$C$5:$AJ$11,4,0)-H44</f>
        <v>0</v>
      </c>
      <c r="K44" s="179"/>
      <c r="L44" s="91"/>
      <c r="M44" s="188" t="s">
        <v>486</v>
      </c>
      <c r="N44" s="188"/>
      <c r="O44" s="189">
        <f>O25</f>
        <v>0</v>
      </c>
      <c r="P44" s="190"/>
      <c r="Q44" s="92"/>
      <c r="R44" s="188" t="s">
        <v>494</v>
      </c>
      <c r="S44" s="188"/>
      <c r="T44" s="189">
        <f>-(T35+T36+T37+T38+T39)</f>
        <v>0</v>
      </c>
      <c r="U44" s="190"/>
      <c r="V44" s="91"/>
    </row>
    <row r="45" spans="3:22" x14ac:dyDescent="0.2">
      <c r="C45" s="197" t="str">
        <f>IF(título="CRI",bd!J11,bd!K11)</f>
        <v>Securitizadora</v>
      </c>
      <c r="D45" s="197"/>
      <c r="E45" s="197"/>
      <c r="F45" s="197"/>
      <c r="G45" s="197"/>
      <c r="H45" s="179">
        <f>H46+H47</f>
        <v>0</v>
      </c>
      <c r="I45" s="179"/>
      <c r="J45" s="179">
        <f>J46+J47</f>
        <v>0</v>
      </c>
      <c r="K45" s="179"/>
      <c r="L45" s="91"/>
      <c r="M45" s="188" t="s">
        <v>487</v>
      </c>
      <c r="N45" s="188"/>
      <c r="O45" s="189">
        <f>T25</f>
        <v>0</v>
      </c>
      <c r="P45" s="190"/>
      <c r="Q45" s="92"/>
      <c r="R45" s="188" t="s">
        <v>516</v>
      </c>
      <c r="S45" s="188"/>
      <c r="T45" s="189">
        <f>-H75</f>
        <v>0</v>
      </c>
      <c r="U45" s="190"/>
      <c r="V45" s="91"/>
    </row>
    <row r="46" spans="3:22" x14ac:dyDescent="0.2">
      <c r="C46" s="188" t="str">
        <f>IF(título="CRI",bd!J12,bd!K12)</f>
        <v>Emissão</v>
      </c>
      <c r="D46" s="188"/>
      <c r="E46" s="188"/>
      <c r="F46" s="188"/>
      <c r="G46" s="188"/>
      <c r="H46" s="191">
        <f>HLOOKUP(C46,CUSTOS!$C$5:$AJ$11,7,0)</f>
        <v>0</v>
      </c>
      <c r="I46" s="191"/>
      <c r="J46" s="191">
        <f>HLOOKUP(C46,CUSTOS!$C$5:$AJ$11,4,0)-H46</f>
        <v>0</v>
      </c>
      <c r="K46" s="191"/>
      <c r="L46" s="91"/>
      <c r="M46" s="209"/>
      <c r="N46" s="209"/>
      <c r="O46" s="93"/>
      <c r="P46" s="93"/>
      <c r="Q46" s="92"/>
      <c r="R46" s="188" t="s">
        <v>517</v>
      </c>
      <c r="S46" s="188"/>
      <c r="T46" s="189">
        <f>IF(CUSTOS!C2="Sim",-CAPA!J75,0)</f>
        <v>0</v>
      </c>
      <c r="U46" s="190"/>
      <c r="V46" s="91"/>
    </row>
    <row r="47" spans="3:22" x14ac:dyDescent="0.2">
      <c r="C47" s="188" t="str">
        <f>IF(título="CRI",bd!J13,bd!K13)</f>
        <v>Taxa de gestão</v>
      </c>
      <c r="D47" s="188"/>
      <c r="E47" s="188"/>
      <c r="F47" s="188"/>
      <c r="G47" s="188"/>
      <c r="H47" s="191">
        <f>HLOOKUP(C47,CUSTOS!$C$5:$AJ$11,7,0)</f>
        <v>0</v>
      </c>
      <c r="I47" s="191"/>
      <c r="J47" s="191">
        <f>HLOOKUP(C47,CUSTOS!$C$5:$AJ$11,4,0)-H47</f>
        <v>0</v>
      </c>
      <c r="K47" s="191"/>
      <c r="L47" s="91"/>
      <c r="M47" s="199" t="s">
        <v>35</v>
      </c>
      <c r="N47" s="199"/>
      <c r="O47" s="198">
        <f>O43+O44+O45</f>
        <v>0</v>
      </c>
      <c r="P47" s="199"/>
      <c r="Q47" s="92"/>
      <c r="R47" s="199" t="s">
        <v>495</v>
      </c>
      <c r="S47" s="199"/>
      <c r="T47" s="198">
        <f>T43+T44+T45+T46</f>
        <v>0</v>
      </c>
      <c r="U47" s="199"/>
      <c r="V47" s="91"/>
    </row>
    <row r="48" spans="3:22" x14ac:dyDescent="0.2">
      <c r="C48" s="197" t="str">
        <f>IF(título="CRI",bd!J14,bd!K14)</f>
        <v>Banco Liquidante</v>
      </c>
      <c r="D48" s="197"/>
      <c r="E48" s="197"/>
      <c r="F48" s="197"/>
      <c r="G48" s="197"/>
      <c r="H48" s="179">
        <f>H49+H50+H51</f>
        <v>0</v>
      </c>
      <c r="I48" s="179"/>
      <c r="J48" s="179">
        <f>J49+J50+J51</f>
        <v>0</v>
      </c>
      <c r="K48" s="179"/>
      <c r="L48" s="91"/>
      <c r="M48" s="93"/>
      <c r="N48" s="93"/>
      <c r="O48" s="93"/>
      <c r="P48" s="93"/>
      <c r="Q48" s="92"/>
      <c r="R48" s="199" t="s">
        <v>496</v>
      </c>
      <c r="S48" s="199"/>
      <c r="T48" s="202">
        <v>0.12682503013196977</v>
      </c>
      <c r="U48" s="202"/>
      <c r="V48" s="91"/>
    </row>
    <row r="49" spans="3:22" x14ac:dyDescent="0.2">
      <c r="C49" s="188" t="str">
        <f>IF(título="CRI",bd!J15,bd!K15)</f>
        <v>Tarifa Conta</v>
      </c>
      <c r="D49" s="188"/>
      <c r="E49" s="188"/>
      <c r="F49" s="188"/>
      <c r="G49" s="188"/>
      <c r="H49" s="191">
        <f>HLOOKUP(C49,CUSTOS!$C$5:$AJ$11,7,0)</f>
        <v>0</v>
      </c>
      <c r="I49" s="191"/>
      <c r="J49" s="191">
        <f>HLOOKUP(C49,CUSTOS!$C$5:$AJ$11,4,0)-H49</f>
        <v>0</v>
      </c>
      <c r="K49" s="191"/>
      <c r="L49" s="91"/>
      <c r="M49" s="94"/>
      <c r="N49" s="94"/>
      <c r="O49" s="94"/>
      <c r="P49" s="94"/>
      <c r="Q49" s="92"/>
      <c r="R49" s="94"/>
      <c r="S49" s="94"/>
      <c r="T49" s="94"/>
      <c r="U49" s="94"/>
      <c r="V49" s="91"/>
    </row>
    <row r="50" spans="3:22" x14ac:dyDescent="0.2">
      <c r="C50" s="188" t="str">
        <f>IF(título="CRI",bd!J16,bd!K16)</f>
        <v>Abertura Conta Vinculada</v>
      </c>
      <c r="D50" s="188"/>
      <c r="E50" s="188"/>
      <c r="F50" s="188"/>
      <c r="G50" s="188"/>
      <c r="H50" s="191">
        <f>HLOOKUP(C50,CUSTOS!$C$5:$AJ$11,7,0)</f>
        <v>0</v>
      </c>
      <c r="I50" s="191"/>
      <c r="J50" s="191">
        <f>HLOOKUP(C50,CUSTOS!$C$5:$AJ$11,4,0)-H50</f>
        <v>0</v>
      </c>
      <c r="K50" s="191"/>
      <c r="L50" s="91"/>
      <c r="M50" s="92"/>
      <c r="N50" s="92"/>
      <c r="O50" s="92"/>
      <c r="P50" s="92"/>
      <c r="Q50" s="92"/>
      <c r="R50" s="92"/>
      <c r="S50" s="92"/>
      <c r="T50" s="92"/>
      <c r="U50" s="92"/>
      <c r="V50" s="91"/>
    </row>
    <row r="51" spans="3:22" x14ac:dyDescent="0.2">
      <c r="C51" s="188" t="str">
        <f>IF(título="CRI",bd!J17,bd!K17)</f>
        <v>Manuntenção Conta Vinculada</v>
      </c>
      <c r="D51" s="188"/>
      <c r="E51" s="188"/>
      <c r="F51" s="188"/>
      <c r="G51" s="188"/>
      <c r="H51" s="191">
        <f>HLOOKUP(C51,CUSTOS!$C$5:$AJ$11,7,0)</f>
        <v>0</v>
      </c>
      <c r="I51" s="191"/>
      <c r="J51" s="191">
        <f>HLOOKUP(C51,CUSTOS!$C$5:$AJ$11,4,0)-H51</f>
        <v>0</v>
      </c>
      <c r="K51" s="191"/>
      <c r="L51" s="91"/>
      <c r="M51" s="92"/>
      <c r="N51" s="92"/>
      <c r="O51" s="92"/>
      <c r="P51" s="92"/>
      <c r="Q51" s="92"/>
      <c r="R51" s="92"/>
      <c r="S51" s="92"/>
      <c r="T51" s="92"/>
      <c r="U51" s="92"/>
      <c r="V51" s="91"/>
    </row>
    <row r="52" spans="3:22" x14ac:dyDescent="0.2">
      <c r="C52" s="197" t="str">
        <f>IF(título="CRI",bd!J18,bd!K18)</f>
        <v>Fiduciário</v>
      </c>
      <c r="D52" s="197"/>
      <c r="E52" s="197"/>
      <c r="F52" s="197"/>
      <c r="G52" s="197"/>
      <c r="H52" s="179">
        <f>HLOOKUP(C52,CUSTOS!$C$5:$AJ$11,7,0)</f>
        <v>0</v>
      </c>
      <c r="I52" s="179"/>
      <c r="J52" s="179">
        <f>HLOOKUP(C52,CUSTOS!$C$5:$AJ$11,4,0)-H52</f>
        <v>0</v>
      </c>
      <c r="K52" s="179"/>
      <c r="L52" s="91"/>
      <c r="M52" s="92"/>
      <c r="N52" s="92"/>
      <c r="O52" s="92"/>
      <c r="P52" s="92"/>
      <c r="Q52" s="92"/>
      <c r="R52" s="92"/>
      <c r="S52" s="92"/>
      <c r="T52" s="92"/>
      <c r="U52" s="92"/>
      <c r="V52" s="91"/>
    </row>
    <row r="53" spans="3:22" x14ac:dyDescent="0.2">
      <c r="C53" s="197" t="str">
        <f>IF(título="CRI",bd!J19,bd!K19)</f>
        <v>Custodiante</v>
      </c>
      <c r="D53" s="197"/>
      <c r="E53" s="197"/>
      <c r="F53" s="197"/>
      <c r="G53" s="197"/>
      <c r="H53" s="179">
        <f>H54+H55</f>
        <v>0</v>
      </c>
      <c r="I53" s="179"/>
      <c r="J53" s="179">
        <f>J54+J55</f>
        <v>0</v>
      </c>
      <c r="K53" s="179"/>
      <c r="L53" s="91"/>
      <c r="M53" s="92"/>
      <c r="N53" s="92"/>
      <c r="O53" s="92"/>
      <c r="P53" s="92"/>
      <c r="Q53" s="92"/>
      <c r="R53" s="92"/>
      <c r="S53" s="92"/>
      <c r="T53" s="92"/>
      <c r="U53" s="92"/>
      <c r="V53" s="91"/>
    </row>
    <row r="54" spans="3:22" x14ac:dyDescent="0.2">
      <c r="C54" s="188" t="str">
        <f>IF(título="CRI",bd!J20,bd!K20)</f>
        <v>Agente Registrador</v>
      </c>
      <c r="D54" s="188"/>
      <c r="E54" s="188"/>
      <c r="F54" s="188"/>
      <c r="G54" s="188"/>
      <c r="H54" s="191">
        <f>HLOOKUP(C54,CUSTOS!$C$5:$AJ$11,7,0)</f>
        <v>0</v>
      </c>
      <c r="I54" s="191"/>
      <c r="J54" s="191">
        <f>HLOOKUP(C54,CUSTOS!$C$5:$AJ$11,4,0)-H54</f>
        <v>0</v>
      </c>
      <c r="K54" s="191"/>
      <c r="L54" s="91"/>
      <c r="M54" s="92"/>
      <c r="N54" s="92"/>
      <c r="O54" s="92"/>
      <c r="P54" s="92"/>
      <c r="Q54" s="92"/>
      <c r="R54" s="92"/>
      <c r="S54" s="92"/>
      <c r="T54" s="92"/>
      <c r="U54" s="92"/>
      <c r="V54" s="91"/>
    </row>
    <row r="55" spans="3:22" x14ac:dyDescent="0.2">
      <c r="C55" s="188" t="str">
        <f>IF(título="CRI",bd!J21,bd!K21)</f>
        <v>Custódia</v>
      </c>
      <c r="D55" s="188"/>
      <c r="E55" s="188"/>
      <c r="F55" s="188"/>
      <c r="G55" s="188"/>
      <c r="H55" s="191">
        <f>HLOOKUP(C55,CUSTOS!$C$5:$AJ$11,7,0)</f>
        <v>0</v>
      </c>
      <c r="I55" s="191"/>
      <c r="J55" s="191">
        <f>HLOOKUP(C55,CUSTOS!$C$5:$AJ$11,4,0)-H55</f>
        <v>0</v>
      </c>
      <c r="K55" s="191"/>
      <c r="L55" s="91"/>
      <c r="M55" s="92"/>
      <c r="N55" s="92"/>
      <c r="O55" s="92"/>
      <c r="P55" s="92"/>
      <c r="Q55" s="92"/>
      <c r="R55" s="92"/>
      <c r="S55" s="92"/>
      <c r="T55" s="92"/>
      <c r="U55" s="92"/>
      <c r="V55" s="91"/>
    </row>
    <row r="56" spans="3:22" x14ac:dyDescent="0.2">
      <c r="C56" s="197" t="str">
        <f>IF(título="CRI",bd!J22,bd!K22)</f>
        <v>Escriturador</v>
      </c>
      <c r="D56" s="197"/>
      <c r="E56" s="197"/>
      <c r="F56" s="197"/>
      <c r="G56" s="197"/>
      <c r="H56" s="179">
        <f>H57+H58</f>
        <v>0</v>
      </c>
      <c r="I56" s="179"/>
      <c r="J56" s="179">
        <f>J57+J58</f>
        <v>0</v>
      </c>
      <c r="K56" s="179"/>
      <c r="L56" s="91"/>
      <c r="M56" s="92"/>
      <c r="N56" s="92"/>
      <c r="O56" s="92"/>
      <c r="P56" s="92"/>
      <c r="Q56" s="92"/>
      <c r="R56" s="92"/>
      <c r="S56" s="92"/>
      <c r="T56" s="92"/>
      <c r="U56" s="92"/>
      <c r="V56" s="91"/>
    </row>
    <row r="57" spans="3:22" x14ac:dyDescent="0.2">
      <c r="C57" s="188" t="str">
        <f>IF(título="CRI",bd!J23,bd!K23)</f>
        <v>Escrituração</v>
      </c>
      <c r="D57" s="188"/>
      <c r="E57" s="188"/>
      <c r="F57" s="188"/>
      <c r="G57" s="188"/>
      <c r="H57" s="191">
        <f>HLOOKUP(C57,CUSTOS!$C$5:$AJ$11,7,0)</f>
        <v>0</v>
      </c>
      <c r="I57" s="191"/>
      <c r="J57" s="191">
        <f>HLOOKUP(C57,CUSTOS!$C$5:$AJ$11,4,0)-H57</f>
        <v>0</v>
      </c>
      <c r="K57" s="191"/>
      <c r="L57" s="91"/>
      <c r="M57" s="92"/>
      <c r="N57" s="92"/>
      <c r="O57" s="92"/>
      <c r="P57" s="92"/>
      <c r="Q57" s="92"/>
      <c r="R57" s="92"/>
      <c r="S57" s="92"/>
      <c r="T57" s="92"/>
      <c r="U57" s="92"/>
      <c r="V57" s="91"/>
    </row>
    <row r="58" spans="3:22" x14ac:dyDescent="0.2">
      <c r="C58" s="188" t="str">
        <f>IF(título="CRI",bd!J24,bd!K24)</f>
        <v>Abertura dos Livros Escriturais</v>
      </c>
      <c r="D58" s="188"/>
      <c r="E58" s="188"/>
      <c r="F58" s="188"/>
      <c r="G58" s="188"/>
      <c r="H58" s="191">
        <f>HLOOKUP(C58,CUSTOS!$C$5:$AJ$11,7,0)</f>
        <v>0</v>
      </c>
      <c r="I58" s="191"/>
      <c r="J58" s="191">
        <f>HLOOKUP(C58,CUSTOS!$C$5:$AJ$11,4,0)-H58</f>
        <v>0</v>
      </c>
      <c r="K58" s="191"/>
      <c r="L58" s="91"/>
      <c r="M58" s="92"/>
      <c r="N58" s="92"/>
      <c r="O58" s="92"/>
      <c r="P58" s="92"/>
      <c r="Q58" s="92"/>
      <c r="R58" s="91"/>
      <c r="S58" s="91"/>
      <c r="T58" s="91"/>
      <c r="U58" s="91"/>
      <c r="V58" s="91"/>
    </row>
    <row r="59" spans="3:22" x14ac:dyDescent="0.2">
      <c r="C59" s="197" t="str">
        <f>IF(título="CRI",bd!J25,bd!K25)</f>
        <v>Rating</v>
      </c>
      <c r="D59" s="197"/>
      <c r="E59" s="197"/>
      <c r="F59" s="197"/>
      <c r="G59" s="197"/>
      <c r="H59" s="179">
        <f>H60+H61</f>
        <v>0</v>
      </c>
      <c r="I59" s="179"/>
      <c r="J59" s="179">
        <f>J60+J61</f>
        <v>0</v>
      </c>
      <c r="K59" s="179"/>
      <c r="L59" s="91"/>
      <c r="M59" s="92"/>
      <c r="N59" s="92"/>
      <c r="O59" s="92"/>
      <c r="P59" s="92"/>
      <c r="Q59" s="92"/>
      <c r="V59" s="91"/>
    </row>
    <row r="60" spans="3:22" x14ac:dyDescent="0.2">
      <c r="C60" s="188" t="str">
        <f>IF(título="CRI",bd!J26,bd!K26)</f>
        <v>Rating Emissão</v>
      </c>
      <c r="D60" s="188"/>
      <c r="E60" s="188"/>
      <c r="F60" s="188"/>
      <c r="G60" s="188"/>
      <c r="H60" s="191">
        <f>HLOOKUP(C60,CUSTOS!$C$5:$AJ$11,7,0)</f>
        <v>0</v>
      </c>
      <c r="I60" s="191"/>
      <c r="J60" s="191">
        <f>HLOOKUP(C60,CUSTOS!$C$5:$AJ$11,4,0)-H60</f>
        <v>0</v>
      </c>
      <c r="K60" s="191"/>
      <c r="M60" s="92"/>
      <c r="N60" s="119"/>
      <c r="O60" s="92"/>
      <c r="P60" s="92"/>
      <c r="Q60" s="92"/>
    </row>
    <row r="61" spans="3:22" x14ac:dyDescent="0.2">
      <c r="C61" s="188" t="str">
        <f>IF(título="CRI",bd!J27,bd!K27)</f>
        <v>Rating Renovação</v>
      </c>
      <c r="D61" s="188"/>
      <c r="E61" s="188"/>
      <c r="F61" s="188"/>
      <c r="G61" s="188"/>
      <c r="H61" s="191">
        <f>HLOOKUP(C61,CUSTOS!$C$5:$AJ$11,7,0)</f>
        <v>0</v>
      </c>
      <c r="I61" s="191"/>
      <c r="J61" s="191">
        <f>HLOOKUP(C61,CUSTOS!$C$5:$AJ$11,4,0)-H61</f>
        <v>0</v>
      </c>
      <c r="K61" s="191"/>
      <c r="M61" s="92"/>
      <c r="N61" s="92"/>
      <c r="O61" s="120"/>
      <c r="P61" s="92"/>
      <c r="Q61" s="92"/>
    </row>
    <row r="62" spans="3:22" x14ac:dyDescent="0.2">
      <c r="C62" s="197" t="str">
        <f>IF(título="CRI",bd!J28,bd!K28)</f>
        <v>Registro CVM</v>
      </c>
      <c r="D62" s="197"/>
      <c r="E62" s="197"/>
      <c r="F62" s="197"/>
      <c r="G62" s="197"/>
      <c r="H62" s="179">
        <f>HLOOKUP(C62,CUSTOS!$C$5:$AJ$11,7,0)</f>
        <v>0</v>
      </c>
      <c r="I62" s="179"/>
      <c r="J62" s="179">
        <f>HLOOKUP(C62,CUSTOS!$C$5:$AJ$11,4,0)-H62</f>
        <v>0</v>
      </c>
      <c r="K62" s="179"/>
      <c r="M62" s="92"/>
      <c r="N62" s="92"/>
      <c r="O62" s="92"/>
      <c r="P62" s="92"/>
      <c r="Q62" s="92"/>
    </row>
    <row r="63" spans="3:22" x14ac:dyDescent="0.2">
      <c r="C63" s="197" t="str">
        <f>IF(título="CRI",bd!J29,bd!K29)</f>
        <v>ANBIMA</v>
      </c>
      <c r="D63" s="197"/>
      <c r="E63" s="197"/>
      <c r="F63" s="197"/>
      <c r="G63" s="197"/>
      <c r="H63" s="179">
        <f>HLOOKUP(C63,CUSTOS!$C$5:$AJ$11,7,0)</f>
        <v>0</v>
      </c>
      <c r="I63" s="179"/>
      <c r="J63" s="179">
        <f>HLOOKUP(C63,CUSTOS!$C$5:$AJ$11,4,0)-H63</f>
        <v>0</v>
      </c>
      <c r="K63" s="179"/>
      <c r="M63" s="92"/>
      <c r="N63" s="92"/>
      <c r="O63" s="92"/>
      <c r="P63" s="92"/>
      <c r="Q63" s="92"/>
    </row>
    <row r="64" spans="3:22" x14ac:dyDescent="0.2">
      <c r="C64" s="197" t="str">
        <f>IF(título="CRI",bd!J30,bd!K30)</f>
        <v>Marketing da Distribuição</v>
      </c>
      <c r="D64" s="197"/>
      <c r="E64" s="197"/>
      <c r="F64" s="197"/>
      <c r="G64" s="197"/>
      <c r="H64" s="179">
        <f>HLOOKUP(C64,CUSTOS!$C$5:$AJ$11,7,0)</f>
        <v>0</v>
      </c>
      <c r="I64" s="179"/>
      <c r="J64" s="179">
        <f>HLOOKUP(C64,CUSTOS!$C$5:$AJ$11,4,0)-H64</f>
        <v>0</v>
      </c>
      <c r="K64" s="179"/>
      <c r="M64" s="92"/>
      <c r="N64" s="92"/>
      <c r="O64" s="92"/>
      <c r="P64" s="92"/>
      <c r="Q64" s="92"/>
    </row>
    <row r="65" spans="3:11" x14ac:dyDescent="0.2">
      <c r="C65" s="197" t="str">
        <f>IF(título="CRI",bd!J31,bd!K31)</f>
        <v>CETIP</v>
      </c>
      <c r="D65" s="197"/>
      <c r="E65" s="197"/>
      <c r="F65" s="197"/>
      <c r="G65" s="197"/>
      <c r="H65" s="179">
        <f>H66+H67+H68+H69+H70+H71+H72+H73+H74</f>
        <v>0</v>
      </c>
      <c r="I65" s="179"/>
      <c r="J65" s="180">
        <f>J66+J67+J68+J69+J70+J71+J72+J73+J74</f>
        <v>0</v>
      </c>
      <c r="K65" s="181"/>
    </row>
    <row r="66" spans="3:11" x14ac:dyDescent="0.2">
      <c r="C66" s="188" t="str">
        <f>IF(título="CRI",bd!J32,bd!K32)</f>
        <v>Pré-Registro  CR</v>
      </c>
      <c r="D66" s="188"/>
      <c r="E66" s="188"/>
      <c r="F66" s="188"/>
      <c r="G66" s="188"/>
      <c r="H66" s="182">
        <f>HLOOKUP(C66,CUSTOS!$C$5:$AJ$11,7,0)</f>
        <v>0</v>
      </c>
      <c r="I66" s="183"/>
      <c r="J66" s="182">
        <f>HLOOKUP(C66,CUSTOS!$C$5:$AJ$11,4,0)-H66</f>
        <v>0</v>
      </c>
      <c r="K66" s="183"/>
    </row>
    <row r="67" spans="3:11" x14ac:dyDescent="0.2">
      <c r="C67" s="188" t="str">
        <f>IF(título="CRI",bd!J33,bd!K33)</f>
        <v>Registro CR</v>
      </c>
      <c r="D67" s="188"/>
      <c r="E67" s="188"/>
      <c r="F67" s="188"/>
      <c r="G67" s="188"/>
      <c r="H67" s="182">
        <f>HLOOKUP(C67,CUSTOS!$C$5:$AJ$11,7,0)</f>
        <v>0</v>
      </c>
      <c r="I67" s="183"/>
      <c r="J67" s="182">
        <f>HLOOKUP(C67,CUSTOS!$C$5:$AJ$11,4,0)-H67</f>
        <v>0</v>
      </c>
      <c r="K67" s="183"/>
    </row>
    <row r="68" spans="3:11" x14ac:dyDescent="0.2">
      <c r="C68" s="188" t="str">
        <f>IF(título="CRI",bd!J34,bd!K34)</f>
        <v>Registro CCI</v>
      </c>
      <c r="D68" s="188"/>
      <c r="E68" s="188"/>
      <c r="F68" s="188"/>
      <c r="G68" s="188"/>
      <c r="H68" s="182">
        <f>HLOOKUP(C68,CUSTOS!$C$5:$AJ$11,7,0)</f>
        <v>0</v>
      </c>
      <c r="I68" s="183"/>
      <c r="J68" s="182">
        <f>HLOOKUP(C68,CUSTOS!$C$5:$AJ$11,4,0)-H68</f>
        <v>0</v>
      </c>
      <c r="K68" s="183"/>
    </row>
    <row r="69" spans="3:11" x14ac:dyDescent="0.2">
      <c r="C69" s="188" t="str">
        <f>IF(título="CRI",bd!J35,bd!K35)</f>
        <v>Carta de Titularidade</v>
      </c>
      <c r="D69" s="188"/>
      <c r="E69" s="188"/>
      <c r="F69" s="188"/>
      <c r="G69" s="188"/>
      <c r="H69" s="182">
        <f>HLOOKUP(C69,CUSTOS!$C$5:$AJ$11,7,0)</f>
        <v>0</v>
      </c>
      <c r="I69" s="183"/>
      <c r="J69" s="182">
        <f>HLOOKUP(C69,CUSTOS!$C$5:$AJ$11,4,0)-H69</f>
        <v>0</v>
      </c>
      <c r="K69" s="183"/>
    </row>
    <row r="70" spans="3:11" x14ac:dyDescent="0.2">
      <c r="C70" s="188" t="str">
        <f>IF(título="CRI",bd!J36,bd!K36)</f>
        <v>Pré-Registro Debênture</v>
      </c>
      <c r="D70" s="188"/>
      <c r="E70" s="188"/>
      <c r="F70" s="188"/>
      <c r="G70" s="188"/>
      <c r="H70" s="182">
        <f>HLOOKUP(C70,CUSTOS!$C$5:$AJ$11,7,0)</f>
        <v>0</v>
      </c>
      <c r="I70" s="183"/>
      <c r="J70" s="182">
        <f>HLOOKUP(C70,CUSTOS!$C$5:$AJ$11,4,0)-H70</f>
        <v>0</v>
      </c>
      <c r="K70" s="183"/>
    </row>
    <row r="71" spans="3:11" x14ac:dyDescent="0.2">
      <c r="C71" s="188" t="str">
        <f>IF(título="CRI",bd!J37,bd!K37)</f>
        <v>Taxa Transação</v>
      </c>
      <c r="D71" s="188"/>
      <c r="E71" s="188"/>
      <c r="F71" s="188"/>
      <c r="G71" s="188"/>
      <c r="H71" s="182">
        <f>HLOOKUP(C71,CUSTOS!$C$5:$AJ$11,7,0)</f>
        <v>0</v>
      </c>
      <c r="I71" s="183"/>
      <c r="J71" s="182">
        <f>HLOOKUP(C71,CUSTOS!$C$5:$AJ$11,4,0)-H71</f>
        <v>0</v>
      </c>
      <c r="K71" s="183"/>
    </row>
    <row r="72" spans="3:11" x14ac:dyDescent="0.2">
      <c r="C72" s="188" t="str">
        <f>IF(título="CRI",bd!J38,bd!K38)</f>
        <v>Utilização Mensal</v>
      </c>
      <c r="D72" s="188"/>
      <c r="E72" s="188"/>
      <c r="F72" s="188"/>
      <c r="G72" s="188"/>
      <c r="H72" s="182">
        <f>HLOOKUP(C72,CUSTOS!$C$5:$AJ$11,7,0)</f>
        <v>0</v>
      </c>
      <c r="I72" s="183"/>
      <c r="J72" s="182">
        <f>HLOOKUP(C72,CUSTOS!$C$5:$AJ$11,4,0)-H72</f>
        <v>0</v>
      </c>
      <c r="K72" s="183"/>
    </row>
    <row r="73" spans="3:11" x14ac:dyDescent="0.2">
      <c r="C73" s="188" t="str">
        <f>IF(título="CRI",bd!J39,bd!K39)</f>
        <v>Módulo de Distribuição de Títulos (MDA)</v>
      </c>
      <c r="D73" s="188"/>
      <c r="E73" s="188"/>
      <c r="F73" s="188"/>
      <c r="G73" s="188"/>
      <c r="H73" s="182">
        <f>HLOOKUP(C73,CUSTOS!$C$5:$AJ$11,7,0)</f>
        <v>0</v>
      </c>
      <c r="I73" s="183"/>
      <c r="J73" s="182">
        <f>HLOOKUP(C73,CUSTOS!$C$5:$AJ$11,4,0)-H73</f>
        <v>0</v>
      </c>
      <c r="K73" s="183"/>
    </row>
    <row r="74" spans="3:11" x14ac:dyDescent="0.2">
      <c r="C74" s="194" t="str">
        <f>IF(título="CRI",bd!J40,bd!K40)</f>
        <v>-</v>
      </c>
      <c r="D74" s="195"/>
      <c r="E74" s="195"/>
      <c r="F74" s="195"/>
      <c r="G74" s="196"/>
      <c r="H74" s="182">
        <f>IFERROR(HLOOKUP(C74,CUSTOS!$C$5:$AJ$11,7,0),0)</f>
        <v>0</v>
      </c>
      <c r="I74" s="183"/>
      <c r="J74" s="182">
        <f>IFERROR(HLOOKUP(C74,CUSTOS!$C$5:$AJ$11,4,0),0)-H74</f>
        <v>0</v>
      </c>
      <c r="K74" s="183"/>
    </row>
    <row r="75" spans="3:11" x14ac:dyDescent="0.2">
      <c r="C75" s="192" t="s">
        <v>35</v>
      </c>
      <c r="D75" s="192"/>
      <c r="E75" s="192"/>
      <c r="F75" s="192"/>
      <c r="G75" s="192"/>
      <c r="H75" s="193">
        <f>H36+H37+H38+H39+H40+H43+H44+H45+H48+H52+H53+H56+H59+H62+H63+H64+H65</f>
        <v>0</v>
      </c>
      <c r="I75" s="193"/>
      <c r="J75" s="193">
        <f>J36+J37+J38+J39+J40+J43+J44+J45+J48+J52+J53+J56+J59+J62+J63+J64+J65</f>
        <v>0</v>
      </c>
      <c r="K75" s="193"/>
    </row>
  </sheetData>
  <mergeCells count="237">
    <mergeCell ref="R36:S36"/>
    <mergeCell ref="R37:S37"/>
    <mergeCell ref="C10:U10"/>
    <mergeCell ref="C40:G40"/>
    <mergeCell ref="R29:S29"/>
    <mergeCell ref="T29:U29"/>
    <mergeCell ref="R30:S30"/>
    <mergeCell ref="R31:S31"/>
    <mergeCell ref="T31:U31"/>
    <mergeCell ref="T30:U30"/>
    <mergeCell ref="T36:U36"/>
    <mergeCell ref="T37:U37"/>
    <mergeCell ref="J30:K30"/>
    <mergeCell ref="M39:N39"/>
    <mergeCell ref="O39:P39"/>
    <mergeCell ref="M36:N36"/>
    <mergeCell ref="O36:P36"/>
    <mergeCell ref="C35:G35"/>
    <mergeCell ref="C36:G36"/>
    <mergeCell ref="C37:G37"/>
    <mergeCell ref="C38:G38"/>
    <mergeCell ref="M28:N28"/>
    <mergeCell ref="J29:K29"/>
    <mergeCell ref="M29:N29"/>
    <mergeCell ref="J35:K35"/>
    <mergeCell ref="J36:K36"/>
    <mergeCell ref="J37:K37"/>
    <mergeCell ref="J38:K38"/>
    <mergeCell ref="J39:K39"/>
    <mergeCell ref="H35:I35"/>
    <mergeCell ref="H37:I37"/>
    <mergeCell ref="H36:I36"/>
    <mergeCell ref="H38:I38"/>
    <mergeCell ref="H39:I39"/>
    <mergeCell ref="C7:F7"/>
    <mergeCell ref="H6:K6"/>
    <mergeCell ref="H7:K7"/>
    <mergeCell ref="M6:P6"/>
    <mergeCell ref="M7:P7"/>
    <mergeCell ref="C6:F6"/>
    <mergeCell ref="M46:N46"/>
    <mergeCell ref="O45:P45"/>
    <mergeCell ref="C34:K34"/>
    <mergeCell ref="M42:P42"/>
    <mergeCell ref="M34:P34"/>
    <mergeCell ref="M35:N35"/>
    <mergeCell ref="O35:P35"/>
    <mergeCell ref="M37:N37"/>
    <mergeCell ref="O37:P37"/>
    <mergeCell ref="M38:N38"/>
    <mergeCell ref="C41:G41"/>
    <mergeCell ref="C42:G42"/>
    <mergeCell ref="M43:N43"/>
    <mergeCell ref="M44:N44"/>
    <mergeCell ref="O43:P43"/>
    <mergeCell ref="O44:P44"/>
    <mergeCell ref="O38:P38"/>
    <mergeCell ref="C43:G43"/>
    <mergeCell ref="H49:I49"/>
    <mergeCell ref="J49:K49"/>
    <mergeCell ref="J44:K44"/>
    <mergeCell ref="J46:K46"/>
    <mergeCell ref="J45:K45"/>
    <mergeCell ref="J40:K40"/>
    <mergeCell ref="J41:K41"/>
    <mergeCell ref="J42:K42"/>
    <mergeCell ref="H47:I47"/>
    <mergeCell ref="H44:I44"/>
    <mergeCell ref="H46:I46"/>
    <mergeCell ref="H45:I45"/>
    <mergeCell ref="H48:I48"/>
    <mergeCell ref="H40:I40"/>
    <mergeCell ref="H42:I42"/>
    <mergeCell ref="H41:I41"/>
    <mergeCell ref="J47:K47"/>
    <mergeCell ref="J48:K48"/>
    <mergeCell ref="H43:I43"/>
    <mergeCell ref="J43:K43"/>
    <mergeCell ref="H30:I30"/>
    <mergeCell ref="R25:S25"/>
    <mergeCell ref="R47:S47"/>
    <mergeCell ref="T47:U47"/>
    <mergeCell ref="R48:S48"/>
    <mergeCell ref="T48:U48"/>
    <mergeCell ref="R3:T3"/>
    <mergeCell ref="H29:I29"/>
    <mergeCell ref="O29:P29"/>
    <mergeCell ref="H31:I31"/>
    <mergeCell ref="M31:N31"/>
    <mergeCell ref="M30:N30"/>
    <mergeCell ref="O30:P30"/>
    <mergeCell ref="O31:P31"/>
    <mergeCell ref="R38:S38"/>
    <mergeCell ref="T38:U38"/>
    <mergeCell ref="R39:S39"/>
    <mergeCell ref="T39:U39"/>
    <mergeCell ref="R6:U6"/>
    <mergeCell ref="R7:U7"/>
    <mergeCell ref="R42:U42"/>
    <mergeCell ref="R34:U34"/>
    <mergeCell ref="R35:S35"/>
    <mergeCell ref="T35:U35"/>
    <mergeCell ref="C24:F24"/>
    <mergeCell ref="H24:K24"/>
    <mergeCell ref="M24:P24"/>
    <mergeCell ref="C28:D28"/>
    <mergeCell ref="H25:I25"/>
    <mergeCell ref="T27:U27"/>
    <mergeCell ref="R28:S28"/>
    <mergeCell ref="T28:U28"/>
    <mergeCell ref="H26:I26"/>
    <mergeCell ref="H27:I27"/>
    <mergeCell ref="R24:U24"/>
    <mergeCell ref="E25:F25"/>
    <mergeCell ref="E26:F26"/>
    <mergeCell ref="E27:F27"/>
    <mergeCell ref="E28:F28"/>
    <mergeCell ref="J27:K27"/>
    <mergeCell ref="H28:I28"/>
    <mergeCell ref="J28:K28"/>
    <mergeCell ref="T43:U43"/>
    <mergeCell ref="R44:S44"/>
    <mergeCell ref="T44:U44"/>
    <mergeCell ref="O47:P47"/>
    <mergeCell ref="C44:G44"/>
    <mergeCell ref="C45:G45"/>
    <mergeCell ref="C46:G46"/>
    <mergeCell ref="C47:G47"/>
    <mergeCell ref="C48:G48"/>
    <mergeCell ref="R43:S43"/>
    <mergeCell ref="M47:N47"/>
    <mergeCell ref="M45:N45"/>
    <mergeCell ref="C58:G58"/>
    <mergeCell ref="E30:F30"/>
    <mergeCell ref="C25:D25"/>
    <mergeCell ref="C26:D26"/>
    <mergeCell ref="C27:D27"/>
    <mergeCell ref="C29:D29"/>
    <mergeCell ref="C30:D30"/>
    <mergeCell ref="E29:F29"/>
    <mergeCell ref="C49:G49"/>
    <mergeCell ref="C50:G50"/>
    <mergeCell ref="C51:G51"/>
    <mergeCell ref="C52:G52"/>
    <mergeCell ref="C53:G53"/>
    <mergeCell ref="C54:G54"/>
    <mergeCell ref="C55:G55"/>
    <mergeCell ref="C56:G56"/>
    <mergeCell ref="C57:G57"/>
    <mergeCell ref="C39:G39"/>
    <mergeCell ref="C59:G59"/>
    <mergeCell ref="C60:G60"/>
    <mergeCell ref="C61:G61"/>
    <mergeCell ref="C62:G62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74:G74"/>
    <mergeCell ref="H74:I74"/>
    <mergeCell ref="J74:K74"/>
    <mergeCell ref="H70:I70"/>
    <mergeCell ref="J70:K70"/>
    <mergeCell ref="H71:I71"/>
    <mergeCell ref="J71:K71"/>
    <mergeCell ref="H72:I72"/>
    <mergeCell ref="J72:K72"/>
    <mergeCell ref="H73:I73"/>
    <mergeCell ref="J73:K73"/>
    <mergeCell ref="H68:I68"/>
    <mergeCell ref="J68:K68"/>
    <mergeCell ref="H69:I69"/>
    <mergeCell ref="J69:K69"/>
    <mergeCell ref="C75:G75"/>
    <mergeCell ref="H75:I75"/>
    <mergeCell ref="J75:K75"/>
    <mergeCell ref="H50:I50"/>
    <mergeCell ref="J50:K50"/>
    <mergeCell ref="H51:I51"/>
    <mergeCell ref="J51:K51"/>
    <mergeCell ref="H52:I52"/>
    <mergeCell ref="J52:K52"/>
    <mergeCell ref="H53:I53"/>
    <mergeCell ref="J53:K53"/>
    <mergeCell ref="H54:I54"/>
    <mergeCell ref="J54:K54"/>
    <mergeCell ref="H55:I55"/>
    <mergeCell ref="J55:K55"/>
    <mergeCell ref="H56:I56"/>
    <mergeCell ref="J56:K56"/>
    <mergeCell ref="H57:I57"/>
    <mergeCell ref="J57:K57"/>
    <mergeCell ref="H58:I58"/>
    <mergeCell ref="J58:K58"/>
    <mergeCell ref="H59:I59"/>
    <mergeCell ref="J59:K59"/>
    <mergeCell ref="H60:I60"/>
    <mergeCell ref="H67:I67"/>
    <mergeCell ref="J67:K67"/>
    <mergeCell ref="T25:U25"/>
    <mergeCell ref="R26:S26"/>
    <mergeCell ref="T26:U26"/>
    <mergeCell ref="R27:S27"/>
    <mergeCell ref="O28:P28"/>
    <mergeCell ref="O25:P25"/>
    <mergeCell ref="O26:P26"/>
    <mergeCell ref="O27:P27"/>
    <mergeCell ref="J25:K25"/>
    <mergeCell ref="J26:K26"/>
    <mergeCell ref="J31:K31"/>
    <mergeCell ref="M25:N25"/>
    <mergeCell ref="M26:N26"/>
    <mergeCell ref="M27:N27"/>
    <mergeCell ref="R45:S45"/>
    <mergeCell ref="T45:U45"/>
    <mergeCell ref="R46:S46"/>
    <mergeCell ref="T46:U46"/>
    <mergeCell ref="J60:K60"/>
    <mergeCell ref="H61:I61"/>
    <mergeCell ref="J61:K61"/>
    <mergeCell ref="H62:I62"/>
    <mergeCell ref="H65:I65"/>
    <mergeCell ref="J65:K65"/>
    <mergeCell ref="H66:I66"/>
    <mergeCell ref="J66:K66"/>
    <mergeCell ref="J62:K62"/>
    <mergeCell ref="H63:I63"/>
    <mergeCell ref="J63:K63"/>
    <mergeCell ref="H64:I64"/>
    <mergeCell ref="J64:K64"/>
  </mergeCells>
  <dataValidations count="3">
    <dataValidation type="list" allowBlank="1" showInputMessage="1" showErrorMessage="1" sqref="H7:K7">
      <formula1>"CRI,CRA"</formula1>
    </dataValidation>
    <dataValidation type="list" allowBlank="1" showInputMessage="1" showErrorMessage="1" sqref="M7:P7">
      <formula1>"400,476"</formula1>
    </dataValidation>
    <dataValidation type="list" allowBlank="1" showInputMessage="1" showErrorMessage="1" sqref="T48:U48">
      <formula1>allin</formula1>
    </dataValidation>
  </dataValidations>
  <pageMargins left="0.51181102362204722" right="0.51181102362204722" top="0.78740157480314965" bottom="0.78740157480314965" header="0.31496062992125984" footer="0.31496062992125984"/>
  <pageSetup paperSize="9" scale="95" fitToWidth="2" fitToHeight="2" orientation="landscape" r:id="rId1"/>
  <ignoredErrors>
    <ignoredError sqref="H46:K59 H65:K65 H40:K41 I45 H45 J45:K45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BH371"/>
  <sheetViews>
    <sheetView showGridLines="0" tabSelected="1" topLeftCell="D1" zoomScale="70" zoomScaleNormal="70" workbookViewId="0">
      <selection activeCell="D5" sqref="D5"/>
    </sheetView>
  </sheetViews>
  <sheetFormatPr defaultColWidth="8.875" defaultRowHeight="14.25" outlineLevelCol="1" x14ac:dyDescent="0.2"/>
  <cols>
    <col min="1" max="1" width="9" style="3" customWidth="1"/>
    <col min="2" max="5" width="20.625" style="3" customWidth="1"/>
    <col min="6" max="6" width="22.25" style="3" customWidth="1"/>
    <col min="7" max="7" width="20.625" style="3" customWidth="1"/>
    <col min="8" max="15" width="17.75" style="3" customWidth="1" outlineLevel="1"/>
    <col min="16" max="16" width="8.875" style="5"/>
    <col min="17" max="20" width="17.75" style="3" customWidth="1"/>
    <col min="21" max="21" width="17.75" style="4" customWidth="1"/>
    <col min="22" max="22" width="17.75" style="3" customWidth="1"/>
    <col min="23" max="23" width="8.875" style="3"/>
    <col min="24" max="28" width="17.625" style="3" customWidth="1"/>
    <col min="29" max="29" width="10.25" style="3" customWidth="1"/>
    <col min="30" max="34" width="17.625" style="3" customWidth="1"/>
    <col min="35" max="35" width="8.875" style="3"/>
    <col min="36" max="41" width="17.625" style="3" customWidth="1"/>
    <col min="42" max="42" width="8.875" style="3"/>
    <col min="43" max="44" width="17.625" style="3" customWidth="1"/>
    <col min="45" max="46" width="8.875" style="3"/>
    <col min="47" max="59" width="16.375" style="3" customWidth="1"/>
    <col min="60" max="60" width="14.75" style="3" bestFit="1" customWidth="1"/>
    <col min="61" max="16384" width="8.875" style="3"/>
  </cols>
  <sheetData>
    <row r="2" spans="1:60" ht="16.5" x14ac:dyDescent="0.3">
      <c r="B2" s="78" t="s">
        <v>16</v>
      </c>
      <c r="C2" s="80">
        <v>360</v>
      </c>
      <c r="E2" s="37" t="s">
        <v>2</v>
      </c>
      <c r="F2" s="80">
        <v>0</v>
      </c>
      <c r="H2" s="37" t="s">
        <v>46</v>
      </c>
      <c r="I2" s="80" t="s">
        <v>524</v>
      </c>
      <c r="Q2" s="77" t="s">
        <v>2</v>
      </c>
      <c r="R2" s="40">
        <v>0</v>
      </c>
      <c r="T2" s="77" t="s">
        <v>43</v>
      </c>
      <c r="U2" s="42">
        <v>0.2</v>
      </c>
      <c r="X2" s="77" t="s">
        <v>2</v>
      </c>
      <c r="Y2" s="40">
        <v>0</v>
      </c>
      <c r="AA2" s="77" t="s">
        <v>420</v>
      </c>
      <c r="AB2" s="42">
        <f>AX9</f>
        <v>0</v>
      </c>
      <c r="AD2" s="77" t="s">
        <v>2</v>
      </c>
      <c r="AE2" s="40">
        <v>120</v>
      </c>
      <c r="AG2" s="77" t="s">
        <v>422</v>
      </c>
      <c r="AH2" s="42">
        <v>0</v>
      </c>
      <c r="AJ2" s="77" t="s">
        <v>2</v>
      </c>
      <c r="AK2" s="40">
        <f>prazo_op</f>
        <v>0</v>
      </c>
      <c r="AM2" s="77" t="s">
        <v>423</v>
      </c>
      <c r="AN2" s="42">
        <f>tx_over</f>
        <v>0</v>
      </c>
      <c r="AQ2" s="5"/>
      <c r="AR2" s="5"/>
    </row>
    <row r="3" spans="1:60" ht="16.5" x14ac:dyDescent="0.3">
      <c r="B3" s="78" t="s">
        <v>17</v>
      </c>
      <c r="C3" s="89">
        <v>1</v>
      </c>
      <c r="E3" s="79" t="s">
        <v>18</v>
      </c>
      <c r="F3" s="82">
        <v>42993</v>
      </c>
      <c r="H3" s="37" t="s">
        <v>22</v>
      </c>
      <c r="I3" s="88">
        <v>1</v>
      </c>
      <c r="Q3" s="77" t="s">
        <v>412</v>
      </c>
      <c r="R3" s="41">
        <v>0</v>
      </c>
      <c r="T3" s="77" t="s">
        <v>414</v>
      </c>
      <c r="U3" s="42">
        <f>tx_se</f>
        <v>0.2</v>
      </c>
      <c r="X3" s="77" t="s">
        <v>421</v>
      </c>
      <c r="Y3" s="41">
        <v>0</v>
      </c>
      <c r="AD3" s="77" t="s">
        <v>421</v>
      </c>
      <c r="AE3" s="41">
        <v>0</v>
      </c>
      <c r="AM3" s="77" t="s">
        <v>483</v>
      </c>
      <c r="AN3" s="42">
        <f>tx_lastro</f>
        <v>0.12683</v>
      </c>
      <c r="AQ3" s="5"/>
      <c r="AR3" s="5"/>
    </row>
    <row r="4" spans="1:60" ht="16.5" x14ac:dyDescent="0.3">
      <c r="B4" s="78" t="s">
        <v>411</v>
      </c>
      <c r="C4" s="90">
        <v>1</v>
      </c>
      <c r="E4" s="79" t="s">
        <v>19</v>
      </c>
      <c r="F4" s="82">
        <v>43023</v>
      </c>
      <c r="H4" s="37" t="s">
        <v>52</v>
      </c>
      <c r="I4" s="88">
        <v>1</v>
      </c>
      <c r="Q4" s="77" t="s">
        <v>413</v>
      </c>
      <c r="R4" s="41">
        <v>0</v>
      </c>
      <c r="U4" s="3"/>
      <c r="X4" s="77" t="s">
        <v>413</v>
      </c>
      <c r="Y4" s="41">
        <v>0</v>
      </c>
      <c r="AD4" s="77" t="s">
        <v>413</v>
      </c>
      <c r="AE4" s="41">
        <v>0</v>
      </c>
      <c r="AQ4" s="5"/>
      <c r="AR4" s="5"/>
    </row>
    <row r="5" spans="1:60" ht="16.5" x14ac:dyDescent="0.3">
      <c r="B5" s="78" t="s">
        <v>27</v>
      </c>
      <c r="C5" s="118">
        <v>0</v>
      </c>
      <c r="E5" s="79" t="s">
        <v>47</v>
      </c>
      <c r="F5" s="82">
        <v>43023</v>
      </c>
      <c r="Q5" s="77" t="s">
        <v>45</v>
      </c>
      <c r="R5" s="40">
        <v>0</v>
      </c>
      <c r="T5" s="77" t="s">
        <v>515</v>
      </c>
      <c r="U5" s="115">
        <f>INDEX(T:T,MATCH(prazo_se,A:A,0))</f>
        <v>0</v>
      </c>
      <c r="X5" s="77" t="s">
        <v>45</v>
      </c>
      <c r="Y5" s="40">
        <v>0</v>
      </c>
      <c r="AA5" s="77" t="s">
        <v>515</v>
      </c>
      <c r="AB5" s="115">
        <f>INDEX(AA:AA,MATCH(prazo_subp,A:A,0))</f>
        <v>0</v>
      </c>
      <c r="AD5" s="77" t="s">
        <v>45</v>
      </c>
      <c r="AE5" s="40">
        <v>0</v>
      </c>
      <c r="AG5" s="77" t="s">
        <v>515</v>
      </c>
      <c r="AH5" s="115" t="e">
        <f>INDEX(AG:AG,MATCH(prazo_sub,A:A,0))</f>
        <v>#N/A</v>
      </c>
      <c r="AQ5" s="5"/>
      <c r="AR5" s="5"/>
    </row>
    <row r="6" spans="1:60" ht="16.5" x14ac:dyDescent="0.3">
      <c r="B6" s="78" t="s">
        <v>515</v>
      </c>
      <c r="C6" s="118">
        <v>0</v>
      </c>
      <c r="E6" s="79" t="s">
        <v>20</v>
      </c>
      <c r="F6" s="82">
        <f>VLOOKUP(LARGE(A:A,1),A:C,3,0)</f>
        <v>42993</v>
      </c>
      <c r="H6" s="37" t="s">
        <v>21</v>
      </c>
      <c r="I6" s="81">
        <v>0.12683</v>
      </c>
      <c r="Q6" s="77" t="s">
        <v>64</v>
      </c>
      <c r="R6" s="41" t="s">
        <v>580</v>
      </c>
      <c r="U6" s="3"/>
      <c r="X6" s="77" t="s">
        <v>64</v>
      </c>
      <c r="Y6" s="41" t="s">
        <v>518</v>
      </c>
      <c r="AD6" s="77" t="s">
        <v>64</v>
      </c>
      <c r="AE6" s="41" t="s">
        <v>413</v>
      </c>
    </row>
    <row r="7" spans="1:60" s="5" customFormat="1" x14ac:dyDescent="0.2">
      <c r="H7" s="3"/>
      <c r="J7" s="3"/>
      <c r="K7" s="3"/>
      <c r="Q7" s="3"/>
      <c r="R7" s="22"/>
      <c r="S7" s="23"/>
      <c r="V7" s="21"/>
    </row>
    <row r="8" spans="1:60" ht="25.5" x14ac:dyDescent="0.2">
      <c r="B8" s="221" t="s">
        <v>4</v>
      </c>
      <c r="C8" s="222"/>
      <c r="D8" s="222"/>
      <c r="E8" s="222"/>
      <c r="F8" s="222"/>
      <c r="G8" s="223"/>
      <c r="H8" s="224" t="s">
        <v>430</v>
      </c>
      <c r="I8" s="225"/>
      <c r="J8" s="225"/>
      <c r="K8" s="225"/>
      <c r="L8" s="225"/>
      <c r="M8" s="225"/>
      <c r="N8" s="225"/>
      <c r="O8" s="225"/>
      <c r="P8" s="24"/>
      <c r="Q8" s="216" t="s">
        <v>8</v>
      </c>
      <c r="R8" s="216"/>
      <c r="S8" s="216"/>
      <c r="T8" s="216"/>
      <c r="U8" s="216"/>
      <c r="V8" s="216"/>
      <c r="X8" s="216" t="s">
        <v>58</v>
      </c>
      <c r="Y8" s="216"/>
      <c r="Z8" s="216"/>
      <c r="AA8" s="216"/>
      <c r="AB8" s="216"/>
      <c r="AD8" s="216" t="s">
        <v>59</v>
      </c>
      <c r="AE8" s="216"/>
      <c r="AF8" s="216"/>
      <c r="AG8" s="216"/>
      <c r="AH8" s="216"/>
      <c r="AJ8" s="216" t="s">
        <v>53</v>
      </c>
      <c r="AK8" s="216"/>
      <c r="AL8" s="216"/>
      <c r="AM8" s="216"/>
      <c r="AN8" s="216"/>
      <c r="AO8" s="216"/>
      <c r="AQ8" s="216" t="s">
        <v>415</v>
      </c>
      <c r="AR8" s="216"/>
    </row>
    <row r="9" spans="1:60" ht="15" customHeight="1" x14ac:dyDescent="0.2">
      <c r="B9" s="74"/>
      <c r="C9" s="75"/>
      <c r="D9" s="75"/>
      <c r="E9" s="75"/>
      <c r="F9" s="75"/>
      <c r="G9" s="76"/>
      <c r="H9" s="218" t="s">
        <v>27</v>
      </c>
      <c r="I9" s="226" t="s">
        <v>418</v>
      </c>
      <c r="J9" s="218" t="s">
        <v>410</v>
      </c>
      <c r="K9" s="218" t="s">
        <v>28</v>
      </c>
      <c r="L9" s="218" t="s">
        <v>32</v>
      </c>
      <c r="M9" s="218" t="s">
        <v>33</v>
      </c>
      <c r="N9" s="226" t="s">
        <v>419</v>
      </c>
      <c r="O9" s="218" t="s">
        <v>34</v>
      </c>
      <c r="P9" s="25"/>
      <c r="Q9" s="217" t="s">
        <v>27</v>
      </c>
      <c r="R9" s="217" t="s">
        <v>28</v>
      </c>
      <c r="S9" s="217" t="s">
        <v>32</v>
      </c>
      <c r="T9" s="217" t="s">
        <v>33</v>
      </c>
      <c r="U9" s="220" t="s">
        <v>42</v>
      </c>
      <c r="V9" s="220" t="s">
        <v>41</v>
      </c>
      <c r="X9" s="217" t="s">
        <v>27</v>
      </c>
      <c r="Y9" s="217" t="s">
        <v>28</v>
      </c>
      <c r="Z9" s="217" t="s">
        <v>32</v>
      </c>
      <c r="AA9" s="217" t="s">
        <v>33</v>
      </c>
      <c r="AB9" s="220" t="s">
        <v>42</v>
      </c>
      <c r="AD9" s="217" t="s">
        <v>27</v>
      </c>
      <c r="AE9" s="217" t="s">
        <v>28</v>
      </c>
      <c r="AF9" s="217" t="s">
        <v>32</v>
      </c>
      <c r="AG9" s="217" t="s">
        <v>33</v>
      </c>
      <c r="AH9" s="220" t="s">
        <v>42</v>
      </c>
      <c r="AJ9" s="217" t="s">
        <v>27</v>
      </c>
      <c r="AK9" s="217" t="s">
        <v>28</v>
      </c>
      <c r="AL9" s="217" t="s">
        <v>32</v>
      </c>
      <c r="AM9" s="217" t="s">
        <v>33</v>
      </c>
      <c r="AN9" s="220" t="s">
        <v>42</v>
      </c>
      <c r="AO9" s="220" t="s">
        <v>484</v>
      </c>
      <c r="AQ9" s="217" t="s">
        <v>416</v>
      </c>
      <c r="AR9" s="217" t="s">
        <v>417</v>
      </c>
      <c r="AU9" s="39">
        <f>IFERROR(((1+IRR(AU11:AU371))^12-1),0)</f>
        <v>0</v>
      </c>
      <c r="AV9" s="39">
        <f t="shared" ref="AV9:BG9" si="0">IFERROR(((1+IRR(AV11:AV371))^12-1),0)</f>
        <v>0</v>
      </c>
      <c r="AW9" s="39">
        <f t="shared" si="0"/>
        <v>0</v>
      </c>
      <c r="AX9" s="39">
        <f t="shared" si="0"/>
        <v>0</v>
      </c>
      <c r="AY9" s="39">
        <f t="shared" si="0"/>
        <v>0</v>
      </c>
      <c r="AZ9" s="39">
        <f t="shared" si="0"/>
        <v>0</v>
      </c>
      <c r="BA9" s="39">
        <f>tx_lastro</f>
        <v>0.12683</v>
      </c>
      <c r="BB9" s="39">
        <f>tx_lastro</f>
        <v>0.12683</v>
      </c>
      <c r="BC9" s="39">
        <f>tx_lastro</f>
        <v>0.12683</v>
      </c>
      <c r="BD9" s="39">
        <f>IFERROR(((1+IRR(BD11:BD371))^12-1),0)</f>
        <v>0</v>
      </c>
      <c r="BF9" s="39">
        <f>IFERROR(((1+IRR(BF11:BF371))^12-1),0)</f>
        <v>0</v>
      </c>
      <c r="BG9" s="39">
        <f t="shared" si="0"/>
        <v>0</v>
      </c>
      <c r="BH9" s="39">
        <f t="shared" ref="BH9" si="1">IFERROR(((1+IRR(BH11:BH371))^12-1),0)</f>
        <v>0</v>
      </c>
    </row>
    <row r="10" spans="1:60" ht="15" x14ac:dyDescent="0.2">
      <c r="B10" s="57" t="s">
        <v>3</v>
      </c>
      <c r="C10" s="57" t="s">
        <v>23</v>
      </c>
      <c r="D10" s="57" t="s">
        <v>24</v>
      </c>
      <c r="E10" s="57" t="s">
        <v>31</v>
      </c>
      <c r="F10" s="57" t="s">
        <v>25</v>
      </c>
      <c r="G10" s="57" t="s">
        <v>26</v>
      </c>
      <c r="H10" s="219"/>
      <c r="I10" s="227"/>
      <c r="J10" s="219"/>
      <c r="K10" s="219"/>
      <c r="L10" s="219"/>
      <c r="M10" s="219"/>
      <c r="N10" s="227"/>
      <c r="O10" s="219"/>
      <c r="P10" s="26"/>
      <c r="Q10" s="217"/>
      <c r="R10" s="217"/>
      <c r="S10" s="217"/>
      <c r="T10" s="217"/>
      <c r="U10" s="220"/>
      <c r="V10" s="220"/>
      <c r="X10" s="217"/>
      <c r="Y10" s="217"/>
      <c r="Z10" s="217"/>
      <c r="AA10" s="217"/>
      <c r="AB10" s="220"/>
      <c r="AD10" s="217"/>
      <c r="AE10" s="217"/>
      <c r="AF10" s="217"/>
      <c r="AG10" s="217"/>
      <c r="AH10" s="220"/>
      <c r="AJ10" s="217"/>
      <c r="AK10" s="217"/>
      <c r="AL10" s="217"/>
      <c r="AM10" s="217"/>
      <c r="AN10" s="220"/>
      <c r="AO10" s="220"/>
      <c r="AQ10" s="217"/>
      <c r="AR10" s="217"/>
      <c r="AU10" s="38" t="s">
        <v>52</v>
      </c>
      <c r="AV10" s="38" t="s">
        <v>424</v>
      </c>
      <c r="AW10" s="38" t="s">
        <v>425</v>
      </c>
      <c r="AX10" s="38" t="s">
        <v>426</v>
      </c>
      <c r="AY10" s="38" t="s">
        <v>427</v>
      </c>
      <c r="AZ10" s="38" t="s">
        <v>428</v>
      </c>
      <c r="BA10" s="38" t="s">
        <v>520</v>
      </c>
      <c r="BB10" s="38" t="s">
        <v>521</v>
      </c>
      <c r="BC10" s="38" t="s">
        <v>522</v>
      </c>
      <c r="BD10" s="38" t="s">
        <v>429</v>
      </c>
      <c r="BF10" s="38" t="s">
        <v>519</v>
      </c>
      <c r="BG10" s="38" t="s">
        <v>35</v>
      </c>
      <c r="BH10" s="38" t="s">
        <v>519</v>
      </c>
    </row>
    <row r="11" spans="1:60" ht="15" x14ac:dyDescent="0.25">
      <c r="A11" s="66">
        <f>IF(OR(A10+1&gt;$F$2,A10=0),0,A10+1)</f>
        <v>0</v>
      </c>
      <c r="B11" s="27"/>
      <c r="C11" s="28">
        <f>F3</f>
        <v>42993</v>
      </c>
      <c r="D11" s="28" t="s">
        <v>30</v>
      </c>
      <c r="E11" s="28" t="s">
        <v>30</v>
      </c>
      <c r="F11" s="29" t="s">
        <v>30</v>
      </c>
      <c r="G11" s="29" t="s">
        <v>30</v>
      </c>
      <c r="H11" s="30">
        <v>0</v>
      </c>
      <c r="I11" s="30">
        <f>SUM(I12:I371)</f>
        <v>0</v>
      </c>
      <c r="J11" s="30">
        <v>0</v>
      </c>
      <c r="K11" s="30">
        <v>0</v>
      </c>
      <c r="L11" s="30">
        <v>0</v>
      </c>
      <c r="M11" s="30">
        <f>SUM(N12:N1048576)</f>
        <v>0</v>
      </c>
      <c r="N11" s="30">
        <v>0</v>
      </c>
      <c r="O11" s="31" t="s">
        <v>30</v>
      </c>
      <c r="P11" s="32"/>
      <c r="Q11" s="33">
        <v>0</v>
      </c>
      <c r="R11" s="30">
        <v>0</v>
      </c>
      <c r="S11" s="30">
        <v>0</v>
      </c>
      <c r="T11" s="30">
        <f>per_se*sd_lastro1</f>
        <v>0</v>
      </c>
      <c r="U11" s="30">
        <f>SUM(U12:U1048576)</f>
        <v>0</v>
      </c>
      <c r="V11" s="30">
        <f>SUM(V12:V1048576)</f>
        <v>0</v>
      </c>
      <c r="X11" s="33">
        <v>0</v>
      </c>
      <c r="Y11" s="30">
        <v>0</v>
      </c>
      <c r="Z11" s="30">
        <v>0</v>
      </c>
      <c r="AA11" s="30">
        <f>sd_lastro1*per_subp</f>
        <v>0</v>
      </c>
      <c r="AB11" s="30">
        <f>SUM(AB12:AB1048576)</f>
        <v>0</v>
      </c>
      <c r="AD11" s="33">
        <v>0</v>
      </c>
      <c r="AE11" s="30">
        <v>0</v>
      </c>
      <c r="AF11" s="30">
        <v>0</v>
      </c>
      <c r="AG11" s="30">
        <f>sd_lastro1*per_sub</f>
        <v>0</v>
      </c>
      <c r="AH11" s="30">
        <f>SUM(AH12:AH1048576)</f>
        <v>0</v>
      </c>
      <c r="AJ11" s="85">
        <f t="shared" ref="AJ11:AJ74" si="2">IF($A11="","",J11-IF(AD11="",0,AD11)-IF(Q11="",0,Q11)-IF(X11="",0,X11))</f>
        <v>0</v>
      </c>
      <c r="AK11" s="97">
        <v>0</v>
      </c>
      <c r="AL11" s="97">
        <v>0</v>
      </c>
      <c r="AM11" s="97">
        <f>sd_lastro1-sd_se-sd_subp-sd_sub</f>
        <v>0</v>
      </c>
      <c r="AN11" s="97">
        <f>SUM(AN12:AN1048576)</f>
        <v>0</v>
      </c>
      <c r="AO11" s="97">
        <f>SUM(AO12:AO1048576)</f>
        <v>0</v>
      </c>
      <c r="AQ11" s="33"/>
      <c r="AR11" s="30"/>
      <c r="AU11" s="20">
        <f>-sd_lastro1</f>
        <v>0</v>
      </c>
      <c r="AV11" s="20">
        <f>-sd_lastro2</f>
        <v>0</v>
      </c>
      <c r="AW11" s="20">
        <f>-sd_se</f>
        <v>0</v>
      </c>
      <c r="AX11" s="20">
        <f>-sd_subp</f>
        <v>0</v>
      </c>
      <c r="AY11" s="20">
        <f>-sd_sub</f>
        <v>0</v>
      </c>
      <c r="AZ11" s="20">
        <f>-sd_over</f>
        <v>0</v>
      </c>
      <c r="BA11" s="20">
        <f>NPV((1+BA9)^(1/12)-1,BA12:BA371)</f>
        <v>0</v>
      </c>
      <c r="BB11" s="20">
        <f>NPV((1+BB9)^(1/12)-1,BB12:BB371)</f>
        <v>0</v>
      </c>
      <c r="BC11" s="20">
        <f>NPV((1+BC9)^(1/12)-1,BC12:BC371)</f>
        <v>0</v>
      </c>
      <c r="BD11" s="19">
        <f>CUSTOS!B11</f>
        <v>0</v>
      </c>
      <c r="BF11" s="20">
        <f>AW11+AX11+AY11</f>
        <v>0</v>
      </c>
      <c r="BG11" s="20">
        <f>BF11-BD11</f>
        <v>0</v>
      </c>
      <c r="BH11" s="116">
        <f>AW11+AX11+AY11-(BA11+AX11)-(BB11+AY11)-(BC11+AZ11)-BD11</f>
        <v>0</v>
      </c>
    </row>
    <row r="12" spans="1:60" ht="15" x14ac:dyDescent="0.25">
      <c r="A12" s="66" t="str">
        <f>IF(LARGE($A$11:A11,1)=$F$2,"",A11+1)</f>
        <v/>
      </c>
      <c r="B12" s="27" t="str">
        <f t="shared" ref="B12:B75" si="3">IF($A12="","",DATE(YEAR(EDATE(C12,-def_fluxo)),MONTH(EDATE(C12,-def_fluxo)),1))</f>
        <v/>
      </c>
      <c r="C12" s="28" t="str">
        <f>IF($A12="","",F4)</f>
        <v/>
      </c>
      <c r="D12" s="28" t="str">
        <f t="shared" ref="D12:D75" si="4">IF($A12="","",WORKDAY(C12-1,1,holiday))</f>
        <v/>
      </c>
      <c r="E12" s="28" t="str">
        <f t="shared" ref="E12:E75" si="5">IF($A12="","",WORKDAY(D12,def_pgto,holiday))</f>
        <v/>
      </c>
      <c r="F12" s="29" t="str">
        <f t="shared" ref="F12:F75" si="6">IF(A12="","",IF(base_calc=252,NETWORKDAYS(D12,D12,holiday)-1,IF(base_calc=360,DAYS360(EDATE(C12,-1),C12,0),"")))</f>
        <v/>
      </c>
      <c r="G12" s="29" t="str">
        <f t="shared" ref="G12:G75" si="7">IF(A12="","",IF(base_calc=252,NETWORKDAYS($F$3,D12,holiday)-1,IF(base_calc=360,DAYS360($F$3,C12),"")))</f>
        <v/>
      </c>
      <c r="H12" s="30" t="str">
        <f t="shared" ref="H12:H75" si="8">IF($A12="","",IF(C12&gt;=$F$5,IF($C$5&gt;0,$C$5,PMT((1+tx_lastro)^(1/12)-1,prazo_op,-$C$6)),0))</f>
        <v/>
      </c>
      <c r="I12" s="30" t="str">
        <f t="shared" ref="I12:I75" si="9">IF(A12="","",H12/(1+tx_lastro)^(G12/base_calc))</f>
        <v/>
      </c>
      <c r="J12" s="30" t="str">
        <f>IF(A12="","",H12+CUSTOS!B12)</f>
        <v/>
      </c>
      <c r="K12" s="30" t="str">
        <f>IF(A12="","",J12-L12)</f>
        <v/>
      </c>
      <c r="L12" s="30" t="str">
        <f>IF(A12="","",M11*((1+tx_lastro)^(G12/base_calc)-1))</f>
        <v/>
      </c>
      <c r="M12" s="30" t="str">
        <f>IF(A12="","",M11-K12)</f>
        <v/>
      </c>
      <c r="N12" s="30" t="str">
        <f t="shared" ref="N12:N75" si="10">IF(A12="","",J12/(1+tx_lastro)^(G12/base_calc))</f>
        <v/>
      </c>
      <c r="O12" s="31" t="str">
        <f>IF(A12="","",IFERROR(K12/M11,0))</f>
        <v/>
      </c>
      <c r="P12" s="32"/>
      <c r="Q12" s="33" t="str">
        <f t="shared" ref="Q12:Q75" si="11">IF($A12="","",IF($A12&gt;prazo_se,"",IF($R$6="A + J",R12+S12,J12*pmt_se)))</f>
        <v/>
      </c>
      <c r="R12" s="33" t="str">
        <f t="shared" ref="R12:R75" si="12">IF($A12="","",IF($A12&gt;prazo_se,"",IF(OR(H12=0,A12&lt;=carência_se),-S12,IF($R$6="A + J",O12*T11,Q12-S12))))</f>
        <v/>
      </c>
      <c r="S12" s="33" t="str">
        <f t="shared" ref="S12:S75" si="13">IF($A12="","",IF($A12&gt;prazo_se,"",T11*((1+tx_se)^(IF(A12&gt;1,F12,G12)/base_calc)-1)))</f>
        <v/>
      </c>
      <c r="T12" s="33" t="str">
        <f t="shared" ref="T12:T75" si="14">IF($A12="","",IF($A12&gt;prazo_se,"",T11-R12))</f>
        <v/>
      </c>
      <c r="U12" s="33" t="str">
        <f t="shared" ref="U12:U75" si="15">IF($A12="","",IF($A12&gt;prazo_se,"",Q12/(1+tx_se)^(G12/base_calc)))</f>
        <v/>
      </c>
      <c r="V12" s="33" t="str">
        <f t="shared" ref="V12:V75" si="16">IF($A12="","",IF($A12&gt;prazo_se,"",Q12/(1+tx_se2)^(G12/base_calc)))</f>
        <v/>
      </c>
      <c r="X12" s="33" t="str">
        <f t="shared" ref="X12:X75" si="17">IF($A12="","",IF($A12&gt;prazo_subp,"",IF($Y$6="PMT [diferença]",J12-IF(Q12="",0,Q12),IF($Y$6="A + J",Y12+Z12,(J12-Q12)*pmt_subp))))</f>
        <v/>
      </c>
      <c r="Y12" s="30" t="str">
        <f t="shared" ref="Y12:Y75" si="18">IF($A12="","",IF($A12&gt;prazo_subp,"",IF(A12&lt;=carência_subp,-Z12,IF($Y$6="A + J",O12*AA11,X12-Z12))))</f>
        <v/>
      </c>
      <c r="Z12" s="30" t="str">
        <f t="shared" ref="Z12:Z75" si="19">IF($A12="","",IF($A12&gt;prazo_subp,"",AA11*((1+tx_subp)^(IF(A12&gt;1,F12,G12)/base_calc)-1)))</f>
        <v/>
      </c>
      <c r="AA12" s="30" t="str">
        <f t="shared" ref="AA12:AA75" si="20">IF($A12="","",IF($A12&gt;prazo_subp,"",AA11-Y12))</f>
        <v/>
      </c>
      <c r="AB12" s="30" t="str">
        <f t="shared" ref="AB12:AB75" si="21">IF($A12="","",IF($A12&gt;prazo_subp,"",X12/(1+tx_subp)^(G12/base_calc)))</f>
        <v/>
      </c>
      <c r="AD12" s="33" t="str">
        <f t="shared" ref="AD12:AD75" si="22">IF($A12="","",IF($A12&gt;prazo_sub,"",IF($AE$6="PMT [diferença]",J12-Q12-X12,(J12-Q12-X12)*pmt_sub)))</f>
        <v/>
      </c>
      <c r="AE12" s="30" t="str">
        <f t="shared" ref="AE12:AE75" si="23">IF($A12="","",IF($A12&gt;prazo_sub,"",IF(A12&lt;=carência_sub,-AF12,IF($AE$6="% PMT",O12*AG11,AD12-AF12))))</f>
        <v/>
      </c>
      <c r="AF12" s="30" t="str">
        <f t="shared" ref="AF12:AF75" si="24">IF($A12="","",IF($A12&gt;prazo_sub,"",AG11*((1+tx_sub)^(IF(A12&gt;1,F12,G12)/base_calc)-1)))</f>
        <v/>
      </c>
      <c r="AG12" s="30" t="str">
        <f t="shared" ref="AG12:AG75" si="25">IF($A12="","",IF($A12&gt;prazo_sub,"",AG11-AE12))</f>
        <v/>
      </c>
      <c r="AH12" s="30" t="str">
        <f t="shared" ref="AH12:AH75" si="26">IF($A12="","",IF($A12&gt;prazo_sub,"",AD12/(1+tx_sub)^(G12/base_calc)))</f>
        <v/>
      </c>
      <c r="AJ12" s="85" t="str">
        <f t="shared" si="2"/>
        <v/>
      </c>
      <c r="AK12" s="86" t="str">
        <f>IF($A12="","",AJ12-AL12)</f>
        <v/>
      </c>
      <c r="AL12" s="86" t="str">
        <f t="shared" ref="AL12:AL13" si="27">IF(A12="","",AM11*((1+tx_over)^(IF(A12&gt;1,F12,G12)/base_calc)-1))</f>
        <v/>
      </c>
      <c r="AM12" s="86" t="str">
        <f t="shared" ref="AM12:AM13" si="28">IF(A12="","",AM11-AK12)</f>
        <v/>
      </c>
      <c r="AN12" s="86" t="str">
        <f t="shared" ref="AN12:AN13" si="29">IF($A12="","",AJ12/(1+tx_over)^(G12/base_calc))</f>
        <v/>
      </c>
      <c r="AO12" s="86" t="str">
        <f t="shared" ref="AO12:AO13" si="30">IF($A12="","",AJ12/(1+tx_lastro)^(G12/base_calc))</f>
        <v/>
      </c>
      <c r="AQ12" s="33" t="str">
        <f t="shared" ref="AQ12:AQ75" si="31">IF(A12="","",IF(AJ12&lt;=0,AJ12,0))</f>
        <v/>
      </c>
      <c r="AR12" s="30" t="str">
        <f t="shared" ref="AR12:AR75" si="32">IF(A12="","",IF(AJ12&gt;0,AJ12,0))</f>
        <v/>
      </c>
      <c r="AU12" s="20">
        <f t="shared" ref="AU12:AU75" si="33">IF(H12="",0,H12)</f>
        <v>0</v>
      </c>
      <c r="AV12" s="20">
        <f t="shared" ref="AV12:AV75" si="34">IF(J12="",0,J12)</f>
        <v>0</v>
      </c>
      <c r="AW12" s="19">
        <f>IF(Q12="",0,Q12)</f>
        <v>0</v>
      </c>
      <c r="AX12" s="19">
        <f>IF(X12="",0,X12)</f>
        <v>0</v>
      </c>
      <c r="AY12" s="19">
        <f>IF(AD12="",0,AD12)</f>
        <v>0</v>
      </c>
      <c r="AZ12" s="19">
        <f>IF(AJ12="",0,AJ12)</f>
        <v>0</v>
      </c>
      <c r="BA12" s="19">
        <f>AX12</f>
        <v>0</v>
      </c>
      <c r="BB12" s="19">
        <f>AY12</f>
        <v>0</v>
      </c>
      <c r="BC12" s="19">
        <f>AZ12</f>
        <v>0</v>
      </c>
      <c r="BD12" s="19">
        <f>-IF(CUSTOS!B12="",0,CUSTOS!B12)</f>
        <v>0</v>
      </c>
      <c r="BF12" s="20">
        <f>AW12+AX12+AY12+BD12</f>
        <v>0</v>
      </c>
      <c r="BG12" s="20">
        <f>BF12</f>
        <v>0</v>
      </c>
      <c r="BH12" s="116">
        <f>BG12</f>
        <v>0</v>
      </c>
    </row>
    <row r="13" spans="1:60" ht="15" x14ac:dyDescent="0.25">
      <c r="A13" s="66" t="str">
        <f>IF(LARGE($A$11:A12,1)=$F$2,"",A12+1)</f>
        <v/>
      </c>
      <c r="B13" s="27" t="str">
        <f t="shared" si="3"/>
        <v/>
      </c>
      <c r="C13" s="28" t="str">
        <f t="shared" ref="C13:C76" si="35">IF($A13="","",IF(OR(DAY($C$12)=30,DAY($C$12)=31),EOMONTH(EDATE(C12,1),0),EDATE(C12,1)))</f>
        <v/>
      </c>
      <c r="D13" s="28" t="str">
        <f t="shared" si="4"/>
        <v/>
      </c>
      <c r="E13" s="28" t="str">
        <f t="shared" si="5"/>
        <v/>
      </c>
      <c r="F13" s="29" t="str">
        <f t="shared" si="6"/>
        <v/>
      </c>
      <c r="G13" s="29" t="str">
        <f t="shared" si="7"/>
        <v/>
      </c>
      <c r="H13" s="30" t="str">
        <f t="shared" si="8"/>
        <v/>
      </c>
      <c r="I13" s="30" t="str">
        <f t="shared" si="9"/>
        <v/>
      </c>
      <c r="J13" s="30" t="str">
        <f>IF(A13="","",H13+CUSTOS!B13)</f>
        <v/>
      </c>
      <c r="K13" s="30" t="str">
        <f t="shared" ref="K13:K76" si="36">IF(A13="","",J13-L13)</f>
        <v/>
      </c>
      <c r="L13" s="30" t="str">
        <f t="shared" ref="L13:L76" si="37">IF(A13="","",M12*((1+tx_lastro)^(F13/base_calc)-1))</f>
        <v/>
      </c>
      <c r="M13" s="30" t="str">
        <f t="shared" ref="M13:M76" si="38">IF(A13="","",M12-K13)</f>
        <v/>
      </c>
      <c r="N13" s="30" t="str">
        <f t="shared" si="10"/>
        <v/>
      </c>
      <c r="O13" s="31" t="str">
        <f t="shared" ref="O13:O76" si="39">IF(A13="","",IFERROR(K13/M12,0))</f>
        <v/>
      </c>
      <c r="P13" s="32"/>
      <c r="Q13" s="33" t="str">
        <f t="shared" si="11"/>
        <v/>
      </c>
      <c r="R13" s="33" t="str">
        <f t="shared" si="12"/>
        <v/>
      </c>
      <c r="S13" s="33" t="str">
        <f t="shared" si="13"/>
        <v/>
      </c>
      <c r="T13" s="33" t="str">
        <f t="shared" si="14"/>
        <v/>
      </c>
      <c r="U13" s="33" t="str">
        <f t="shared" si="15"/>
        <v/>
      </c>
      <c r="V13" s="33" t="str">
        <f t="shared" si="16"/>
        <v/>
      </c>
      <c r="X13" s="33" t="str">
        <f t="shared" si="17"/>
        <v/>
      </c>
      <c r="Y13" s="30" t="str">
        <f t="shared" si="18"/>
        <v/>
      </c>
      <c r="Z13" s="30" t="str">
        <f t="shared" si="19"/>
        <v/>
      </c>
      <c r="AA13" s="30" t="str">
        <f t="shared" si="20"/>
        <v/>
      </c>
      <c r="AB13" s="30" t="str">
        <f t="shared" si="21"/>
        <v/>
      </c>
      <c r="AD13" s="33" t="str">
        <f t="shared" si="22"/>
        <v/>
      </c>
      <c r="AE13" s="30" t="str">
        <f t="shared" si="23"/>
        <v/>
      </c>
      <c r="AF13" s="30" t="str">
        <f t="shared" si="24"/>
        <v/>
      </c>
      <c r="AG13" s="30" t="str">
        <f t="shared" si="25"/>
        <v/>
      </c>
      <c r="AH13" s="30" t="str">
        <f t="shared" si="26"/>
        <v/>
      </c>
      <c r="AJ13" s="85" t="str">
        <f t="shared" si="2"/>
        <v/>
      </c>
      <c r="AK13" s="86" t="str">
        <f t="shared" ref="AK13" si="40">IF($A13="","",AJ13-AL13)</f>
        <v/>
      </c>
      <c r="AL13" s="86" t="str">
        <f t="shared" si="27"/>
        <v/>
      </c>
      <c r="AM13" s="86" t="str">
        <f t="shared" si="28"/>
        <v/>
      </c>
      <c r="AN13" s="86" t="str">
        <f t="shared" si="29"/>
        <v/>
      </c>
      <c r="AO13" s="86" t="str">
        <f t="shared" si="30"/>
        <v/>
      </c>
      <c r="AQ13" s="33" t="str">
        <f t="shared" si="31"/>
        <v/>
      </c>
      <c r="AR13" s="30" t="str">
        <f t="shared" si="32"/>
        <v/>
      </c>
      <c r="AU13" s="20">
        <f t="shared" si="33"/>
        <v>0</v>
      </c>
      <c r="AV13" s="20">
        <f t="shared" si="34"/>
        <v>0</v>
      </c>
      <c r="AW13" s="19">
        <f t="shared" ref="AW13:AW76" si="41">IF(Q13="",0,Q13)</f>
        <v>0</v>
      </c>
      <c r="AX13" s="19">
        <f t="shared" ref="AX13:AX76" si="42">IF(X13="",0,X13)</f>
        <v>0</v>
      </c>
      <c r="AY13" s="19">
        <f t="shared" ref="AY13:AY76" si="43">IF(AD13="",0,AD13)</f>
        <v>0</v>
      </c>
      <c r="AZ13" s="19">
        <f t="shared" ref="AZ13:AZ76" si="44">IF(AJ13="",0,AJ13)</f>
        <v>0</v>
      </c>
      <c r="BA13" s="19">
        <f t="shared" ref="BA13:BA76" si="45">AX13</f>
        <v>0</v>
      </c>
      <c r="BB13" s="19">
        <f t="shared" ref="BB13:BB76" si="46">AY13</f>
        <v>0</v>
      </c>
      <c r="BC13" s="19">
        <f t="shared" ref="BC13:BC76" si="47">AZ13</f>
        <v>0</v>
      </c>
      <c r="BD13" s="19">
        <f>-IF(CUSTOS!B13="",0,CUSTOS!B13)</f>
        <v>0</v>
      </c>
      <c r="BF13" s="20">
        <f t="shared" ref="BF13:BF76" si="48">AW13+AX13+AY13+BD13</f>
        <v>0</v>
      </c>
      <c r="BG13" s="20">
        <f t="shared" ref="BG13:BH76" si="49">BF13</f>
        <v>0</v>
      </c>
      <c r="BH13" s="116">
        <f t="shared" si="49"/>
        <v>0</v>
      </c>
    </row>
    <row r="14" spans="1:60" ht="15" x14ac:dyDescent="0.25">
      <c r="A14" s="66" t="str">
        <f>IF(LARGE($A$11:A13,1)=$F$2,"",A13+1)</f>
        <v/>
      </c>
      <c r="B14" s="27" t="str">
        <f t="shared" si="3"/>
        <v/>
      </c>
      <c r="C14" s="28" t="str">
        <f t="shared" si="35"/>
        <v/>
      </c>
      <c r="D14" s="28" t="str">
        <f t="shared" si="4"/>
        <v/>
      </c>
      <c r="E14" s="28" t="str">
        <f t="shared" si="5"/>
        <v/>
      </c>
      <c r="F14" s="29" t="str">
        <f t="shared" si="6"/>
        <v/>
      </c>
      <c r="G14" s="29" t="str">
        <f t="shared" si="7"/>
        <v/>
      </c>
      <c r="H14" s="30" t="str">
        <f t="shared" si="8"/>
        <v/>
      </c>
      <c r="I14" s="30" t="str">
        <f t="shared" si="9"/>
        <v/>
      </c>
      <c r="J14" s="30" t="str">
        <f>IF(A14="","",H14+CUSTOS!B14)</f>
        <v/>
      </c>
      <c r="K14" s="30" t="str">
        <f t="shared" si="36"/>
        <v/>
      </c>
      <c r="L14" s="30" t="str">
        <f t="shared" si="37"/>
        <v/>
      </c>
      <c r="M14" s="30" t="str">
        <f t="shared" si="38"/>
        <v/>
      </c>
      <c r="N14" s="30" t="str">
        <f t="shared" si="10"/>
        <v/>
      </c>
      <c r="O14" s="31" t="str">
        <f t="shared" si="39"/>
        <v/>
      </c>
      <c r="P14" s="32"/>
      <c r="Q14" s="33" t="str">
        <f t="shared" si="11"/>
        <v/>
      </c>
      <c r="R14" s="33" t="str">
        <f t="shared" si="12"/>
        <v/>
      </c>
      <c r="S14" s="33" t="str">
        <f t="shared" si="13"/>
        <v/>
      </c>
      <c r="T14" s="33" t="str">
        <f t="shared" si="14"/>
        <v/>
      </c>
      <c r="U14" s="33" t="str">
        <f t="shared" si="15"/>
        <v/>
      </c>
      <c r="V14" s="33" t="str">
        <f t="shared" si="16"/>
        <v/>
      </c>
      <c r="X14" s="33" t="str">
        <f t="shared" si="17"/>
        <v/>
      </c>
      <c r="Y14" s="30" t="str">
        <f t="shared" si="18"/>
        <v/>
      </c>
      <c r="Z14" s="30" t="str">
        <f t="shared" si="19"/>
        <v/>
      </c>
      <c r="AA14" s="30" t="str">
        <f t="shared" si="20"/>
        <v/>
      </c>
      <c r="AB14" s="30" t="str">
        <f t="shared" si="21"/>
        <v/>
      </c>
      <c r="AD14" s="33" t="str">
        <f t="shared" si="22"/>
        <v/>
      </c>
      <c r="AE14" s="30" t="str">
        <f t="shared" si="23"/>
        <v/>
      </c>
      <c r="AF14" s="30" t="str">
        <f t="shared" si="24"/>
        <v/>
      </c>
      <c r="AG14" s="30" t="str">
        <f t="shared" si="25"/>
        <v/>
      </c>
      <c r="AH14" s="30" t="str">
        <f t="shared" si="26"/>
        <v/>
      </c>
      <c r="AJ14" s="85" t="str">
        <f t="shared" si="2"/>
        <v/>
      </c>
      <c r="AK14" s="86" t="str">
        <f t="shared" ref="AK14:AK77" si="50">IF($A14="","",AJ14-AL14)</f>
        <v/>
      </c>
      <c r="AL14" s="86" t="str">
        <f t="shared" ref="AL14:AL77" si="51">IF(A14="","",AM13*((1+tx_over)^(IF(A14&gt;1,F14,G14)/base_calc)-1))</f>
        <v/>
      </c>
      <c r="AM14" s="86" t="str">
        <f t="shared" ref="AM14:AM77" si="52">IF(A14="","",AM13-AK14)</f>
        <v/>
      </c>
      <c r="AN14" s="86" t="str">
        <f t="shared" ref="AN14:AN77" si="53">IF($A14="","",AJ14/(1+tx_over)^(G14/base_calc))</f>
        <v/>
      </c>
      <c r="AO14" s="86" t="str">
        <f t="shared" ref="AO14:AO77" si="54">IF($A14="","",AJ14/(1+tx_lastro)^(G14/base_calc))</f>
        <v/>
      </c>
      <c r="AQ14" s="33" t="str">
        <f t="shared" si="31"/>
        <v/>
      </c>
      <c r="AR14" s="30" t="str">
        <f t="shared" si="32"/>
        <v/>
      </c>
      <c r="AU14" s="20">
        <f t="shared" si="33"/>
        <v>0</v>
      </c>
      <c r="AV14" s="20">
        <f t="shared" si="34"/>
        <v>0</v>
      </c>
      <c r="AW14" s="19">
        <f t="shared" si="41"/>
        <v>0</v>
      </c>
      <c r="AX14" s="19">
        <f t="shared" si="42"/>
        <v>0</v>
      </c>
      <c r="AY14" s="19">
        <f t="shared" si="43"/>
        <v>0</v>
      </c>
      <c r="AZ14" s="19">
        <f t="shared" si="44"/>
        <v>0</v>
      </c>
      <c r="BA14" s="19">
        <f t="shared" si="45"/>
        <v>0</v>
      </c>
      <c r="BB14" s="19">
        <f t="shared" si="46"/>
        <v>0</v>
      </c>
      <c r="BC14" s="19">
        <f t="shared" si="47"/>
        <v>0</v>
      </c>
      <c r="BD14" s="19">
        <f>-IF(CUSTOS!B14="",0,CUSTOS!B14)</f>
        <v>0</v>
      </c>
      <c r="BF14" s="20">
        <f t="shared" si="48"/>
        <v>0</v>
      </c>
      <c r="BG14" s="20">
        <f t="shared" si="49"/>
        <v>0</v>
      </c>
      <c r="BH14" s="116">
        <f t="shared" si="49"/>
        <v>0</v>
      </c>
    </row>
    <row r="15" spans="1:60" ht="15" x14ac:dyDescent="0.25">
      <c r="A15" s="66" t="str">
        <f>IF(LARGE($A$11:A14,1)=$F$2,"",A14+1)</f>
        <v/>
      </c>
      <c r="B15" s="27" t="str">
        <f t="shared" si="3"/>
        <v/>
      </c>
      <c r="C15" s="28" t="str">
        <f t="shared" si="35"/>
        <v/>
      </c>
      <c r="D15" s="28" t="str">
        <f t="shared" si="4"/>
        <v/>
      </c>
      <c r="E15" s="28" t="str">
        <f t="shared" si="5"/>
        <v/>
      </c>
      <c r="F15" s="29" t="str">
        <f t="shared" si="6"/>
        <v/>
      </c>
      <c r="G15" s="29" t="str">
        <f t="shared" si="7"/>
        <v/>
      </c>
      <c r="H15" s="30" t="str">
        <f t="shared" si="8"/>
        <v/>
      </c>
      <c r="I15" s="30" t="str">
        <f t="shared" si="9"/>
        <v/>
      </c>
      <c r="J15" s="30" t="str">
        <f>IF(A15="","",H15+CUSTOS!B15)</f>
        <v/>
      </c>
      <c r="K15" s="30" t="str">
        <f t="shared" si="36"/>
        <v/>
      </c>
      <c r="L15" s="30" t="str">
        <f t="shared" si="37"/>
        <v/>
      </c>
      <c r="M15" s="30" t="str">
        <f t="shared" si="38"/>
        <v/>
      </c>
      <c r="N15" s="30" t="str">
        <f t="shared" si="10"/>
        <v/>
      </c>
      <c r="O15" s="31" t="str">
        <f t="shared" si="39"/>
        <v/>
      </c>
      <c r="P15" s="32"/>
      <c r="Q15" s="33" t="str">
        <f t="shared" si="11"/>
        <v/>
      </c>
      <c r="R15" s="33" t="str">
        <f t="shared" si="12"/>
        <v/>
      </c>
      <c r="S15" s="33" t="str">
        <f t="shared" si="13"/>
        <v/>
      </c>
      <c r="T15" s="33" t="str">
        <f t="shared" si="14"/>
        <v/>
      </c>
      <c r="U15" s="33" t="str">
        <f t="shared" si="15"/>
        <v/>
      </c>
      <c r="V15" s="33" t="str">
        <f t="shared" si="16"/>
        <v/>
      </c>
      <c r="X15" s="33" t="str">
        <f t="shared" si="17"/>
        <v/>
      </c>
      <c r="Y15" s="30" t="str">
        <f t="shared" si="18"/>
        <v/>
      </c>
      <c r="Z15" s="30" t="str">
        <f t="shared" si="19"/>
        <v/>
      </c>
      <c r="AA15" s="30" t="str">
        <f t="shared" si="20"/>
        <v/>
      </c>
      <c r="AB15" s="30" t="str">
        <f t="shared" si="21"/>
        <v/>
      </c>
      <c r="AD15" s="33" t="str">
        <f t="shared" si="22"/>
        <v/>
      </c>
      <c r="AE15" s="30" t="str">
        <f t="shared" si="23"/>
        <v/>
      </c>
      <c r="AF15" s="30" t="str">
        <f t="shared" si="24"/>
        <v/>
      </c>
      <c r="AG15" s="30" t="str">
        <f t="shared" si="25"/>
        <v/>
      </c>
      <c r="AH15" s="30" t="str">
        <f t="shared" si="26"/>
        <v/>
      </c>
      <c r="AJ15" s="85" t="str">
        <f t="shared" si="2"/>
        <v/>
      </c>
      <c r="AK15" s="86" t="str">
        <f t="shared" si="50"/>
        <v/>
      </c>
      <c r="AL15" s="86" t="str">
        <f t="shared" si="51"/>
        <v/>
      </c>
      <c r="AM15" s="86" t="str">
        <f t="shared" si="52"/>
        <v/>
      </c>
      <c r="AN15" s="86" t="str">
        <f t="shared" si="53"/>
        <v/>
      </c>
      <c r="AO15" s="86" t="str">
        <f t="shared" si="54"/>
        <v/>
      </c>
      <c r="AQ15" s="33" t="str">
        <f t="shared" si="31"/>
        <v/>
      </c>
      <c r="AR15" s="30" t="str">
        <f t="shared" si="32"/>
        <v/>
      </c>
      <c r="AU15" s="20">
        <f t="shared" si="33"/>
        <v>0</v>
      </c>
      <c r="AV15" s="20">
        <f t="shared" si="34"/>
        <v>0</v>
      </c>
      <c r="AW15" s="19">
        <f t="shared" si="41"/>
        <v>0</v>
      </c>
      <c r="AX15" s="19">
        <f t="shared" si="42"/>
        <v>0</v>
      </c>
      <c r="AY15" s="19">
        <f t="shared" si="43"/>
        <v>0</v>
      </c>
      <c r="AZ15" s="19">
        <f t="shared" si="44"/>
        <v>0</v>
      </c>
      <c r="BA15" s="19">
        <f t="shared" si="45"/>
        <v>0</v>
      </c>
      <c r="BB15" s="19">
        <f t="shared" si="46"/>
        <v>0</v>
      </c>
      <c r="BC15" s="19">
        <f t="shared" si="47"/>
        <v>0</v>
      </c>
      <c r="BD15" s="19">
        <f>-IF(CUSTOS!B15="",0,CUSTOS!B15)</f>
        <v>0</v>
      </c>
      <c r="BF15" s="20">
        <f t="shared" si="48"/>
        <v>0</v>
      </c>
      <c r="BG15" s="20">
        <f t="shared" si="49"/>
        <v>0</v>
      </c>
      <c r="BH15" s="116">
        <f t="shared" si="49"/>
        <v>0</v>
      </c>
    </row>
    <row r="16" spans="1:60" ht="15" x14ac:dyDescent="0.25">
      <c r="A16" s="66" t="str">
        <f>IF(LARGE($A$11:A15,1)=$F$2,"",A15+1)</f>
        <v/>
      </c>
      <c r="B16" s="27" t="str">
        <f t="shared" si="3"/>
        <v/>
      </c>
      <c r="C16" s="28" t="str">
        <f t="shared" si="35"/>
        <v/>
      </c>
      <c r="D16" s="28" t="str">
        <f t="shared" si="4"/>
        <v/>
      </c>
      <c r="E16" s="28" t="str">
        <f t="shared" si="5"/>
        <v/>
      </c>
      <c r="F16" s="29" t="str">
        <f t="shared" si="6"/>
        <v/>
      </c>
      <c r="G16" s="29" t="str">
        <f t="shared" si="7"/>
        <v/>
      </c>
      <c r="H16" s="30" t="str">
        <f t="shared" si="8"/>
        <v/>
      </c>
      <c r="I16" s="30" t="str">
        <f t="shared" si="9"/>
        <v/>
      </c>
      <c r="J16" s="30" t="str">
        <f>IF(A16="","",H16+CUSTOS!B16)</f>
        <v/>
      </c>
      <c r="K16" s="30" t="str">
        <f t="shared" si="36"/>
        <v/>
      </c>
      <c r="L16" s="30" t="str">
        <f t="shared" si="37"/>
        <v/>
      </c>
      <c r="M16" s="30" t="str">
        <f t="shared" si="38"/>
        <v/>
      </c>
      <c r="N16" s="30" t="str">
        <f t="shared" si="10"/>
        <v/>
      </c>
      <c r="O16" s="31" t="str">
        <f t="shared" si="39"/>
        <v/>
      </c>
      <c r="P16" s="32"/>
      <c r="Q16" s="33" t="str">
        <f t="shared" si="11"/>
        <v/>
      </c>
      <c r="R16" s="33" t="str">
        <f t="shared" si="12"/>
        <v/>
      </c>
      <c r="S16" s="33" t="str">
        <f t="shared" si="13"/>
        <v/>
      </c>
      <c r="T16" s="33" t="str">
        <f t="shared" si="14"/>
        <v/>
      </c>
      <c r="U16" s="33" t="str">
        <f t="shared" si="15"/>
        <v/>
      </c>
      <c r="V16" s="33" t="str">
        <f t="shared" si="16"/>
        <v/>
      </c>
      <c r="X16" s="33" t="str">
        <f t="shared" si="17"/>
        <v/>
      </c>
      <c r="Y16" s="30" t="str">
        <f t="shared" si="18"/>
        <v/>
      </c>
      <c r="Z16" s="30" t="str">
        <f t="shared" si="19"/>
        <v/>
      </c>
      <c r="AA16" s="30" t="str">
        <f t="shared" si="20"/>
        <v/>
      </c>
      <c r="AB16" s="30" t="str">
        <f t="shared" si="21"/>
        <v/>
      </c>
      <c r="AD16" s="33" t="str">
        <f t="shared" si="22"/>
        <v/>
      </c>
      <c r="AE16" s="30" t="str">
        <f t="shared" si="23"/>
        <v/>
      </c>
      <c r="AF16" s="30" t="str">
        <f t="shared" si="24"/>
        <v/>
      </c>
      <c r="AG16" s="30" t="str">
        <f t="shared" si="25"/>
        <v/>
      </c>
      <c r="AH16" s="30" t="str">
        <f t="shared" si="26"/>
        <v/>
      </c>
      <c r="AJ16" s="85" t="str">
        <f t="shared" si="2"/>
        <v/>
      </c>
      <c r="AK16" s="86" t="str">
        <f t="shared" si="50"/>
        <v/>
      </c>
      <c r="AL16" s="86" t="str">
        <f t="shared" si="51"/>
        <v/>
      </c>
      <c r="AM16" s="86" t="str">
        <f t="shared" si="52"/>
        <v/>
      </c>
      <c r="AN16" s="86" t="str">
        <f t="shared" si="53"/>
        <v/>
      </c>
      <c r="AO16" s="86" t="str">
        <f t="shared" si="54"/>
        <v/>
      </c>
      <c r="AQ16" s="33" t="str">
        <f t="shared" si="31"/>
        <v/>
      </c>
      <c r="AR16" s="30" t="str">
        <f t="shared" si="32"/>
        <v/>
      </c>
      <c r="AU16" s="20">
        <f t="shared" si="33"/>
        <v>0</v>
      </c>
      <c r="AV16" s="20">
        <f t="shared" si="34"/>
        <v>0</v>
      </c>
      <c r="AW16" s="19">
        <f t="shared" si="41"/>
        <v>0</v>
      </c>
      <c r="AX16" s="19">
        <f t="shared" si="42"/>
        <v>0</v>
      </c>
      <c r="AY16" s="19">
        <f t="shared" si="43"/>
        <v>0</v>
      </c>
      <c r="AZ16" s="19">
        <f t="shared" si="44"/>
        <v>0</v>
      </c>
      <c r="BA16" s="19">
        <f t="shared" si="45"/>
        <v>0</v>
      </c>
      <c r="BB16" s="19">
        <f t="shared" si="46"/>
        <v>0</v>
      </c>
      <c r="BC16" s="19">
        <f t="shared" si="47"/>
        <v>0</v>
      </c>
      <c r="BD16" s="19">
        <f>-IF(CUSTOS!B16="",0,CUSTOS!B16)</f>
        <v>0</v>
      </c>
      <c r="BF16" s="20">
        <f t="shared" si="48"/>
        <v>0</v>
      </c>
      <c r="BG16" s="20">
        <f t="shared" si="49"/>
        <v>0</v>
      </c>
      <c r="BH16" s="116">
        <f t="shared" si="49"/>
        <v>0</v>
      </c>
    </row>
    <row r="17" spans="1:60" ht="15" x14ac:dyDescent="0.25">
      <c r="A17" s="66" t="str">
        <f>IF(LARGE($A$11:A16,1)=$F$2,"",A16+1)</f>
        <v/>
      </c>
      <c r="B17" s="27" t="str">
        <f t="shared" si="3"/>
        <v/>
      </c>
      <c r="C17" s="28" t="str">
        <f t="shared" si="35"/>
        <v/>
      </c>
      <c r="D17" s="28" t="str">
        <f t="shared" si="4"/>
        <v/>
      </c>
      <c r="E17" s="28" t="str">
        <f t="shared" si="5"/>
        <v/>
      </c>
      <c r="F17" s="29" t="str">
        <f t="shared" si="6"/>
        <v/>
      </c>
      <c r="G17" s="29" t="str">
        <f t="shared" si="7"/>
        <v/>
      </c>
      <c r="H17" s="30" t="str">
        <f t="shared" si="8"/>
        <v/>
      </c>
      <c r="I17" s="30" t="str">
        <f t="shared" si="9"/>
        <v/>
      </c>
      <c r="J17" s="30" t="str">
        <f>IF(A17="","",H17+CUSTOS!B17)</f>
        <v/>
      </c>
      <c r="K17" s="30" t="str">
        <f t="shared" si="36"/>
        <v/>
      </c>
      <c r="L17" s="30" t="str">
        <f t="shared" si="37"/>
        <v/>
      </c>
      <c r="M17" s="30" t="str">
        <f t="shared" si="38"/>
        <v/>
      </c>
      <c r="N17" s="30" t="str">
        <f t="shared" si="10"/>
        <v/>
      </c>
      <c r="O17" s="31" t="str">
        <f t="shared" si="39"/>
        <v/>
      </c>
      <c r="P17" s="32"/>
      <c r="Q17" s="33" t="str">
        <f t="shared" si="11"/>
        <v/>
      </c>
      <c r="R17" s="33" t="str">
        <f t="shared" si="12"/>
        <v/>
      </c>
      <c r="S17" s="33" t="str">
        <f t="shared" si="13"/>
        <v/>
      </c>
      <c r="T17" s="33" t="str">
        <f t="shared" si="14"/>
        <v/>
      </c>
      <c r="U17" s="33" t="str">
        <f t="shared" si="15"/>
        <v/>
      </c>
      <c r="V17" s="33" t="str">
        <f t="shared" si="16"/>
        <v/>
      </c>
      <c r="X17" s="33" t="str">
        <f t="shared" si="17"/>
        <v/>
      </c>
      <c r="Y17" s="30" t="str">
        <f t="shared" si="18"/>
        <v/>
      </c>
      <c r="Z17" s="30" t="str">
        <f t="shared" si="19"/>
        <v/>
      </c>
      <c r="AA17" s="30" t="str">
        <f t="shared" si="20"/>
        <v/>
      </c>
      <c r="AB17" s="30" t="str">
        <f t="shared" si="21"/>
        <v/>
      </c>
      <c r="AD17" s="33" t="str">
        <f t="shared" si="22"/>
        <v/>
      </c>
      <c r="AE17" s="30" t="str">
        <f t="shared" si="23"/>
        <v/>
      </c>
      <c r="AF17" s="30" t="str">
        <f t="shared" si="24"/>
        <v/>
      </c>
      <c r="AG17" s="30" t="str">
        <f t="shared" si="25"/>
        <v/>
      </c>
      <c r="AH17" s="30" t="str">
        <f t="shared" si="26"/>
        <v/>
      </c>
      <c r="AJ17" s="85" t="str">
        <f t="shared" si="2"/>
        <v/>
      </c>
      <c r="AK17" s="86" t="str">
        <f t="shared" si="50"/>
        <v/>
      </c>
      <c r="AL17" s="86" t="str">
        <f t="shared" si="51"/>
        <v/>
      </c>
      <c r="AM17" s="86" t="str">
        <f t="shared" si="52"/>
        <v/>
      </c>
      <c r="AN17" s="86" t="str">
        <f t="shared" si="53"/>
        <v/>
      </c>
      <c r="AO17" s="86" t="str">
        <f t="shared" si="54"/>
        <v/>
      </c>
      <c r="AQ17" s="33" t="str">
        <f t="shared" si="31"/>
        <v/>
      </c>
      <c r="AR17" s="30" t="str">
        <f t="shared" si="32"/>
        <v/>
      </c>
      <c r="AU17" s="20">
        <f t="shared" si="33"/>
        <v>0</v>
      </c>
      <c r="AV17" s="20">
        <f t="shared" si="34"/>
        <v>0</v>
      </c>
      <c r="AW17" s="19">
        <f t="shared" si="41"/>
        <v>0</v>
      </c>
      <c r="AX17" s="19">
        <f t="shared" si="42"/>
        <v>0</v>
      </c>
      <c r="AY17" s="19">
        <f t="shared" si="43"/>
        <v>0</v>
      </c>
      <c r="AZ17" s="19">
        <f t="shared" si="44"/>
        <v>0</v>
      </c>
      <c r="BA17" s="19">
        <f t="shared" si="45"/>
        <v>0</v>
      </c>
      <c r="BB17" s="19">
        <f t="shared" si="46"/>
        <v>0</v>
      </c>
      <c r="BC17" s="19">
        <f t="shared" si="47"/>
        <v>0</v>
      </c>
      <c r="BD17" s="19">
        <f>-IF(CUSTOS!B17="",0,CUSTOS!B17)</f>
        <v>0</v>
      </c>
      <c r="BF17" s="20">
        <f t="shared" si="48"/>
        <v>0</v>
      </c>
      <c r="BG17" s="20">
        <f t="shared" si="49"/>
        <v>0</v>
      </c>
      <c r="BH17" s="116">
        <f t="shared" si="49"/>
        <v>0</v>
      </c>
    </row>
    <row r="18" spans="1:60" ht="15" x14ac:dyDescent="0.25">
      <c r="A18" s="66" t="str">
        <f>IF(LARGE($A$11:A17,1)=$F$2,"",A17+1)</f>
        <v/>
      </c>
      <c r="B18" s="27" t="str">
        <f t="shared" si="3"/>
        <v/>
      </c>
      <c r="C18" s="28" t="str">
        <f t="shared" si="35"/>
        <v/>
      </c>
      <c r="D18" s="28" t="str">
        <f t="shared" si="4"/>
        <v/>
      </c>
      <c r="E18" s="28" t="str">
        <f t="shared" si="5"/>
        <v/>
      </c>
      <c r="F18" s="29" t="str">
        <f t="shared" si="6"/>
        <v/>
      </c>
      <c r="G18" s="29" t="str">
        <f t="shared" si="7"/>
        <v/>
      </c>
      <c r="H18" s="30" t="str">
        <f t="shared" si="8"/>
        <v/>
      </c>
      <c r="I18" s="30" t="str">
        <f t="shared" si="9"/>
        <v/>
      </c>
      <c r="J18" s="30" t="str">
        <f>IF(A18="","",H18+CUSTOS!B18)</f>
        <v/>
      </c>
      <c r="K18" s="30" t="str">
        <f t="shared" si="36"/>
        <v/>
      </c>
      <c r="L18" s="30" t="str">
        <f t="shared" si="37"/>
        <v/>
      </c>
      <c r="M18" s="30" t="str">
        <f t="shared" si="38"/>
        <v/>
      </c>
      <c r="N18" s="30" t="str">
        <f t="shared" si="10"/>
        <v/>
      </c>
      <c r="O18" s="31" t="str">
        <f t="shared" si="39"/>
        <v/>
      </c>
      <c r="P18" s="32"/>
      <c r="Q18" s="33" t="str">
        <f t="shared" si="11"/>
        <v/>
      </c>
      <c r="R18" s="33" t="str">
        <f t="shared" si="12"/>
        <v/>
      </c>
      <c r="S18" s="33" t="str">
        <f t="shared" si="13"/>
        <v/>
      </c>
      <c r="T18" s="33" t="str">
        <f t="shared" si="14"/>
        <v/>
      </c>
      <c r="U18" s="33" t="str">
        <f t="shared" si="15"/>
        <v/>
      </c>
      <c r="V18" s="33" t="str">
        <f t="shared" si="16"/>
        <v/>
      </c>
      <c r="X18" s="33" t="str">
        <f t="shared" si="17"/>
        <v/>
      </c>
      <c r="Y18" s="30" t="str">
        <f t="shared" si="18"/>
        <v/>
      </c>
      <c r="Z18" s="30" t="str">
        <f t="shared" si="19"/>
        <v/>
      </c>
      <c r="AA18" s="30" t="str">
        <f t="shared" si="20"/>
        <v/>
      </c>
      <c r="AB18" s="30" t="str">
        <f t="shared" si="21"/>
        <v/>
      </c>
      <c r="AD18" s="33" t="str">
        <f t="shared" si="22"/>
        <v/>
      </c>
      <c r="AE18" s="30" t="str">
        <f t="shared" si="23"/>
        <v/>
      </c>
      <c r="AF18" s="30" t="str">
        <f t="shared" si="24"/>
        <v/>
      </c>
      <c r="AG18" s="30" t="str">
        <f t="shared" si="25"/>
        <v/>
      </c>
      <c r="AH18" s="30" t="str">
        <f t="shared" si="26"/>
        <v/>
      </c>
      <c r="AJ18" s="85" t="str">
        <f t="shared" si="2"/>
        <v/>
      </c>
      <c r="AK18" s="86" t="str">
        <f t="shared" si="50"/>
        <v/>
      </c>
      <c r="AL18" s="86" t="str">
        <f t="shared" si="51"/>
        <v/>
      </c>
      <c r="AM18" s="86" t="str">
        <f t="shared" si="52"/>
        <v/>
      </c>
      <c r="AN18" s="86" t="str">
        <f t="shared" si="53"/>
        <v/>
      </c>
      <c r="AO18" s="86" t="str">
        <f t="shared" si="54"/>
        <v/>
      </c>
      <c r="AQ18" s="33" t="str">
        <f t="shared" si="31"/>
        <v/>
      </c>
      <c r="AR18" s="30" t="str">
        <f t="shared" si="32"/>
        <v/>
      </c>
      <c r="AU18" s="20">
        <f t="shared" si="33"/>
        <v>0</v>
      </c>
      <c r="AV18" s="20">
        <f t="shared" si="34"/>
        <v>0</v>
      </c>
      <c r="AW18" s="19">
        <f t="shared" si="41"/>
        <v>0</v>
      </c>
      <c r="AX18" s="19">
        <f t="shared" si="42"/>
        <v>0</v>
      </c>
      <c r="AY18" s="19">
        <f t="shared" si="43"/>
        <v>0</v>
      </c>
      <c r="AZ18" s="19">
        <f t="shared" si="44"/>
        <v>0</v>
      </c>
      <c r="BA18" s="19">
        <f t="shared" si="45"/>
        <v>0</v>
      </c>
      <c r="BB18" s="19">
        <f t="shared" si="46"/>
        <v>0</v>
      </c>
      <c r="BC18" s="19">
        <f t="shared" si="47"/>
        <v>0</v>
      </c>
      <c r="BD18" s="19">
        <f>-IF(CUSTOS!B18="",0,CUSTOS!B18)</f>
        <v>0</v>
      </c>
      <c r="BF18" s="20">
        <f t="shared" si="48"/>
        <v>0</v>
      </c>
      <c r="BG18" s="20">
        <f t="shared" si="49"/>
        <v>0</v>
      </c>
      <c r="BH18" s="116">
        <f t="shared" si="49"/>
        <v>0</v>
      </c>
    </row>
    <row r="19" spans="1:60" ht="15" x14ac:dyDescent="0.25">
      <c r="A19" s="66" t="str">
        <f>IF(LARGE($A$11:A18,1)=$F$2,"",A18+1)</f>
        <v/>
      </c>
      <c r="B19" s="27" t="str">
        <f t="shared" si="3"/>
        <v/>
      </c>
      <c r="C19" s="28" t="str">
        <f t="shared" si="35"/>
        <v/>
      </c>
      <c r="D19" s="28" t="str">
        <f t="shared" si="4"/>
        <v/>
      </c>
      <c r="E19" s="28" t="str">
        <f t="shared" si="5"/>
        <v/>
      </c>
      <c r="F19" s="29" t="str">
        <f t="shared" si="6"/>
        <v/>
      </c>
      <c r="G19" s="29" t="str">
        <f t="shared" si="7"/>
        <v/>
      </c>
      <c r="H19" s="30" t="str">
        <f t="shared" si="8"/>
        <v/>
      </c>
      <c r="I19" s="30" t="str">
        <f t="shared" si="9"/>
        <v/>
      </c>
      <c r="J19" s="30" t="str">
        <f>IF(A19="","",H19+CUSTOS!B19)</f>
        <v/>
      </c>
      <c r="K19" s="30" t="str">
        <f t="shared" si="36"/>
        <v/>
      </c>
      <c r="L19" s="30" t="str">
        <f t="shared" si="37"/>
        <v/>
      </c>
      <c r="M19" s="30" t="str">
        <f t="shared" si="38"/>
        <v/>
      </c>
      <c r="N19" s="30" t="str">
        <f t="shared" si="10"/>
        <v/>
      </c>
      <c r="O19" s="31" t="str">
        <f t="shared" si="39"/>
        <v/>
      </c>
      <c r="P19" s="32"/>
      <c r="Q19" s="33" t="str">
        <f t="shared" si="11"/>
        <v/>
      </c>
      <c r="R19" s="33" t="str">
        <f t="shared" si="12"/>
        <v/>
      </c>
      <c r="S19" s="33" t="str">
        <f t="shared" si="13"/>
        <v/>
      </c>
      <c r="T19" s="33" t="str">
        <f t="shared" si="14"/>
        <v/>
      </c>
      <c r="U19" s="33" t="str">
        <f t="shared" si="15"/>
        <v/>
      </c>
      <c r="V19" s="33" t="str">
        <f t="shared" si="16"/>
        <v/>
      </c>
      <c r="X19" s="33" t="str">
        <f t="shared" si="17"/>
        <v/>
      </c>
      <c r="Y19" s="30" t="str">
        <f t="shared" si="18"/>
        <v/>
      </c>
      <c r="Z19" s="30" t="str">
        <f t="shared" si="19"/>
        <v/>
      </c>
      <c r="AA19" s="30" t="str">
        <f t="shared" si="20"/>
        <v/>
      </c>
      <c r="AB19" s="30" t="str">
        <f t="shared" si="21"/>
        <v/>
      </c>
      <c r="AD19" s="33" t="str">
        <f t="shared" si="22"/>
        <v/>
      </c>
      <c r="AE19" s="30" t="str">
        <f t="shared" si="23"/>
        <v/>
      </c>
      <c r="AF19" s="30" t="str">
        <f t="shared" si="24"/>
        <v/>
      </c>
      <c r="AG19" s="30" t="str">
        <f t="shared" si="25"/>
        <v/>
      </c>
      <c r="AH19" s="30" t="str">
        <f t="shared" si="26"/>
        <v/>
      </c>
      <c r="AJ19" s="85" t="str">
        <f t="shared" si="2"/>
        <v/>
      </c>
      <c r="AK19" s="86" t="str">
        <f t="shared" si="50"/>
        <v/>
      </c>
      <c r="AL19" s="86" t="str">
        <f t="shared" si="51"/>
        <v/>
      </c>
      <c r="AM19" s="86" t="str">
        <f t="shared" si="52"/>
        <v/>
      </c>
      <c r="AN19" s="86" t="str">
        <f t="shared" si="53"/>
        <v/>
      </c>
      <c r="AO19" s="86" t="str">
        <f t="shared" si="54"/>
        <v/>
      </c>
      <c r="AQ19" s="33" t="str">
        <f t="shared" si="31"/>
        <v/>
      </c>
      <c r="AR19" s="30" t="str">
        <f t="shared" si="32"/>
        <v/>
      </c>
      <c r="AU19" s="20">
        <f t="shared" si="33"/>
        <v>0</v>
      </c>
      <c r="AV19" s="20">
        <f t="shared" si="34"/>
        <v>0</v>
      </c>
      <c r="AW19" s="19">
        <f t="shared" si="41"/>
        <v>0</v>
      </c>
      <c r="AX19" s="19">
        <f t="shared" si="42"/>
        <v>0</v>
      </c>
      <c r="AY19" s="19">
        <f t="shared" si="43"/>
        <v>0</v>
      </c>
      <c r="AZ19" s="19">
        <f t="shared" si="44"/>
        <v>0</v>
      </c>
      <c r="BA19" s="19">
        <f t="shared" si="45"/>
        <v>0</v>
      </c>
      <c r="BB19" s="19">
        <f t="shared" si="46"/>
        <v>0</v>
      </c>
      <c r="BC19" s="19">
        <f t="shared" si="47"/>
        <v>0</v>
      </c>
      <c r="BD19" s="19">
        <f>-IF(CUSTOS!B19="",0,CUSTOS!B19)</f>
        <v>0</v>
      </c>
      <c r="BF19" s="20">
        <f t="shared" si="48"/>
        <v>0</v>
      </c>
      <c r="BG19" s="20">
        <f t="shared" si="49"/>
        <v>0</v>
      </c>
      <c r="BH19" s="116">
        <f t="shared" si="49"/>
        <v>0</v>
      </c>
    </row>
    <row r="20" spans="1:60" ht="15" x14ac:dyDescent="0.25">
      <c r="A20" s="66" t="str">
        <f>IF(LARGE($A$11:A19,1)=$F$2,"",A19+1)</f>
        <v/>
      </c>
      <c r="B20" s="27" t="str">
        <f t="shared" si="3"/>
        <v/>
      </c>
      <c r="C20" s="28" t="str">
        <f t="shared" si="35"/>
        <v/>
      </c>
      <c r="D20" s="28" t="str">
        <f t="shared" si="4"/>
        <v/>
      </c>
      <c r="E20" s="28" t="str">
        <f t="shared" si="5"/>
        <v/>
      </c>
      <c r="F20" s="29" t="str">
        <f t="shared" si="6"/>
        <v/>
      </c>
      <c r="G20" s="29" t="str">
        <f t="shared" si="7"/>
        <v/>
      </c>
      <c r="H20" s="30" t="str">
        <f t="shared" si="8"/>
        <v/>
      </c>
      <c r="I20" s="30" t="str">
        <f t="shared" si="9"/>
        <v/>
      </c>
      <c r="J20" s="30" t="str">
        <f>IF(A20="","",H20+CUSTOS!B20)</f>
        <v/>
      </c>
      <c r="K20" s="30" t="str">
        <f t="shared" si="36"/>
        <v/>
      </c>
      <c r="L20" s="30" t="str">
        <f t="shared" si="37"/>
        <v/>
      </c>
      <c r="M20" s="30" t="str">
        <f t="shared" si="38"/>
        <v/>
      </c>
      <c r="N20" s="30" t="str">
        <f t="shared" si="10"/>
        <v/>
      </c>
      <c r="O20" s="31" t="str">
        <f t="shared" si="39"/>
        <v/>
      </c>
      <c r="P20" s="32"/>
      <c r="Q20" s="33" t="str">
        <f t="shared" si="11"/>
        <v/>
      </c>
      <c r="R20" s="33" t="str">
        <f t="shared" si="12"/>
        <v/>
      </c>
      <c r="S20" s="33" t="str">
        <f t="shared" si="13"/>
        <v/>
      </c>
      <c r="T20" s="33" t="str">
        <f t="shared" si="14"/>
        <v/>
      </c>
      <c r="U20" s="33" t="str">
        <f t="shared" si="15"/>
        <v/>
      </c>
      <c r="V20" s="33" t="str">
        <f t="shared" si="16"/>
        <v/>
      </c>
      <c r="X20" s="33" t="str">
        <f t="shared" si="17"/>
        <v/>
      </c>
      <c r="Y20" s="30" t="str">
        <f t="shared" si="18"/>
        <v/>
      </c>
      <c r="Z20" s="30" t="str">
        <f t="shared" si="19"/>
        <v/>
      </c>
      <c r="AA20" s="30" t="str">
        <f t="shared" si="20"/>
        <v/>
      </c>
      <c r="AB20" s="30" t="str">
        <f t="shared" si="21"/>
        <v/>
      </c>
      <c r="AD20" s="33" t="str">
        <f t="shared" si="22"/>
        <v/>
      </c>
      <c r="AE20" s="30" t="str">
        <f t="shared" si="23"/>
        <v/>
      </c>
      <c r="AF20" s="30" t="str">
        <f t="shared" si="24"/>
        <v/>
      </c>
      <c r="AG20" s="30" t="str">
        <f t="shared" si="25"/>
        <v/>
      </c>
      <c r="AH20" s="30" t="str">
        <f t="shared" si="26"/>
        <v/>
      </c>
      <c r="AJ20" s="85" t="str">
        <f t="shared" si="2"/>
        <v/>
      </c>
      <c r="AK20" s="86" t="str">
        <f t="shared" si="50"/>
        <v/>
      </c>
      <c r="AL20" s="86" t="str">
        <f t="shared" si="51"/>
        <v/>
      </c>
      <c r="AM20" s="86" t="str">
        <f t="shared" si="52"/>
        <v/>
      </c>
      <c r="AN20" s="86" t="str">
        <f t="shared" si="53"/>
        <v/>
      </c>
      <c r="AO20" s="86" t="str">
        <f t="shared" si="54"/>
        <v/>
      </c>
      <c r="AQ20" s="33" t="str">
        <f t="shared" si="31"/>
        <v/>
      </c>
      <c r="AR20" s="30" t="str">
        <f t="shared" si="32"/>
        <v/>
      </c>
      <c r="AU20" s="20">
        <f t="shared" si="33"/>
        <v>0</v>
      </c>
      <c r="AV20" s="20">
        <f t="shared" si="34"/>
        <v>0</v>
      </c>
      <c r="AW20" s="19">
        <f t="shared" si="41"/>
        <v>0</v>
      </c>
      <c r="AX20" s="19">
        <f t="shared" si="42"/>
        <v>0</v>
      </c>
      <c r="AY20" s="19">
        <f t="shared" si="43"/>
        <v>0</v>
      </c>
      <c r="AZ20" s="19">
        <f t="shared" si="44"/>
        <v>0</v>
      </c>
      <c r="BA20" s="19">
        <f t="shared" si="45"/>
        <v>0</v>
      </c>
      <c r="BB20" s="19">
        <f t="shared" si="46"/>
        <v>0</v>
      </c>
      <c r="BC20" s="19">
        <f t="shared" si="47"/>
        <v>0</v>
      </c>
      <c r="BD20" s="19">
        <f>-IF(CUSTOS!B20="",0,CUSTOS!B20)</f>
        <v>0</v>
      </c>
      <c r="BF20" s="20">
        <f t="shared" si="48"/>
        <v>0</v>
      </c>
      <c r="BG20" s="20">
        <f t="shared" si="49"/>
        <v>0</v>
      </c>
      <c r="BH20" s="116">
        <f t="shared" si="49"/>
        <v>0</v>
      </c>
    </row>
    <row r="21" spans="1:60" ht="15" x14ac:dyDescent="0.25">
      <c r="A21" s="66" t="str">
        <f>IF(LARGE($A$11:A20,1)=$F$2,"",A20+1)</f>
        <v/>
      </c>
      <c r="B21" s="27" t="str">
        <f t="shared" si="3"/>
        <v/>
      </c>
      <c r="C21" s="28" t="str">
        <f t="shared" si="35"/>
        <v/>
      </c>
      <c r="D21" s="28" t="str">
        <f t="shared" si="4"/>
        <v/>
      </c>
      <c r="E21" s="28" t="str">
        <f t="shared" si="5"/>
        <v/>
      </c>
      <c r="F21" s="29" t="str">
        <f t="shared" si="6"/>
        <v/>
      </c>
      <c r="G21" s="29" t="str">
        <f t="shared" si="7"/>
        <v/>
      </c>
      <c r="H21" s="30" t="str">
        <f t="shared" si="8"/>
        <v/>
      </c>
      <c r="I21" s="30" t="str">
        <f t="shared" si="9"/>
        <v/>
      </c>
      <c r="J21" s="30" t="str">
        <f>IF(A21="","",H21+CUSTOS!B21)</f>
        <v/>
      </c>
      <c r="K21" s="30" t="str">
        <f t="shared" si="36"/>
        <v/>
      </c>
      <c r="L21" s="30" t="str">
        <f t="shared" si="37"/>
        <v/>
      </c>
      <c r="M21" s="30" t="str">
        <f t="shared" si="38"/>
        <v/>
      </c>
      <c r="N21" s="30" t="str">
        <f t="shared" si="10"/>
        <v/>
      </c>
      <c r="O21" s="31" t="str">
        <f t="shared" si="39"/>
        <v/>
      </c>
      <c r="P21" s="32"/>
      <c r="Q21" s="33" t="str">
        <f t="shared" si="11"/>
        <v/>
      </c>
      <c r="R21" s="33" t="str">
        <f t="shared" si="12"/>
        <v/>
      </c>
      <c r="S21" s="33" t="str">
        <f t="shared" si="13"/>
        <v/>
      </c>
      <c r="T21" s="33" t="str">
        <f t="shared" si="14"/>
        <v/>
      </c>
      <c r="U21" s="33" t="str">
        <f t="shared" si="15"/>
        <v/>
      </c>
      <c r="V21" s="33" t="str">
        <f t="shared" si="16"/>
        <v/>
      </c>
      <c r="X21" s="33" t="str">
        <f t="shared" si="17"/>
        <v/>
      </c>
      <c r="Y21" s="30" t="str">
        <f t="shared" si="18"/>
        <v/>
      </c>
      <c r="Z21" s="30" t="str">
        <f t="shared" si="19"/>
        <v/>
      </c>
      <c r="AA21" s="30" t="str">
        <f t="shared" si="20"/>
        <v/>
      </c>
      <c r="AB21" s="30" t="str">
        <f t="shared" si="21"/>
        <v/>
      </c>
      <c r="AD21" s="33" t="str">
        <f t="shared" si="22"/>
        <v/>
      </c>
      <c r="AE21" s="30" t="str">
        <f t="shared" si="23"/>
        <v/>
      </c>
      <c r="AF21" s="30" t="str">
        <f t="shared" si="24"/>
        <v/>
      </c>
      <c r="AG21" s="30" t="str">
        <f t="shared" si="25"/>
        <v/>
      </c>
      <c r="AH21" s="30" t="str">
        <f t="shared" si="26"/>
        <v/>
      </c>
      <c r="AJ21" s="85" t="str">
        <f t="shared" si="2"/>
        <v/>
      </c>
      <c r="AK21" s="86" t="str">
        <f t="shared" si="50"/>
        <v/>
      </c>
      <c r="AL21" s="86" t="str">
        <f t="shared" si="51"/>
        <v/>
      </c>
      <c r="AM21" s="86" t="str">
        <f t="shared" si="52"/>
        <v/>
      </c>
      <c r="AN21" s="86" t="str">
        <f t="shared" si="53"/>
        <v/>
      </c>
      <c r="AO21" s="86" t="str">
        <f t="shared" si="54"/>
        <v/>
      </c>
      <c r="AQ21" s="33" t="str">
        <f t="shared" si="31"/>
        <v/>
      </c>
      <c r="AR21" s="30" t="str">
        <f t="shared" si="32"/>
        <v/>
      </c>
      <c r="AU21" s="20">
        <f t="shared" si="33"/>
        <v>0</v>
      </c>
      <c r="AV21" s="20">
        <f t="shared" si="34"/>
        <v>0</v>
      </c>
      <c r="AW21" s="19">
        <f t="shared" si="41"/>
        <v>0</v>
      </c>
      <c r="AX21" s="19">
        <f t="shared" si="42"/>
        <v>0</v>
      </c>
      <c r="AY21" s="19">
        <f t="shared" si="43"/>
        <v>0</v>
      </c>
      <c r="AZ21" s="19">
        <f t="shared" si="44"/>
        <v>0</v>
      </c>
      <c r="BA21" s="19">
        <f t="shared" si="45"/>
        <v>0</v>
      </c>
      <c r="BB21" s="19">
        <f t="shared" si="46"/>
        <v>0</v>
      </c>
      <c r="BC21" s="19">
        <f t="shared" si="47"/>
        <v>0</v>
      </c>
      <c r="BD21" s="19">
        <f>-IF(CUSTOS!B21="",0,CUSTOS!B21)</f>
        <v>0</v>
      </c>
      <c r="BF21" s="20">
        <f t="shared" si="48"/>
        <v>0</v>
      </c>
      <c r="BG21" s="20">
        <f t="shared" si="49"/>
        <v>0</v>
      </c>
      <c r="BH21" s="116">
        <f t="shared" si="49"/>
        <v>0</v>
      </c>
    </row>
    <row r="22" spans="1:60" ht="15" x14ac:dyDescent="0.25">
      <c r="A22" s="66" t="str">
        <f>IF(LARGE($A$11:A21,1)=$F$2,"",A21+1)</f>
        <v/>
      </c>
      <c r="B22" s="27" t="str">
        <f t="shared" si="3"/>
        <v/>
      </c>
      <c r="C22" s="28" t="str">
        <f t="shared" si="35"/>
        <v/>
      </c>
      <c r="D22" s="28" t="str">
        <f t="shared" si="4"/>
        <v/>
      </c>
      <c r="E22" s="28" t="str">
        <f t="shared" si="5"/>
        <v/>
      </c>
      <c r="F22" s="29" t="str">
        <f t="shared" si="6"/>
        <v/>
      </c>
      <c r="G22" s="29" t="str">
        <f t="shared" si="7"/>
        <v/>
      </c>
      <c r="H22" s="30" t="str">
        <f t="shared" si="8"/>
        <v/>
      </c>
      <c r="I22" s="30" t="str">
        <f t="shared" si="9"/>
        <v/>
      </c>
      <c r="J22" s="30" t="str">
        <f>IF(A22="","",H22+CUSTOS!B22)</f>
        <v/>
      </c>
      <c r="K22" s="30" t="str">
        <f t="shared" si="36"/>
        <v/>
      </c>
      <c r="L22" s="30" t="str">
        <f t="shared" si="37"/>
        <v/>
      </c>
      <c r="M22" s="30" t="str">
        <f t="shared" si="38"/>
        <v/>
      </c>
      <c r="N22" s="30" t="str">
        <f t="shared" si="10"/>
        <v/>
      </c>
      <c r="O22" s="31" t="str">
        <f t="shared" si="39"/>
        <v/>
      </c>
      <c r="P22" s="32"/>
      <c r="Q22" s="33" t="str">
        <f t="shared" si="11"/>
        <v/>
      </c>
      <c r="R22" s="33" t="str">
        <f t="shared" si="12"/>
        <v/>
      </c>
      <c r="S22" s="33" t="str">
        <f t="shared" si="13"/>
        <v/>
      </c>
      <c r="T22" s="33" t="str">
        <f t="shared" si="14"/>
        <v/>
      </c>
      <c r="U22" s="33" t="str">
        <f t="shared" si="15"/>
        <v/>
      </c>
      <c r="V22" s="33" t="str">
        <f t="shared" si="16"/>
        <v/>
      </c>
      <c r="X22" s="33" t="str">
        <f t="shared" si="17"/>
        <v/>
      </c>
      <c r="Y22" s="30" t="str">
        <f t="shared" si="18"/>
        <v/>
      </c>
      <c r="Z22" s="30" t="str">
        <f t="shared" si="19"/>
        <v/>
      </c>
      <c r="AA22" s="30" t="str">
        <f t="shared" si="20"/>
        <v/>
      </c>
      <c r="AB22" s="30" t="str">
        <f t="shared" si="21"/>
        <v/>
      </c>
      <c r="AD22" s="33" t="str">
        <f t="shared" si="22"/>
        <v/>
      </c>
      <c r="AE22" s="30" t="str">
        <f t="shared" si="23"/>
        <v/>
      </c>
      <c r="AF22" s="30" t="str">
        <f t="shared" si="24"/>
        <v/>
      </c>
      <c r="AG22" s="30" t="str">
        <f t="shared" si="25"/>
        <v/>
      </c>
      <c r="AH22" s="30" t="str">
        <f t="shared" si="26"/>
        <v/>
      </c>
      <c r="AJ22" s="85" t="str">
        <f t="shared" si="2"/>
        <v/>
      </c>
      <c r="AK22" s="86" t="str">
        <f t="shared" si="50"/>
        <v/>
      </c>
      <c r="AL22" s="86" t="str">
        <f t="shared" si="51"/>
        <v/>
      </c>
      <c r="AM22" s="86" t="str">
        <f t="shared" si="52"/>
        <v/>
      </c>
      <c r="AN22" s="86" t="str">
        <f t="shared" si="53"/>
        <v/>
      </c>
      <c r="AO22" s="86" t="str">
        <f t="shared" si="54"/>
        <v/>
      </c>
      <c r="AQ22" s="33" t="str">
        <f t="shared" si="31"/>
        <v/>
      </c>
      <c r="AR22" s="30" t="str">
        <f t="shared" si="32"/>
        <v/>
      </c>
      <c r="AU22" s="20">
        <f t="shared" si="33"/>
        <v>0</v>
      </c>
      <c r="AV22" s="20">
        <f t="shared" si="34"/>
        <v>0</v>
      </c>
      <c r="AW22" s="19">
        <f t="shared" si="41"/>
        <v>0</v>
      </c>
      <c r="AX22" s="19">
        <f t="shared" si="42"/>
        <v>0</v>
      </c>
      <c r="AY22" s="19">
        <f t="shared" si="43"/>
        <v>0</v>
      </c>
      <c r="AZ22" s="19">
        <f t="shared" si="44"/>
        <v>0</v>
      </c>
      <c r="BA22" s="19">
        <f t="shared" si="45"/>
        <v>0</v>
      </c>
      <c r="BB22" s="19">
        <f t="shared" si="46"/>
        <v>0</v>
      </c>
      <c r="BC22" s="19">
        <f t="shared" si="47"/>
        <v>0</v>
      </c>
      <c r="BD22" s="19">
        <f>-IF(CUSTOS!B22="",0,CUSTOS!B22)</f>
        <v>0</v>
      </c>
      <c r="BF22" s="20">
        <f t="shared" si="48"/>
        <v>0</v>
      </c>
      <c r="BG22" s="20">
        <f t="shared" si="49"/>
        <v>0</v>
      </c>
      <c r="BH22" s="116">
        <f t="shared" si="49"/>
        <v>0</v>
      </c>
    </row>
    <row r="23" spans="1:60" ht="15" x14ac:dyDescent="0.25">
      <c r="A23" s="66" t="str">
        <f>IF(LARGE($A$11:A22,1)=$F$2,"",A22+1)</f>
        <v/>
      </c>
      <c r="B23" s="27" t="str">
        <f t="shared" si="3"/>
        <v/>
      </c>
      <c r="C23" s="28" t="str">
        <f t="shared" si="35"/>
        <v/>
      </c>
      <c r="D23" s="28" t="str">
        <f t="shared" si="4"/>
        <v/>
      </c>
      <c r="E23" s="28" t="str">
        <f t="shared" si="5"/>
        <v/>
      </c>
      <c r="F23" s="29" t="str">
        <f t="shared" si="6"/>
        <v/>
      </c>
      <c r="G23" s="29" t="str">
        <f t="shared" si="7"/>
        <v/>
      </c>
      <c r="H23" s="30" t="str">
        <f t="shared" si="8"/>
        <v/>
      </c>
      <c r="I23" s="30" t="str">
        <f t="shared" si="9"/>
        <v/>
      </c>
      <c r="J23" s="30" t="str">
        <f>IF(A23="","",H23+CUSTOS!B23)</f>
        <v/>
      </c>
      <c r="K23" s="30" t="str">
        <f t="shared" si="36"/>
        <v/>
      </c>
      <c r="L23" s="30" t="str">
        <f t="shared" si="37"/>
        <v/>
      </c>
      <c r="M23" s="30" t="str">
        <f t="shared" si="38"/>
        <v/>
      </c>
      <c r="N23" s="30" t="str">
        <f t="shared" si="10"/>
        <v/>
      </c>
      <c r="O23" s="31" t="str">
        <f t="shared" si="39"/>
        <v/>
      </c>
      <c r="P23" s="32"/>
      <c r="Q23" s="33" t="str">
        <f t="shared" si="11"/>
        <v/>
      </c>
      <c r="R23" s="33" t="str">
        <f t="shared" si="12"/>
        <v/>
      </c>
      <c r="S23" s="33" t="str">
        <f t="shared" si="13"/>
        <v/>
      </c>
      <c r="T23" s="33" t="str">
        <f t="shared" si="14"/>
        <v/>
      </c>
      <c r="U23" s="33" t="str">
        <f t="shared" si="15"/>
        <v/>
      </c>
      <c r="V23" s="33" t="str">
        <f t="shared" si="16"/>
        <v/>
      </c>
      <c r="X23" s="33" t="str">
        <f t="shared" si="17"/>
        <v/>
      </c>
      <c r="Y23" s="30" t="str">
        <f t="shared" si="18"/>
        <v/>
      </c>
      <c r="Z23" s="30" t="str">
        <f t="shared" si="19"/>
        <v/>
      </c>
      <c r="AA23" s="30" t="str">
        <f t="shared" si="20"/>
        <v/>
      </c>
      <c r="AB23" s="30" t="str">
        <f t="shared" si="21"/>
        <v/>
      </c>
      <c r="AD23" s="33" t="str">
        <f t="shared" si="22"/>
        <v/>
      </c>
      <c r="AE23" s="30" t="str">
        <f t="shared" si="23"/>
        <v/>
      </c>
      <c r="AF23" s="30" t="str">
        <f t="shared" si="24"/>
        <v/>
      </c>
      <c r="AG23" s="30" t="str">
        <f t="shared" si="25"/>
        <v/>
      </c>
      <c r="AH23" s="30" t="str">
        <f t="shared" si="26"/>
        <v/>
      </c>
      <c r="AJ23" s="85" t="str">
        <f t="shared" si="2"/>
        <v/>
      </c>
      <c r="AK23" s="86" t="str">
        <f t="shared" si="50"/>
        <v/>
      </c>
      <c r="AL23" s="86" t="str">
        <f t="shared" si="51"/>
        <v/>
      </c>
      <c r="AM23" s="86" t="str">
        <f t="shared" si="52"/>
        <v/>
      </c>
      <c r="AN23" s="86" t="str">
        <f t="shared" si="53"/>
        <v/>
      </c>
      <c r="AO23" s="86" t="str">
        <f t="shared" si="54"/>
        <v/>
      </c>
      <c r="AQ23" s="33" t="str">
        <f t="shared" si="31"/>
        <v/>
      </c>
      <c r="AR23" s="30" t="str">
        <f t="shared" si="32"/>
        <v/>
      </c>
      <c r="AU23" s="20">
        <f t="shared" si="33"/>
        <v>0</v>
      </c>
      <c r="AV23" s="20">
        <f t="shared" si="34"/>
        <v>0</v>
      </c>
      <c r="AW23" s="19">
        <f t="shared" si="41"/>
        <v>0</v>
      </c>
      <c r="AX23" s="19">
        <f t="shared" si="42"/>
        <v>0</v>
      </c>
      <c r="AY23" s="19">
        <f t="shared" si="43"/>
        <v>0</v>
      </c>
      <c r="AZ23" s="19">
        <f t="shared" si="44"/>
        <v>0</v>
      </c>
      <c r="BA23" s="19">
        <f t="shared" si="45"/>
        <v>0</v>
      </c>
      <c r="BB23" s="19">
        <f t="shared" si="46"/>
        <v>0</v>
      </c>
      <c r="BC23" s="19">
        <f t="shared" si="47"/>
        <v>0</v>
      </c>
      <c r="BD23" s="19">
        <f>-IF(CUSTOS!B23="",0,CUSTOS!B23)</f>
        <v>0</v>
      </c>
      <c r="BF23" s="20">
        <f t="shared" si="48"/>
        <v>0</v>
      </c>
      <c r="BG23" s="20">
        <f t="shared" si="49"/>
        <v>0</v>
      </c>
      <c r="BH23" s="116">
        <f t="shared" si="49"/>
        <v>0</v>
      </c>
    </row>
    <row r="24" spans="1:60" ht="15" x14ac:dyDescent="0.25">
      <c r="A24" s="66" t="str">
        <f>IF(LARGE($A$11:A23,1)=$F$2,"",A23+1)</f>
        <v/>
      </c>
      <c r="B24" s="27" t="str">
        <f t="shared" si="3"/>
        <v/>
      </c>
      <c r="C24" s="28" t="str">
        <f t="shared" si="35"/>
        <v/>
      </c>
      <c r="D24" s="28" t="str">
        <f t="shared" si="4"/>
        <v/>
      </c>
      <c r="E24" s="28" t="str">
        <f t="shared" si="5"/>
        <v/>
      </c>
      <c r="F24" s="29" t="str">
        <f t="shared" si="6"/>
        <v/>
      </c>
      <c r="G24" s="29" t="str">
        <f t="shared" si="7"/>
        <v/>
      </c>
      <c r="H24" s="30" t="str">
        <f t="shared" si="8"/>
        <v/>
      </c>
      <c r="I24" s="30" t="str">
        <f t="shared" si="9"/>
        <v/>
      </c>
      <c r="J24" s="30" t="str">
        <f>IF(A24="","",H24+CUSTOS!B24)</f>
        <v/>
      </c>
      <c r="K24" s="30" t="str">
        <f t="shared" si="36"/>
        <v/>
      </c>
      <c r="L24" s="30" t="str">
        <f t="shared" si="37"/>
        <v/>
      </c>
      <c r="M24" s="30" t="str">
        <f t="shared" si="38"/>
        <v/>
      </c>
      <c r="N24" s="30" t="str">
        <f t="shared" si="10"/>
        <v/>
      </c>
      <c r="O24" s="31" t="str">
        <f t="shared" si="39"/>
        <v/>
      </c>
      <c r="P24" s="32"/>
      <c r="Q24" s="33" t="str">
        <f t="shared" si="11"/>
        <v/>
      </c>
      <c r="R24" s="33" t="str">
        <f t="shared" si="12"/>
        <v/>
      </c>
      <c r="S24" s="33" t="str">
        <f t="shared" si="13"/>
        <v/>
      </c>
      <c r="T24" s="33" t="str">
        <f t="shared" si="14"/>
        <v/>
      </c>
      <c r="U24" s="33" t="str">
        <f t="shared" si="15"/>
        <v/>
      </c>
      <c r="V24" s="33" t="str">
        <f t="shared" si="16"/>
        <v/>
      </c>
      <c r="X24" s="33" t="str">
        <f t="shared" si="17"/>
        <v/>
      </c>
      <c r="Y24" s="30" t="str">
        <f t="shared" si="18"/>
        <v/>
      </c>
      <c r="Z24" s="30" t="str">
        <f t="shared" si="19"/>
        <v/>
      </c>
      <c r="AA24" s="30" t="str">
        <f t="shared" si="20"/>
        <v/>
      </c>
      <c r="AB24" s="30" t="str">
        <f t="shared" si="21"/>
        <v/>
      </c>
      <c r="AD24" s="33" t="str">
        <f t="shared" si="22"/>
        <v/>
      </c>
      <c r="AE24" s="30" t="str">
        <f t="shared" si="23"/>
        <v/>
      </c>
      <c r="AF24" s="30" t="str">
        <f t="shared" si="24"/>
        <v/>
      </c>
      <c r="AG24" s="30" t="str">
        <f t="shared" si="25"/>
        <v/>
      </c>
      <c r="AH24" s="30" t="str">
        <f t="shared" si="26"/>
        <v/>
      </c>
      <c r="AJ24" s="85" t="str">
        <f t="shared" si="2"/>
        <v/>
      </c>
      <c r="AK24" s="86" t="str">
        <f t="shared" si="50"/>
        <v/>
      </c>
      <c r="AL24" s="86" t="str">
        <f t="shared" si="51"/>
        <v/>
      </c>
      <c r="AM24" s="86" t="str">
        <f t="shared" si="52"/>
        <v/>
      </c>
      <c r="AN24" s="86" t="str">
        <f t="shared" si="53"/>
        <v/>
      </c>
      <c r="AO24" s="86" t="str">
        <f t="shared" si="54"/>
        <v/>
      </c>
      <c r="AQ24" s="33" t="str">
        <f t="shared" si="31"/>
        <v/>
      </c>
      <c r="AR24" s="30" t="str">
        <f t="shared" si="32"/>
        <v/>
      </c>
      <c r="AU24" s="20">
        <f t="shared" si="33"/>
        <v>0</v>
      </c>
      <c r="AV24" s="20">
        <f t="shared" si="34"/>
        <v>0</v>
      </c>
      <c r="AW24" s="19">
        <f t="shared" si="41"/>
        <v>0</v>
      </c>
      <c r="AX24" s="19">
        <f t="shared" si="42"/>
        <v>0</v>
      </c>
      <c r="AY24" s="19">
        <f t="shared" si="43"/>
        <v>0</v>
      </c>
      <c r="AZ24" s="19">
        <f t="shared" si="44"/>
        <v>0</v>
      </c>
      <c r="BA24" s="19">
        <f t="shared" si="45"/>
        <v>0</v>
      </c>
      <c r="BB24" s="19">
        <f t="shared" si="46"/>
        <v>0</v>
      </c>
      <c r="BC24" s="19">
        <f t="shared" si="47"/>
        <v>0</v>
      </c>
      <c r="BD24" s="19">
        <f>-IF(CUSTOS!B24="",0,CUSTOS!B24)</f>
        <v>0</v>
      </c>
      <c r="BF24" s="20">
        <f t="shared" si="48"/>
        <v>0</v>
      </c>
      <c r="BG24" s="20">
        <f t="shared" si="49"/>
        <v>0</v>
      </c>
      <c r="BH24" s="116">
        <f t="shared" si="49"/>
        <v>0</v>
      </c>
    </row>
    <row r="25" spans="1:60" ht="15" x14ac:dyDescent="0.25">
      <c r="A25" s="66" t="str">
        <f>IF(LARGE($A$11:A24,1)=$F$2,"",A24+1)</f>
        <v/>
      </c>
      <c r="B25" s="27" t="str">
        <f t="shared" si="3"/>
        <v/>
      </c>
      <c r="C25" s="28" t="str">
        <f t="shared" si="35"/>
        <v/>
      </c>
      <c r="D25" s="28" t="str">
        <f t="shared" si="4"/>
        <v/>
      </c>
      <c r="E25" s="28" t="str">
        <f t="shared" si="5"/>
        <v/>
      </c>
      <c r="F25" s="29" t="str">
        <f t="shared" si="6"/>
        <v/>
      </c>
      <c r="G25" s="29" t="str">
        <f t="shared" si="7"/>
        <v/>
      </c>
      <c r="H25" s="30" t="str">
        <f t="shared" si="8"/>
        <v/>
      </c>
      <c r="I25" s="30" t="str">
        <f t="shared" si="9"/>
        <v/>
      </c>
      <c r="J25" s="30" t="str">
        <f>IF(A25="","",H25+CUSTOS!B25)</f>
        <v/>
      </c>
      <c r="K25" s="30" t="str">
        <f t="shared" si="36"/>
        <v/>
      </c>
      <c r="L25" s="30" t="str">
        <f t="shared" si="37"/>
        <v/>
      </c>
      <c r="M25" s="30" t="str">
        <f t="shared" si="38"/>
        <v/>
      </c>
      <c r="N25" s="30" t="str">
        <f t="shared" si="10"/>
        <v/>
      </c>
      <c r="O25" s="31" t="str">
        <f t="shared" si="39"/>
        <v/>
      </c>
      <c r="P25" s="32"/>
      <c r="Q25" s="33" t="str">
        <f t="shared" si="11"/>
        <v/>
      </c>
      <c r="R25" s="33" t="str">
        <f t="shared" si="12"/>
        <v/>
      </c>
      <c r="S25" s="33" t="str">
        <f t="shared" si="13"/>
        <v/>
      </c>
      <c r="T25" s="33" t="str">
        <f t="shared" si="14"/>
        <v/>
      </c>
      <c r="U25" s="33" t="str">
        <f t="shared" si="15"/>
        <v/>
      </c>
      <c r="V25" s="33" t="str">
        <f t="shared" si="16"/>
        <v/>
      </c>
      <c r="X25" s="33" t="str">
        <f t="shared" si="17"/>
        <v/>
      </c>
      <c r="Y25" s="30" t="str">
        <f t="shared" si="18"/>
        <v/>
      </c>
      <c r="Z25" s="30" t="str">
        <f t="shared" si="19"/>
        <v/>
      </c>
      <c r="AA25" s="30" t="str">
        <f t="shared" si="20"/>
        <v/>
      </c>
      <c r="AB25" s="30" t="str">
        <f t="shared" si="21"/>
        <v/>
      </c>
      <c r="AD25" s="33" t="str">
        <f t="shared" si="22"/>
        <v/>
      </c>
      <c r="AE25" s="30" t="str">
        <f t="shared" si="23"/>
        <v/>
      </c>
      <c r="AF25" s="30" t="str">
        <f t="shared" si="24"/>
        <v/>
      </c>
      <c r="AG25" s="30" t="str">
        <f t="shared" si="25"/>
        <v/>
      </c>
      <c r="AH25" s="30" t="str">
        <f t="shared" si="26"/>
        <v/>
      </c>
      <c r="AJ25" s="85" t="str">
        <f t="shared" si="2"/>
        <v/>
      </c>
      <c r="AK25" s="86" t="str">
        <f t="shared" si="50"/>
        <v/>
      </c>
      <c r="AL25" s="86" t="str">
        <f t="shared" si="51"/>
        <v/>
      </c>
      <c r="AM25" s="86" t="str">
        <f t="shared" si="52"/>
        <v/>
      </c>
      <c r="AN25" s="86" t="str">
        <f t="shared" si="53"/>
        <v/>
      </c>
      <c r="AO25" s="86" t="str">
        <f t="shared" si="54"/>
        <v/>
      </c>
      <c r="AQ25" s="33" t="str">
        <f t="shared" si="31"/>
        <v/>
      </c>
      <c r="AR25" s="30" t="str">
        <f t="shared" si="32"/>
        <v/>
      </c>
      <c r="AU25" s="20">
        <f t="shared" si="33"/>
        <v>0</v>
      </c>
      <c r="AV25" s="20">
        <f t="shared" si="34"/>
        <v>0</v>
      </c>
      <c r="AW25" s="19">
        <f t="shared" si="41"/>
        <v>0</v>
      </c>
      <c r="AX25" s="19">
        <f t="shared" si="42"/>
        <v>0</v>
      </c>
      <c r="AY25" s="19">
        <f t="shared" si="43"/>
        <v>0</v>
      </c>
      <c r="AZ25" s="19">
        <f t="shared" si="44"/>
        <v>0</v>
      </c>
      <c r="BA25" s="19">
        <f t="shared" si="45"/>
        <v>0</v>
      </c>
      <c r="BB25" s="19">
        <f t="shared" si="46"/>
        <v>0</v>
      </c>
      <c r="BC25" s="19">
        <f t="shared" si="47"/>
        <v>0</v>
      </c>
      <c r="BD25" s="19">
        <f>-IF(CUSTOS!B25="",0,CUSTOS!B25)</f>
        <v>0</v>
      </c>
      <c r="BF25" s="20">
        <f t="shared" si="48"/>
        <v>0</v>
      </c>
      <c r="BG25" s="20">
        <f t="shared" si="49"/>
        <v>0</v>
      </c>
      <c r="BH25" s="116">
        <f t="shared" si="49"/>
        <v>0</v>
      </c>
    </row>
    <row r="26" spans="1:60" ht="15" x14ac:dyDescent="0.25">
      <c r="A26" s="66" t="str">
        <f>IF(LARGE($A$11:A25,1)=$F$2,"",A25+1)</f>
        <v/>
      </c>
      <c r="B26" s="27" t="str">
        <f t="shared" si="3"/>
        <v/>
      </c>
      <c r="C26" s="28" t="str">
        <f t="shared" si="35"/>
        <v/>
      </c>
      <c r="D26" s="28" t="str">
        <f t="shared" si="4"/>
        <v/>
      </c>
      <c r="E26" s="28" t="str">
        <f t="shared" si="5"/>
        <v/>
      </c>
      <c r="F26" s="29" t="str">
        <f t="shared" si="6"/>
        <v/>
      </c>
      <c r="G26" s="29" t="str">
        <f t="shared" si="7"/>
        <v/>
      </c>
      <c r="H26" s="30" t="str">
        <f t="shared" si="8"/>
        <v/>
      </c>
      <c r="I26" s="30" t="str">
        <f t="shared" si="9"/>
        <v/>
      </c>
      <c r="J26" s="30" t="str">
        <f>IF(A26="","",H26+CUSTOS!B26)</f>
        <v/>
      </c>
      <c r="K26" s="30" t="str">
        <f t="shared" si="36"/>
        <v/>
      </c>
      <c r="L26" s="30" t="str">
        <f t="shared" si="37"/>
        <v/>
      </c>
      <c r="M26" s="30" t="str">
        <f t="shared" si="38"/>
        <v/>
      </c>
      <c r="N26" s="30" t="str">
        <f t="shared" si="10"/>
        <v/>
      </c>
      <c r="O26" s="31" t="str">
        <f t="shared" si="39"/>
        <v/>
      </c>
      <c r="P26" s="32"/>
      <c r="Q26" s="33" t="str">
        <f t="shared" si="11"/>
        <v/>
      </c>
      <c r="R26" s="33" t="str">
        <f t="shared" si="12"/>
        <v/>
      </c>
      <c r="S26" s="33" t="str">
        <f t="shared" si="13"/>
        <v/>
      </c>
      <c r="T26" s="33" t="str">
        <f t="shared" si="14"/>
        <v/>
      </c>
      <c r="U26" s="33" t="str">
        <f t="shared" si="15"/>
        <v/>
      </c>
      <c r="V26" s="33" t="str">
        <f t="shared" si="16"/>
        <v/>
      </c>
      <c r="X26" s="33" t="str">
        <f t="shared" si="17"/>
        <v/>
      </c>
      <c r="Y26" s="30" t="str">
        <f t="shared" si="18"/>
        <v/>
      </c>
      <c r="Z26" s="30" t="str">
        <f t="shared" si="19"/>
        <v/>
      </c>
      <c r="AA26" s="30" t="str">
        <f t="shared" si="20"/>
        <v/>
      </c>
      <c r="AB26" s="30" t="str">
        <f t="shared" si="21"/>
        <v/>
      </c>
      <c r="AD26" s="33" t="str">
        <f t="shared" si="22"/>
        <v/>
      </c>
      <c r="AE26" s="30" t="str">
        <f t="shared" si="23"/>
        <v/>
      </c>
      <c r="AF26" s="30" t="str">
        <f t="shared" si="24"/>
        <v/>
      </c>
      <c r="AG26" s="30" t="str">
        <f t="shared" si="25"/>
        <v/>
      </c>
      <c r="AH26" s="30" t="str">
        <f t="shared" si="26"/>
        <v/>
      </c>
      <c r="AJ26" s="85" t="str">
        <f t="shared" si="2"/>
        <v/>
      </c>
      <c r="AK26" s="86" t="str">
        <f t="shared" si="50"/>
        <v/>
      </c>
      <c r="AL26" s="86" t="str">
        <f t="shared" si="51"/>
        <v/>
      </c>
      <c r="AM26" s="86" t="str">
        <f t="shared" si="52"/>
        <v/>
      </c>
      <c r="AN26" s="86" t="str">
        <f t="shared" si="53"/>
        <v/>
      </c>
      <c r="AO26" s="86" t="str">
        <f t="shared" si="54"/>
        <v/>
      </c>
      <c r="AQ26" s="33" t="str">
        <f t="shared" si="31"/>
        <v/>
      </c>
      <c r="AR26" s="30" t="str">
        <f t="shared" si="32"/>
        <v/>
      </c>
      <c r="AU26" s="20">
        <f t="shared" si="33"/>
        <v>0</v>
      </c>
      <c r="AV26" s="20">
        <f t="shared" si="34"/>
        <v>0</v>
      </c>
      <c r="AW26" s="19">
        <f t="shared" si="41"/>
        <v>0</v>
      </c>
      <c r="AX26" s="19">
        <f t="shared" si="42"/>
        <v>0</v>
      </c>
      <c r="AY26" s="19">
        <f t="shared" si="43"/>
        <v>0</v>
      </c>
      <c r="AZ26" s="19">
        <f t="shared" si="44"/>
        <v>0</v>
      </c>
      <c r="BA26" s="19">
        <f t="shared" si="45"/>
        <v>0</v>
      </c>
      <c r="BB26" s="19">
        <f t="shared" si="46"/>
        <v>0</v>
      </c>
      <c r="BC26" s="19">
        <f t="shared" si="47"/>
        <v>0</v>
      </c>
      <c r="BD26" s="19">
        <f>-IF(CUSTOS!B26="",0,CUSTOS!B26)</f>
        <v>0</v>
      </c>
      <c r="BF26" s="20">
        <f t="shared" si="48"/>
        <v>0</v>
      </c>
      <c r="BG26" s="20">
        <f t="shared" si="49"/>
        <v>0</v>
      </c>
      <c r="BH26" s="116">
        <f t="shared" si="49"/>
        <v>0</v>
      </c>
    </row>
    <row r="27" spans="1:60" ht="15" x14ac:dyDescent="0.25">
      <c r="A27" s="66" t="str">
        <f>IF(LARGE($A$11:A26,1)=$F$2,"",A26+1)</f>
        <v/>
      </c>
      <c r="B27" s="27" t="str">
        <f t="shared" si="3"/>
        <v/>
      </c>
      <c r="C27" s="28" t="str">
        <f t="shared" si="35"/>
        <v/>
      </c>
      <c r="D27" s="28" t="str">
        <f t="shared" si="4"/>
        <v/>
      </c>
      <c r="E27" s="28" t="str">
        <f t="shared" si="5"/>
        <v/>
      </c>
      <c r="F27" s="29" t="str">
        <f t="shared" si="6"/>
        <v/>
      </c>
      <c r="G27" s="29" t="str">
        <f t="shared" si="7"/>
        <v/>
      </c>
      <c r="H27" s="30" t="str">
        <f t="shared" si="8"/>
        <v/>
      </c>
      <c r="I27" s="30" t="str">
        <f t="shared" si="9"/>
        <v/>
      </c>
      <c r="J27" s="30" t="str">
        <f>IF(A27="","",H27+CUSTOS!B27)</f>
        <v/>
      </c>
      <c r="K27" s="30" t="str">
        <f t="shared" si="36"/>
        <v/>
      </c>
      <c r="L27" s="30" t="str">
        <f t="shared" si="37"/>
        <v/>
      </c>
      <c r="M27" s="30" t="str">
        <f t="shared" si="38"/>
        <v/>
      </c>
      <c r="N27" s="30" t="str">
        <f t="shared" si="10"/>
        <v/>
      </c>
      <c r="O27" s="31" t="str">
        <f t="shared" si="39"/>
        <v/>
      </c>
      <c r="P27" s="32"/>
      <c r="Q27" s="33" t="str">
        <f t="shared" si="11"/>
        <v/>
      </c>
      <c r="R27" s="33" t="str">
        <f t="shared" si="12"/>
        <v/>
      </c>
      <c r="S27" s="33" t="str">
        <f t="shared" si="13"/>
        <v/>
      </c>
      <c r="T27" s="33" t="str">
        <f t="shared" si="14"/>
        <v/>
      </c>
      <c r="U27" s="33" t="str">
        <f t="shared" si="15"/>
        <v/>
      </c>
      <c r="V27" s="33" t="str">
        <f t="shared" si="16"/>
        <v/>
      </c>
      <c r="X27" s="33" t="str">
        <f t="shared" si="17"/>
        <v/>
      </c>
      <c r="Y27" s="30" t="str">
        <f t="shared" si="18"/>
        <v/>
      </c>
      <c r="Z27" s="30" t="str">
        <f t="shared" si="19"/>
        <v/>
      </c>
      <c r="AA27" s="30" t="str">
        <f t="shared" si="20"/>
        <v/>
      </c>
      <c r="AB27" s="30" t="str">
        <f t="shared" si="21"/>
        <v/>
      </c>
      <c r="AD27" s="33" t="str">
        <f t="shared" si="22"/>
        <v/>
      </c>
      <c r="AE27" s="30" t="str">
        <f t="shared" si="23"/>
        <v/>
      </c>
      <c r="AF27" s="30" t="str">
        <f t="shared" si="24"/>
        <v/>
      </c>
      <c r="AG27" s="30" t="str">
        <f t="shared" si="25"/>
        <v/>
      </c>
      <c r="AH27" s="30" t="str">
        <f t="shared" si="26"/>
        <v/>
      </c>
      <c r="AJ27" s="85" t="str">
        <f t="shared" si="2"/>
        <v/>
      </c>
      <c r="AK27" s="86" t="str">
        <f t="shared" si="50"/>
        <v/>
      </c>
      <c r="AL27" s="86" t="str">
        <f t="shared" si="51"/>
        <v/>
      </c>
      <c r="AM27" s="86" t="str">
        <f t="shared" si="52"/>
        <v/>
      </c>
      <c r="AN27" s="86" t="str">
        <f t="shared" si="53"/>
        <v/>
      </c>
      <c r="AO27" s="86" t="str">
        <f t="shared" si="54"/>
        <v/>
      </c>
      <c r="AQ27" s="33" t="str">
        <f t="shared" si="31"/>
        <v/>
      </c>
      <c r="AR27" s="30" t="str">
        <f t="shared" si="32"/>
        <v/>
      </c>
      <c r="AU27" s="20">
        <f t="shared" si="33"/>
        <v>0</v>
      </c>
      <c r="AV27" s="20">
        <f t="shared" si="34"/>
        <v>0</v>
      </c>
      <c r="AW27" s="19">
        <f t="shared" si="41"/>
        <v>0</v>
      </c>
      <c r="AX27" s="19">
        <f t="shared" si="42"/>
        <v>0</v>
      </c>
      <c r="AY27" s="19">
        <f t="shared" si="43"/>
        <v>0</v>
      </c>
      <c r="AZ27" s="19">
        <f t="shared" si="44"/>
        <v>0</v>
      </c>
      <c r="BA27" s="19">
        <f t="shared" si="45"/>
        <v>0</v>
      </c>
      <c r="BB27" s="19">
        <f t="shared" si="46"/>
        <v>0</v>
      </c>
      <c r="BC27" s="19">
        <f t="shared" si="47"/>
        <v>0</v>
      </c>
      <c r="BD27" s="19">
        <f>-IF(CUSTOS!B27="",0,CUSTOS!B27)</f>
        <v>0</v>
      </c>
      <c r="BF27" s="20">
        <f t="shared" si="48"/>
        <v>0</v>
      </c>
      <c r="BG27" s="20">
        <f t="shared" si="49"/>
        <v>0</v>
      </c>
      <c r="BH27" s="116">
        <f t="shared" si="49"/>
        <v>0</v>
      </c>
    </row>
    <row r="28" spans="1:60" ht="15" x14ac:dyDescent="0.25">
      <c r="A28" s="66" t="str">
        <f>IF(LARGE($A$11:A27,1)=$F$2,"",A27+1)</f>
        <v/>
      </c>
      <c r="B28" s="27" t="str">
        <f t="shared" si="3"/>
        <v/>
      </c>
      <c r="C28" s="28" t="str">
        <f t="shared" si="35"/>
        <v/>
      </c>
      <c r="D28" s="28" t="str">
        <f t="shared" si="4"/>
        <v/>
      </c>
      <c r="E28" s="28" t="str">
        <f t="shared" si="5"/>
        <v/>
      </c>
      <c r="F28" s="29" t="str">
        <f t="shared" si="6"/>
        <v/>
      </c>
      <c r="G28" s="29" t="str">
        <f t="shared" si="7"/>
        <v/>
      </c>
      <c r="H28" s="30" t="str">
        <f t="shared" si="8"/>
        <v/>
      </c>
      <c r="I28" s="30" t="str">
        <f t="shared" si="9"/>
        <v/>
      </c>
      <c r="J28" s="30" t="str">
        <f>IF(A28="","",H28+CUSTOS!B28)</f>
        <v/>
      </c>
      <c r="K28" s="30" t="str">
        <f t="shared" si="36"/>
        <v/>
      </c>
      <c r="L28" s="30" t="str">
        <f t="shared" si="37"/>
        <v/>
      </c>
      <c r="M28" s="30" t="str">
        <f t="shared" si="38"/>
        <v/>
      </c>
      <c r="N28" s="30" t="str">
        <f t="shared" si="10"/>
        <v/>
      </c>
      <c r="O28" s="31" t="str">
        <f t="shared" si="39"/>
        <v/>
      </c>
      <c r="P28" s="32"/>
      <c r="Q28" s="33" t="str">
        <f t="shared" si="11"/>
        <v/>
      </c>
      <c r="R28" s="33" t="str">
        <f t="shared" si="12"/>
        <v/>
      </c>
      <c r="S28" s="33" t="str">
        <f t="shared" si="13"/>
        <v/>
      </c>
      <c r="T28" s="33" t="str">
        <f t="shared" si="14"/>
        <v/>
      </c>
      <c r="U28" s="33" t="str">
        <f t="shared" si="15"/>
        <v/>
      </c>
      <c r="V28" s="33" t="str">
        <f t="shared" si="16"/>
        <v/>
      </c>
      <c r="X28" s="33" t="str">
        <f t="shared" si="17"/>
        <v/>
      </c>
      <c r="Y28" s="30" t="str">
        <f t="shared" si="18"/>
        <v/>
      </c>
      <c r="Z28" s="30" t="str">
        <f t="shared" si="19"/>
        <v/>
      </c>
      <c r="AA28" s="30" t="str">
        <f t="shared" si="20"/>
        <v/>
      </c>
      <c r="AB28" s="30" t="str">
        <f t="shared" si="21"/>
        <v/>
      </c>
      <c r="AD28" s="33" t="str">
        <f t="shared" si="22"/>
        <v/>
      </c>
      <c r="AE28" s="30" t="str">
        <f t="shared" si="23"/>
        <v/>
      </c>
      <c r="AF28" s="30" t="str">
        <f t="shared" si="24"/>
        <v/>
      </c>
      <c r="AG28" s="30" t="str">
        <f t="shared" si="25"/>
        <v/>
      </c>
      <c r="AH28" s="30" t="str">
        <f t="shared" si="26"/>
        <v/>
      </c>
      <c r="AJ28" s="85" t="str">
        <f t="shared" si="2"/>
        <v/>
      </c>
      <c r="AK28" s="86" t="str">
        <f t="shared" si="50"/>
        <v/>
      </c>
      <c r="AL28" s="86" t="str">
        <f t="shared" si="51"/>
        <v/>
      </c>
      <c r="AM28" s="86" t="str">
        <f t="shared" si="52"/>
        <v/>
      </c>
      <c r="AN28" s="86" t="str">
        <f t="shared" si="53"/>
        <v/>
      </c>
      <c r="AO28" s="86" t="str">
        <f t="shared" si="54"/>
        <v/>
      </c>
      <c r="AQ28" s="33" t="str">
        <f t="shared" si="31"/>
        <v/>
      </c>
      <c r="AR28" s="30" t="str">
        <f t="shared" si="32"/>
        <v/>
      </c>
      <c r="AU28" s="20">
        <f t="shared" si="33"/>
        <v>0</v>
      </c>
      <c r="AV28" s="20">
        <f t="shared" si="34"/>
        <v>0</v>
      </c>
      <c r="AW28" s="19">
        <f t="shared" si="41"/>
        <v>0</v>
      </c>
      <c r="AX28" s="19">
        <f t="shared" si="42"/>
        <v>0</v>
      </c>
      <c r="AY28" s="19">
        <f t="shared" si="43"/>
        <v>0</v>
      </c>
      <c r="AZ28" s="19">
        <f t="shared" si="44"/>
        <v>0</v>
      </c>
      <c r="BA28" s="19">
        <f t="shared" si="45"/>
        <v>0</v>
      </c>
      <c r="BB28" s="19">
        <f t="shared" si="46"/>
        <v>0</v>
      </c>
      <c r="BC28" s="19">
        <f t="shared" si="47"/>
        <v>0</v>
      </c>
      <c r="BD28" s="19">
        <f>-IF(CUSTOS!B28="",0,CUSTOS!B28)</f>
        <v>0</v>
      </c>
      <c r="BF28" s="20">
        <f t="shared" si="48"/>
        <v>0</v>
      </c>
      <c r="BG28" s="20">
        <f t="shared" si="49"/>
        <v>0</v>
      </c>
      <c r="BH28" s="116">
        <f t="shared" si="49"/>
        <v>0</v>
      </c>
    </row>
    <row r="29" spans="1:60" ht="15" x14ac:dyDescent="0.25">
      <c r="A29" s="66" t="str">
        <f>IF(LARGE($A$11:A28,1)=$F$2,"",A28+1)</f>
        <v/>
      </c>
      <c r="B29" s="27" t="str">
        <f t="shared" si="3"/>
        <v/>
      </c>
      <c r="C29" s="28" t="str">
        <f t="shared" si="35"/>
        <v/>
      </c>
      <c r="D29" s="28" t="str">
        <f t="shared" si="4"/>
        <v/>
      </c>
      <c r="E29" s="28" t="str">
        <f t="shared" si="5"/>
        <v/>
      </c>
      <c r="F29" s="29" t="str">
        <f t="shared" si="6"/>
        <v/>
      </c>
      <c r="G29" s="29" t="str">
        <f t="shared" si="7"/>
        <v/>
      </c>
      <c r="H29" s="30" t="str">
        <f t="shared" si="8"/>
        <v/>
      </c>
      <c r="I29" s="30" t="str">
        <f t="shared" si="9"/>
        <v/>
      </c>
      <c r="J29" s="30" t="str">
        <f>IF(A29="","",H29+CUSTOS!B29)</f>
        <v/>
      </c>
      <c r="K29" s="30" t="str">
        <f t="shared" si="36"/>
        <v/>
      </c>
      <c r="L29" s="30" t="str">
        <f t="shared" si="37"/>
        <v/>
      </c>
      <c r="M29" s="30" t="str">
        <f t="shared" si="38"/>
        <v/>
      </c>
      <c r="N29" s="30" t="str">
        <f t="shared" si="10"/>
        <v/>
      </c>
      <c r="O29" s="31" t="str">
        <f t="shared" si="39"/>
        <v/>
      </c>
      <c r="P29" s="32"/>
      <c r="Q29" s="33" t="str">
        <f t="shared" si="11"/>
        <v/>
      </c>
      <c r="R29" s="33" t="str">
        <f t="shared" si="12"/>
        <v/>
      </c>
      <c r="S29" s="33" t="str">
        <f t="shared" si="13"/>
        <v/>
      </c>
      <c r="T29" s="33" t="str">
        <f t="shared" si="14"/>
        <v/>
      </c>
      <c r="U29" s="33" t="str">
        <f t="shared" si="15"/>
        <v/>
      </c>
      <c r="V29" s="33" t="str">
        <f t="shared" si="16"/>
        <v/>
      </c>
      <c r="X29" s="33" t="str">
        <f t="shared" si="17"/>
        <v/>
      </c>
      <c r="Y29" s="30" t="str">
        <f t="shared" si="18"/>
        <v/>
      </c>
      <c r="Z29" s="30" t="str">
        <f t="shared" si="19"/>
        <v/>
      </c>
      <c r="AA29" s="30" t="str">
        <f t="shared" si="20"/>
        <v/>
      </c>
      <c r="AB29" s="30" t="str">
        <f t="shared" si="21"/>
        <v/>
      </c>
      <c r="AD29" s="33" t="str">
        <f t="shared" si="22"/>
        <v/>
      </c>
      <c r="AE29" s="30" t="str">
        <f t="shared" si="23"/>
        <v/>
      </c>
      <c r="AF29" s="30" t="str">
        <f t="shared" si="24"/>
        <v/>
      </c>
      <c r="AG29" s="30" t="str">
        <f t="shared" si="25"/>
        <v/>
      </c>
      <c r="AH29" s="30" t="str">
        <f t="shared" si="26"/>
        <v/>
      </c>
      <c r="AJ29" s="85" t="str">
        <f t="shared" si="2"/>
        <v/>
      </c>
      <c r="AK29" s="86" t="str">
        <f t="shared" si="50"/>
        <v/>
      </c>
      <c r="AL29" s="86" t="str">
        <f t="shared" si="51"/>
        <v/>
      </c>
      <c r="AM29" s="86" t="str">
        <f t="shared" si="52"/>
        <v/>
      </c>
      <c r="AN29" s="86" t="str">
        <f t="shared" si="53"/>
        <v/>
      </c>
      <c r="AO29" s="86" t="str">
        <f t="shared" si="54"/>
        <v/>
      </c>
      <c r="AQ29" s="33" t="str">
        <f t="shared" si="31"/>
        <v/>
      </c>
      <c r="AR29" s="30" t="str">
        <f t="shared" si="32"/>
        <v/>
      </c>
      <c r="AU29" s="20">
        <f t="shared" si="33"/>
        <v>0</v>
      </c>
      <c r="AV29" s="20">
        <f t="shared" si="34"/>
        <v>0</v>
      </c>
      <c r="AW29" s="19">
        <f t="shared" si="41"/>
        <v>0</v>
      </c>
      <c r="AX29" s="19">
        <f t="shared" si="42"/>
        <v>0</v>
      </c>
      <c r="AY29" s="19">
        <f t="shared" si="43"/>
        <v>0</v>
      </c>
      <c r="AZ29" s="19">
        <f t="shared" si="44"/>
        <v>0</v>
      </c>
      <c r="BA29" s="19">
        <f t="shared" si="45"/>
        <v>0</v>
      </c>
      <c r="BB29" s="19">
        <f t="shared" si="46"/>
        <v>0</v>
      </c>
      <c r="BC29" s="19">
        <f t="shared" si="47"/>
        <v>0</v>
      </c>
      <c r="BD29" s="19">
        <f>-IF(CUSTOS!B29="",0,CUSTOS!B29)</f>
        <v>0</v>
      </c>
      <c r="BF29" s="20">
        <f t="shared" si="48"/>
        <v>0</v>
      </c>
      <c r="BG29" s="20">
        <f t="shared" si="49"/>
        <v>0</v>
      </c>
      <c r="BH29" s="116">
        <f t="shared" si="49"/>
        <v>0</v>
      </c>
    </row>
    <row r="30" spans="1:60" ht="15" x14ac:dyDescent="0.25">
      <c r="A30" s="66" t="str">
        <f>IF(LARGE($A$11:A29,1)=$F$2,"",A29+1)</f>
        <v/>
      </c>
      <c r="B30" s="27" t="str">
        <f t="shared" si="3"/>
        <v/>
      </c>
      <c r="C30" s="28" t="str">
        <f t="shared" si="35"/>
        <v/>
      </c>
      <c r="D30" s="28" t="str">
        <f t="shared" si="4"/>
        <v/>
      </c>
      <c r="E30" s="28" t="str">
        <f t="shared" si="5"/>
        <v/>
      </c>
      <c r="F30" s="29" t="str">
        <f t="shared" si="6"/>
        <v/>
      </c>
      <c r="G30" s="29" t="str">
        <f t="shared" si="7"/>
        <v/>
      </c>
      <c r="H30" s="30" t="str">
        <f t="shared" si="8"/>
        <v/>
      </c>
      <c r="I30" s="30" t="str">
        <f t="shared" si="9"/>
        <v/>
      </c>
      <c r="J30" s="30" t="str">
        <f>IF(A30="","",H30+CUSTOS!B30)</f>
        <v/>
      </c>
      <c r="K30" s="30" t="str">
        <f t="shared" si="36"/>
        <v/>
      </c>
      <c r="L30" s="30" t="str">
        <f t="shared" si="37"/>
        <v/>
      </c>
      <c r="M30" s="30" t="str">
        <f t="shared" si="38"/>
        <v/>
      </c>
      <c r="N30" s="30" t="str">
        <f t="shared" si="10"/>
        <v/>
      </c>
      <c r="O30" s="31" t="str">
        <f t="shared" si="39"/>
        <v/>
      </c>
      <c r="P30" s="32"/>
      <c r="Q30" s="33" t="str">
        <f t="shared" si="11"/>
        <v/>
      </c>
      <c r="R30" s="33" t="str">
        <f t="shared" si="12"/>
        <v/>
      </c>
      <c r="S30" s="33" t="str">
        <f t="shared" si="13"/>
        <v/>
      </c>
      <c r="T30" s="33" t="str">
        <f t="shared" si="14"/>
        <v/>
      </c>
      <c r="U30" s="33" t="str">
        <f t="shared" si="15"/>
        <v/>
      </c>
      <c r="V30" s="33" t="str">
        <f t="shared" si="16"/>
        <v/>
      </c>
      <c r="X30" s="33" t="str">
        <f t="shared" si="17"/>
        <v/>
      </c>
      <c r="Y30" s="30" t="str">
        <f t="shared" si="18"/>
        <v/>
      </c>
      <c r="Z30" s="30" t="str">
        <f t="shared" si="19"/>
        <v/>
      </c>
      <c r="AA30" s="30" t="str">
        <f t="shared" si="20"/>
        <v/>
      </c>
      <c r="AB30" s="30" t="str">
        <f t="shared" si="21"/>
        <v/>
      </c>
      <c r="AD30" s="33" t="str">
        <f t="shared" si="22"/>
        <v/>
      </c>
      <c r="AE30" s="30" t="str">
        <f t="shared" si="23"/>
        <v/>
      </c>
      <c r="AF30" s="30" t="str">
        <f t="shared" si="24"/>
        <v/>
      </c>
      <c r="AG30" s="30" t="str">
        <f t="shared" si="25"/>
        <v/>
      </c>
      <c r="AH30" s="30" t="str">
        <f t="shared" si="26"/>
        <v/>
      </c>
      <c r="AJ30" s="85" t="str">
        <f t="shared" si="2"/>
        <v/>
      </c>
      <c r="AK30" s="86" t="str">
        <f t="shared" si="50"/>
        <v/>
      </c>
      <c r="AL30" s="86" t="str">
        <f t="shared" si="51"/>
        <v/>
      </c>
      <c r="AM30" s="86" t="str">
        <f t="shared" si="52"/>
        <v/>
      </c>
      <c r="AN30" s="86" t="str">
        <f t="shared" si="53"/>
        <v/>
      </c>
      <c r="AO30" s="86" t="str">
        <f t="shared" si="54"/>
        <v/>
      </c>
      <c r="AQ30" s="33" t="str">
        <f t="shared" si="31"/>
        <v/>
      </c>
      <c r="AR30" s="30" t="str">
        <f t="shared" si="32"/>
        <v/>
      </c>
      <c r="AU30" s="20">
        <f t="shared" si="33"/>
        <v>0</v>
      </c>
      <c r="AV30" s="20">
        <f t="shared" si="34"/>
        <v>0</v>
      </c>
      <c r="AW30" s="19">
        <f t="shared" si="41"/>
        <v>0</v>
      </c>
      <c r="AX30" s="19">
        <f t="shared" si="42"/>
        <v>0</v>
      </c>
      <c r="AY30" s="19">
        <f t="shared" si="43"/>
        <v>0</v>
      </c>
      <c r="AZ30" s="19">
        <f t="shared" si="44"/>
        <v>0</v>
      </c>
      <c r="BA30" s="19">
        <f t="shared" si="45"/>
        <v>0</v>
      </c>
      <c r="BB30" s="19">
        <f t="shared" si="46"/>
        <v>0</v>
      </c>
      <c r="BC30" s="19">
        <f t="shared" si="47"/>
        <v>0</v>
      </c>
      <c r="BD30" s="19">
        <f>-IF(CUSTOS!B30="",0,CUSTOS!B30)</f>
        <v>0</v>
      </c>
      <c r="BF30" s="20">
        <f t="shared" si="48"/>
        <v>0</v>
      </c>
      <c r="BG30" s="20">
        <f t="shared" si="49"/>
        <v>0</v>
      </c>
      <c r="BH30" s="116">
        <f t="shared" si="49"/>
        <v>0</v>
      </c>
    </row>
    <row r="31" spans="1:60" ht="15" x14ac:dyDescent="0.25">
      <c r="A31" s="66" t="str">
        <f>IF(LARGE($A$11:A30,1)=$F$2,"",A30+1)</f>
        <v/>
      </c>
      <c r="B31" s="27" t="str">
        <f t="shared" si="3"/>
        <v/>
      </c>
      <c r="C31" s="28" t="str">
        <f t="shared" si="35"/>
        <v/>
      </c>
      <c r="D31" s="28" t="str">
        <f t="shared" si="4"/>
        <v/>
      </c>
      <c r="E31" s="28" t="str">
        <f t="shared" si="5"/>
        <v/>
      </c>
      <c r="F31" s="29" t="str">
        <f t="shared" si="6"/>
        <v/>
      </c>
      <c r="G31" s="29" t="str">
        <f t="shared" si="7"/>
        <v/>
      </c>
      <c r="H31" s="30" t="str">
        <f t="shared" si="8"/>
        <v/>
      </c>
      <c r="I31" s="30" t="str">
        <f t="shared" si="9"/>
        <v/>
      </c>
      <c r="J31" s="30" t="str">
        <f>IF(A31="","",H31+CUSTOS!B31)</f>
        <v/>
      </c>
      <c r="K31" s="30" t="str">
        <f t="shared" si="36"/>
        <v/>
      </c>
      <c r="L31" s="30" t="str">
        <f t="shared" si="37"/>
        <v/>
      </c>
      <c r="M31" s="30" t="str">
        <f t="shared" si="38"/>
        <v/>
      </c>
      <c r="N31" s="30" t="str">
        <f t="shared" si="10"/>
        <v/>
      </c>
      <c r="O31" s="31" t="str">
        <f t="shared" si="39"/>
        <v/>
      </c>
      <c r="P31" s="32"/>
      <c r="Q31" s="33" t="str">
        <f t="shared" si="11"/>
        <v/>
      </c>
      <c r="R31" s="33" t="str">
        <f t="shared" si="12"/>
        <v/>
      </c>
      <c r="S31" s="33" t="str">
        <f t="shared" si="13"/>
        <v/>
      </c>
      <c r="T31" s="33" t="str">
        <f t="shared" si="14"/>
        <v/>
      </c>
      <c r="U31" s="33" t="str">
        <f t="shared" si="15"/>
        <v/>
      </c>
      <c r="V31" s="33" t="str">
        <f t="shared" si="16"/>
        <v/>
      </c>
      <c r="X31" s="33" t="str">
        <f t="shared" si="17"/>
        <v/>
      </c>
      <c r="Y31" s="30" t="str">
        <f t="shared" si="18"/>
        <v/>
      </c>
      <c r="Z31" s="30" t="str">
        <f t="shared" si="19"/>
        <v/>
      </c>
      <c r="AA31" s="30" t="str">
        <f t="shared" si="20"/>
        <v/>
      </c>
      <c r="AB31" s="30" t="str">
        <f t="shared" si="21"/>
        <v/>
      </c>
      <c r="AD31" s="33" t="str">
        <f t="shared" si="22"/>
        <v/>
      </c>
      <c r="AE31" s="30" t="str">
        <f t="shared" si="23"/>
        <v/>
      </c>
      <c r="AF31" s="30" t="str">
        <f t="shared" si="24"/>
        <v/>
      </c>
      <c r="AG31" s="30" t="str">
        <f t="shared" si="25"/>
        <v/>
      </c>
      <c r="AH31" s="30" t="str">
        <f t="shared" si="26"/>
        <v/>
      </c>
      <c r="AJ31" s="85" t="str">
        <f t="shared" si="2"/>
        <v/>
      </c>
      <c r="AK31" s="86" t="str">
        <f t="shared" si="50"/>
        <v/>
      </c>
      <c r="AL31" s="86" t="str">
        <f t="shared" si="51"/>
        <v/>
      </c>
      <c r="AM31" s="86" t="str">
        <f t="shared" si="52"/>
        <v/>
      </c>
      <c r="AN31" s="86" t="str">
        <f t="shared" si="53"/>
        <v/>
      </c>
      <c r="AO31" s="86" t="str">
        <f t="shared" si="54"/>
        <v/>
      </c>
      <c r="AQ31" s="33" t="str">
        <f t="shared" si="31"/>
        <v/>
      </c>
      <c r="AR31" s="30" t="str">
        <f t="shared" si="32"/>
        <v/>
      </c>
      <c r="AU31" s="20">
        <f t="shared" si="33"/>
        <v>0</v>
      </c>
      <c r="AV31" s="20">
        <f t="shared" si="34"/>
        <v>0</v>
      </c>
      <c r="AW31" s="19">
        <f t="shared" si="41"/>
        <v>0</v>
      </c>
      <c r="AX31" s="19">
        <f t="shared" si="42"/>
        <v>0</v>
      </c>
      <c r="AY31" s="19">
        <f t="shared" si="43"/>
        <v>0</v>
      </c>
      <c r="AZ31" s="19">
        <f t="shared" si="44"/>
        <v>0</v>
      </c>
      <c r="BA31" s="19">
        <f t="shared" si="45"/>
        <v>0</v>
      </c>
      <c r="BB31" s="19">
        <f t="shared" si="46"/>
        <v>0</v>
      </c>
      <c r="BC31" s="19">
        <f t="shared" si="47"/>
        <v>0</v>
      </c>
      <c r="BD31" s="19">
        <f>-IF(CUSTOS!B31="",0,CUSTOS!B31)</f>
        <v>0</v>
      </c>
      <c r="BF31" s="20">
        <f t="shared" si="48"/>
        <v>0</v>
      </c>
      <c r="BG31" s="20">
        <f t="shared" si="49"/>
        <v>0</v>
      </c>
      <c r="BH31" s="116">
        <f t="shared" si="49"/>
        <v>0</v>
      </c>
    </row>
    <row r="32" spans="1:60" ht="15" x14ac:dyDescent="0.25">
      <c r="A32" s="66" t="str">
        <f>IF(LARGE($A$11:A31,1)=$F$2,"",A31+1)</f>
        <v/>
      </c>
      <c r="B32" s="27" t="str">
        <f t="shared" si="3"/>
        <v/>
      </c>
      <c r="C32" s="28" t="str">
        <f t="shared" si="35"/>
        <v/>
      </c>
      <c r="D32" s="28" t="str">
        <f t="shared" si="4"/>
        <v/>
      </c>
      <c r="E32" s="28" t="str">
        <f t="shared" si="5"/>
        <v/>
      </c>
      <c r="F32" s="29" t="str">
        <f t="shared" si="6"/>
        <v/>
      </c>
      <c r="G32" s="29" t="str">
        <f t="shared" si="7"/>
        <v/>
      </c>
      <c r="H32" s="30" t="str">
        <f t="shared" si="8"/>
        <v/>
      </c>
      <c r="I32" s="30" t="str">
        <f t="shared" si="9"/>
        <v/>
      </c>
      <c r="J32" s="30" t="str">
        <f>IF(A32="","",H32+CUSTOS!B32)</f>
        <v/>
      </c>
      <c r="K32" s="30" t="str">
        <f t="shared" si="36"/>
        <v/>
      </c>
      <c r="L32" s="30" t="str">
        <f t="shared" si="37"/>
        <v/>
      </c>
      <c r="M32" s="30" t="str">
        <f t="shared" si="38"/>
        <v/>
      </c>
      <c r="N32" s="30" t="str">
        <f t="shared" si="10"/>
        <v/>
      </c>
      <c r="O32" s="31" t="str">
        <f t="shared" si="39"/>
        <v/>
      </c>
      <c r="P32" s="32"/>
      <c r="Q32" s="33" t="str">
        <f t="shared" si="11"/>
        <v/>
      </c>
      <c r="R32" s="33" t="str">
        <f t="shared" si="12"/>
        <v/>
      </c>
      <c r="S32" s="33" t="str">
        <f t="shared" si="13"/>
        <v/>
      </c>
      <c r="T32" s="33" t="str">
        <f t="shared" si="14"/>
        <v/>
      </c>
      <c r="U32" s="33" t="str">
        <f t="shared" si="15"/>
        <v/>
      </c>
      <c r="V32" s="33" t="str">
        <f t="shared" si="16"/>
        <v/>
      </c>
      <c r="X32" s="33" t="str">
        <f t="shared" si="17"/>
        <v/>
      </c>
      <c r="Y32" s="30" t="str">
        <f t="shared" si="18"/>
        <v/>
      </c>
      <c r="Z32" s="30" t="str">
        <f t="shared" si="19"/>
        <v/>
      </c>
      <c r="AA32" s="30" t="str">
        <f t="shared" si="20"/>
        <v/>
      </c>
      <c r="AB32" s="30" t="str">
        <f t="shared" si="21"/>
        <v/>
      </c>
      <c r="AD32" s="33" t="str">
        <f t="shared" si="22"/>
        <v/>
      </c>
      <c r="AE32" s="30" t="str">
        <f t="shared" si="23"/>
        <v/>
      </c>
      <c r="AF32" s="30" t="str">
        <f t="shared" si="24"/>
        <v/>
      </c>
      <c r="AG32" s="30" t="str">
        <f t="shared" si="25"/>
        <v/>
      </c>
      <c r="AH32" s="30" t="str">
        <f t="shared" si="26"/>
        <v/>
      </c>
      <c r="AJ32" s="85" t="str">
        <f t="shared" si="2"/>
        <v/>
      </c>
      <c r="AK32" s="86" t="str">
        <f t="shared" si="50"/>
        <v/>
      </c>
      <c r="AL32" s="86" t="str">
        <f t="shared" si="51"/>
        <v/>
      </c>
      <c r="AM32" s="86" t="str">
        <f t="shared" si="52"/>
        <v/>
      </c>
      <c r="AN32" s="86" t="str">
        <f t="shared" si="53"/>
        <v/>
      </c>
      <c r="AO32" s="86" t="str">
        <f t="shared" si="54"/>
        <v/>
      </c>
      <c r="AQ32" s="33" t="str">
        <f t="shared" si="31"/>
        <v/>
      </c>
      <c r="AR32" s="30" t="str">
        <f t="shared" si="32"/>
        <v/>
      </c>
      <c r="AU32" s="20">
        <f t="shared" si="33"/>
        <v>0</v>
      </c>
      <c r="AV32" s="20">
        <f t="shared" si="34"/>
        <v>0</v>
      </c>
      <c r="AW32" s="19">
        <f t="shared" si="41"/>
        <v>0</v>
      </c>
      <c r="AX32" s="19">
        <f t="shared" si="42"/>
        <v>0</v>
      </c>
      <c r="AY32" s="19">
        <f t="shared" si="43"/>
        <v>0</v>
      </c>
      <c r="AZ32" s="19">
        <f t="shared" si="44"/>
        <v>0</v>
      </c>
      <c r="BA32" s="19">
        <f t="shared" si="45"/>
        <v>0</v>
      </c>
      <c r="BB32" s="19">
        <f t="shared" si="46"/>
        <v>0</v>
      </c>
      <c r="BC32" s="19">
        <f t="shared" si="47"/>
        <v>0</v>
      </c>
      <c r="BD32" s="19">
        <f>-IF(CUSTOS!B32="",0,CUSTOS!B32)</f>
        <v>0</v>
      </c>
      <c r="BF32" s="20">
        <f t="shared" si="48"/>
        <v>0</v>
      </c>
      <c r="BG32" s="20">
        <f t="shared" si="49"/>
        <v>0</v>
      </c>
      <c r="BH32" s="116">
        <f t="shared" si="49"/>
        <v>0</v>
      </c>
    </row>
    <row r="33" spans="1:60" ht="15" x14ac:dyDescent="0.25">
      <c r="A33" s="66" t="str">
        <f>IF(LARGE($A$11:A32,1)=$F$2,"",A32+1)</f>
        <v/>
      </c>
      <c r="B33" s="27" t="str">
        <f t="shared" si="3"/>
        <v/>
      </c>
      <c r="C33" s="28" t="str">
        <f t="shared" si="35"/>
        <v/>
      </c>
      <c r="D33" s="28" t="str">
        <f t="shared" si="4"/>
        <v/>
      </c>
      <c r="E33" s="28" t="str">
        <f t="shared" si="5"/>
        <v/>
      </c>
      <c r="F33" s="29" t="str">
        <f t="shared" si="6"/>
        <v/>
      </c>
      <c r="G33" s="29" t="str">
        <f t="shared" si="7"/>
        <v/>
      </c>
      <c r="H33" s="30" t="str">
        <f t="shared" si="8"/>
        <v/>
      </c>
      <c r="I33" s="30" t="str">
        <f t="shared" si="9"/>
        <v/>
      </c>
      <c r="J33" s="30" t="str">
        <f>IF(A33="","",H33+CUSTOS!B33)</f>
        <v/>
      </c>
      <c r="K33" s="30" t="str">
        <f t="shared" si="36"/>
        <v/>
      </c>
      <c r="L33" s="30" t="str">
        <f t="shared" si="37"/>
        <v/>
      </c>
      <c r="M33" s="30" t="str">
        <f t="shared" si="38"/>
        <v/>
      </c>
      <c r="N33" s="30" t="str">
        <f t="shared" si="10"/>
        <v/>
      </c>
      <c r="O33" s="31" t="str">
        <f t="shared" si="39"/>
        <v/>
      </c>
      <c r="P33" s="32"/>
      <c r="Q33" s="33" t="str">
        <f t="shared" si="11"/>
        <v/>
      </c>
      <c r="R33" s="33" t="str">
        <f t="shared" si="12"/>
        <v/>
      </c>
      <c r="S33" s="33" t="str">
        <f t="shared" si="13"/>
        <v/>
      </c>
      <c r="T33" s="33" t="str">
        <f t="shared" si="14"/>
        <v/>
      </c>
      <c r="U33" s="33" t="str">
        <f t="shared" si="15"/>
        <v/>
      </c>
      <c r="V33" s="33" t="str">
        <f t="shared" si="16"/>
        <v/>
      </c>
      <c r="X33" s="33" t="str">
        <f t="shared" si="17"/>
        <v/>
      </c>
      <c r="Y33" s="30" t="str">
        <f t="shared" si="18"/>
        <v/>
      </c>
      <c r="Z33" s="30" t="str">
        <f t="shared" si="19"/>
        <v/>
      </c>
      <c r="AA33" s="30" t="str">
        <f t="shared" si="20"/>
        <v/>
      </c>
      <c r="AB33" s="30" t="str">
        <f t="shared" si="21"/>
        <v/>
      </c>
      <c r="AD33" s="33" t="str">
        <f t="shared" si="22"/>
        <v/>
      </c>
      <c r="AE33" s="30" t="str">
        <f t="shared" si="23"/>
        <v/>
      </c>
      <c r="AF33" s="30" t="str">
        <f t="shared" si="24"/>
        <v/>
      </c>
      <c r="AG33" s="30" t="str">
        <f t="shared" si="25"/>
        <v/>
      </c>
      <c r="AH33" s="30" t="str">
        <f t="shared" si="26"/>
        <v/>
      </c>
      <c r="AJ33" s="85" t="str">
        <f t="shared" si="2"/>
        <v/>
      </c>
      <c r="AK33" s="86" t="str">
        <f t="shared" si="50"/>
        <v/>
      </c>
      <c r="AL33" s="86" t="str">
        <f t="shared" si="51"/>
        <v/>
      </c>
      <c r="AM33" s="86" t="str">
        <f t="shared" si="52"/>
        <v/>
      </c>
      <c r="AN33" s="86" t="str">
        <f t="shared" si="53"/>
        <v/>
      </c>
      <c r="AO33" s="86" t="str">
        <f t="shared" si="54"/>
        <v/>
      </c>
      <c r="AQ33" s="33" t="str">
        <f t="shared" si="31"/>
        <v/>
      </c>
      <c r="AR33" s="30" t="str">
        <f t="shared" si="32"/>
        <v/>
      </c>
      <c r="AU33" s="20">
        <f t="shared" si="33"/>
        <v>0</v>
      </c>
      <c r="AV33" s="20">
        <f t="shared" si="34"/>
        <v>0</v>
      </c>
      <c r="AW33" s="19">
        <f t="shared" si="41"/>
        <v>0</v>
      </c>
      <c r="AX33" s="19">
        <f t="shared" si="42"/>
        <v>0</v>
      </c>
      <c r="AY33" s="19">
        <f t="shared" si="43"/>
        <v>0</v>
      </c>
      <c r="AZ33" s="19">
        <f t="shared" si="44"/>
        <v>0</v>
      </c>
      <c r="BA33" s="19">
        <f t="shared" si="45"/>
        <v>0</v>
      </c>
      <c r="BB33" s="19">
        <f t="shared" si="46"/>
        <v>0</v>
      </c>
      <c r="BC33" s="19">
        <f t="shared" si="47"/>
        <v>0</v>
      </c>
      <c r="BD33" s="19">
        <f>-IF(CUSTOS!B33="",0,CUSTOS!B33)</f>
        <v>0</v>
      </c>
      <c r="BF33" s="20">
        <f t="shared" si="48"/>
        <v>0</v>
      </c>
      <c r="BG33" s="20">
        <f t="shared" si="49"/>
        <v>0</v>
      </c>
      <c r="BH33" s="116">
        <f t="shared" si="49"/>
        <v>0</v>
      </c>
    </row>
    <row r="34" spans="1:60" ht="15" x14ac:dyDescent="0.25">
      <c r="A34" s="66" t="str">
        <f>IF(LARGE($A$11:A33,1)=$F$2,"",A33+1)</f>
        <v/>
      </c>
      <c r="B34" s="27" t="str">
        <f t="shared" si="3"/>
        <v/>
      </c>
      <c r="C34" s="28" t="str">
        <f t="shared" si="35"/>
        <v/>
      </c>
      <c r="D34" s="28" t="str">
        <f t="shared" si="4"/>
        <v/>
      </c>
      <c r="E34" s="28" t="str">
        <f t="shared" si="5"/>
        <v/>
      </c>
      <c r="F34" s="29" t="str">
        <f t="shared" si="6"/>
        <v/>
      </c>
      <c r="G34" s="29" t="str">
        <f t="shared" si="7"/>
        <v/>
      </c>
      <c r="H34" s="30" t="str">
        <f t="shared" si="8"/>
        <v/>
      </c>
      <c r="I34" s="30" t="str">
        <f t="shared" si="9"/>
        <v/>
      </c>
      <c r="J34" s="30" t="str">
        <f>IF(A34="","",H34+CUSTOS!B34)</f>
        <v/>
      </c>
      <c r="K34" s="30" t="str">
        <f t="shared" si="36"/>
        <v/>
      </c>
      <c r="L34" s="30" t="str">
        <f t="shared" si="37"/>
        <v/>
      </c>
      <c r="M34" s="30" t="str">
        <f t="shared" si="38"/>
        <v/>
      </c>
      <c r="N34" s="30" t="str">
        <f t="shared" si="10"/>
        <v/>
      </c>
      <c r="O34" s="31" t="str">
        <f t="shared" si="39"/>
        <v/>
      </c>
      <c r="P34" s="32"/>
      <c r="Q34" s="33" t="str">
        <f t="shared" si="11"/>
        <v/>
      </c>
      <c r="R34" s="33" t="str">
        <f t="shared" si="12"/>
        <v/>
      </c>
      <c r="S34" s="33" t="str">
        <f t="shared" si="13"/>
        <v/>
      </c>
      <c r="T34" s="33" t="str">
        <f t="shared" si="14"/>
        <v/>
      </c>
      <c r="U34" s="33" t="str">
        <f t="shared" si="15"/>
        <v/>
      </c>
      <c r="V34" s="33" t="str">
        <f t="shared" si="16"/>
        <v/>
      </c>
      <c r="X34" s="33" t="str">
        <f t="shared" si="17"/>
        <v/>
      </c>
      <c r="Y34" s="30" t="str">
        <f t="shared" si="18"/>
        <v/>
      </c>
      <c r="Z34" s="30" t="str">
        <f t="shared" si="19"/>
        <v/>
      </c>
      <c r="AA34" s="30" t="str">
        <f t="shared" si="20"/>
        <v/>
      </c>
      <c r="AB34" s="30" t="str">
        <f t="shared" si="21"/>
        <v/>
      </c>
      <c r="AD34" s="33" t="str">
        <f t="shared" si="22"/>
        <v/>
      </c>
      <c r="AE34" s="30" t="str">
        <f t="shared" si="23"/>
        <v/>
      </c>
      <c r="AF34" s="30" t="str">
        <f t="shared" si="24"/>
        <v/>
      </c>
      <c r="AG34" s="30" t="str">
        <f t="shared" si="25"/>
        <v/>
      </c>
      <c r="AH34" s="30" t="str">
        <f t="shared" si="26"/>
        <v/>
      </c>
      <c r="AJ34" s="85" t="str">
        <f t="shared" si="2"/>
        <v/>
      </c>
      <c r="AK34" s="86" t="str">
        <f t="shared" si="50"/>
        <v/>
      </c>
      <c r="AL34" s="86" t="str">
        <f t="shared" si="51"/>
        <v/>
      </c>
      <c r="AM34" s="86" t="str">
        <f t="shared" si="52"/>
        <v/>
      </c>
      <c r="AN34" s="86" t="str">
        <f t="shared" si="53"/>
        <v/>
      </c>
      <c r="AO34" s="86" t="str">
        <f t="shared" si="54"/>
        <v/>
      </c>
      <c r="AQ34" s="33" t="str">
        <f t="shared" si="31"/>
        <v/>
      </c>
      <c r="AR34" s="30" t="str">
        <f t="shared" si="32"/>
        <v/>
      </c>
      <c r="AU34" s="20">
        <f t="shared" si="33"/>
        <v>0</v>
      </c>
      <c r="AV34" s="20">
        <f t="shared" si="34"/>
        <v>0</v>
      </c>
      <c r="AW34" s="19">
        <f t="shared" si="41"/>
        <v>0</v>
      </c>
      <c r="AX34" s="19">
        <f t="shared" si="42"/>
        <v>0</v>
      </c>
      <c r="AY34" s="19">
        <f t="shared" si="43"/>
        <v>0</v>
      </c>
      <c r="AZ34" s="19">
        <f t="shared" si="44"/>
        <v>0</v>
      </c>
      <c r="BA34" s="19">
        <f t="shared" si="45"/>
        <v>0</v>
      </c>
      <c r="BB34" s="19">
        <f t="shared" si="46"/>
        <v>0</v>
      </c>
      <c r="BC34" s="19">
        <f t="shared" si="47"/>
        <v>0</v>
      </c>
      <c r="BD34" s="19">
        <f>-IF(CUSTOS!B34="",0,CUSTOS!B34)</f>
        <v>0</v>
      </c>
      <c r="BF34" s="20">
        <f t="shared" si="48"/>
        <v>0</v>
      </c>
      <c r="BG34" s="20">
        <f t="shared" si="49"/>
        <v>0</v>
      </c>
      <c r="BH34" s="116">
        <f t="shared" si="49"/>
        <v>0</v>
      </c>
    </row>
    <row r="35" spans="1:60" ht="15" x14ac:dyDescent="0.25">
      <c r="A35" s="66" t="str">
        <f>IF(LARGE($A$11:A34,1)=$F$2,"",A34+1)</f>
        <v/>
      </c>
      <c r="B35" s="27" t="str">
        <f t="shared" si="3"/>
        <v/>
      </c>
      <c r="C35" s="28" t="str">
        <f t="shared" si="35"/>
        <v/>
      </c>
      <c r="D35" s="28" t="str">
        <f t="shared" si="4"/>
        <v/>
      </c>
      <c r="E35" s="28" t="str">
        <f t="shared" si="5"/>
        <v/>
      </c>
      <c r="F35" s="29" t="str">
        <f t="shared" si="6"/>
        <v/>
      </c>
      <c r="G35" s="29" t="str">
        <f t="shared" si="7"/>
        <v/>
      </c>
      <c r="H35" s="30" t="str">
        <f t="shared" si="8"/>
        <v/>
      </c>
      <c r="I35" s="30" t="str">
        <f t="shared" si="9"/>
        <v/>
      </c>
      <c r="J35" s="30" t="str">
        <f>IF(A35="","",H35+CUSTOS!B35)</f>
        <v/>
      </c>
      <c r="K35" s="30" t="str">
        <f t="shared" si="36"/>
        <v/>
      </c>
      <c r="L35" s="30" t="str">
        <f t="shared" si="37"/>
        <v/>
      </c>
      <c r="M35" s="30" t="str">
        <f t="shared" si="38"/>
        <v/>
      </c>
      <c r="N35" s="30" t="str">
        <f t="shared" si="10"/>
        <v/>
      </c>
      <c r="O35" s="31" t="str">
        <f t="shared" si="39"/>
        <v/>
      </c>
      <c r="P35" s="32"/>
      <c r="Q35" s="33" t="str">
        <f t="shared" si="11"/>
        <v/>
      </c>
      <c r="R35" s="33" t="str">
        <f t="shared" si="12"/>
        <v/>
      </c>
      <c r="S35" s="33" t="str">
        <f t="shared" si="13"/>
        <v/>
      </c>
      <c r="T35" s="33" t="str">
        <f t="shared" si="14"/>
        <v/>
      </c>
      <c r="U35" s="33" t="str">
        <f t="shared" si="15"/>
        <v/>
      </c>
      <c r="V35" s="33" t="str">
        <f t="shared" si="16"/>
        <v/>
      </c>
      <c r="X35" s="33" t="str">
        <f t="shared" si="17"/>
        <v/>
      </c>
      <c r="Y35" s="30" t="str">
        <f t="shared" si="18"/>
        <v/>
      </c>
      <c r="Z35" s="30" t="str">
        <f t="shared" si="19"/>
        <v/>
      </c>
      <c r="AA35" s="30" t="str">
        <f t="shared" si="20"/>
        <v/>
      </c>
      <c r="AB35" s="30" t="str">
        <f t="shared" si="21"/>
        <v/>
      </c>
      <c r="AD35" s="33" t="str">
        <f t="shared" si="22"/>
        <v/>
      </c>
      <c r="AE35" s="30" t="str">
        <f t="shared" si="23"/>
        <v/>
      </c>
      <c r="AF35" s="30" t="str">
        <f t="shared" si="24"/>
        <v/>
      </c>
      <c r="AG35" s="30" t="str">
        <f t="shared" si="25"/>
        <v/>
      </c>
      <c r="AH35" s="30" t="str">
        <f t="shared" si="26"/>
        <v/>
      </c>
      <c r="AJ35" s="85" t="str">
        <f t="shared" si="2"/>
        <v/>
      </c>
      <c r="AK35" s="86" t="str">
        <f t="shared" si="50"/>
        <v/>
      </c>
      <c r="AL35" s="86" t="str">
        <f t="shared" si="51"/>
        <v/>
      </c>
      <c r="AM35" s="86" t="str">
        <f t="shared" si="52"/>
        <v/>
      </c>
      <c r="AN35" s="86" t="str">
        <f t="shared" si="53"/>
        <v/>
      </c>
      <c r="AO35" s="86" t="str">
        <f t="shared" si="54"/>
        <v/>
      </c>
      <c r="AQ35" s="33" t="str">
        <f t="shared" si="31"/>
        <v/>
      </c>
      <c r="AR35" s="30" t="str">
        <f t="shared" si="32"/>
        <v/>
      </c>
      <c r="AU35" s="20">
        <f t="shared" si="33"/>
        <v>0</v>
      </c>
      <c r="AV35" s="20">
        <f t="shared" si="34"/>
        <v>0</v>
      </c>
      <c r="AW35" s="19">
        <f t="shared" si="41"/>
        <v>0</v>
      </c>
      <c r="AX35" s="19">
        <f t="shared" si="42"/>
        <v>0</v>
      </c>
      <c r="AY35" s="19">
        <f t="shared" si="43"/>
        <v>0</v>
      </c>
      <c r="AZ35" s="19">
        <f t="shared" si="44"/>
        <v>0</v>
      </c>
      <c r="BA35" s="19">
        <f t="shared" si="45"/>
        <v>0</v>
      </c>
      <c r="BB35" s="19">
        <f t="shared" si="46"/>
        <v>0</v>
      </c>
      <c r="BC35" s="19">
        <f t="shared" si="47"/>
        <v>0</v>
      </c>
      <c r="BD35" s="19">
        <f>-IF(CUSTOS!B35="",0,CUSTOS!B35)</f>
        <v>0</v>
      </c>
      <c r="BF35" s="20">
        <f t="shared" si="48"/>
        <v>0</v>
      </c>
      <c r="BG35" s="20">
        <f t="shared" si="49"/>
        <v>0</v>
      </c>
      <c r="BH35" s="116">
        <f t="shared" si="49"/>
        <v>0</v>
      </c>
    </row>
    <row r="36" spans="1:60" ht="15" x14ac:dyDescent="0.25">
      <c r="A36" s="66" t="str">
        <f>IF(LARGE($A$11:A35,1)=$F$2,"",A35+1)</f>
        <v/>
      </c>
      <c r="B36" s="27" t="str">
        <f t="shared" si="3"/>
        <v/>
      </c>
      <c r="C36" s="28" t="str">
        <f t="shared" si="35"/>
        <v/>
      </c>
      <c r="D36" s="28" t="str">
        <f t="shared" si="4"/>
        <v/>
      </c>
      <c r="E36" s="28" t="str">
        <f t="shared" si="5"/>
        <v/>
      </c>
      <c r="F36" s="29" t="str">
        <f t="shared" si="6"/>
        <v/>
      </c>
      <c r="G36" s="29" t="str">
        <f t="shared" si="7"/>
        <v/>
      </c>
      <c r="H36" s="30" t="str">
        <f t="shared" si="8"/>
        <v/>
      </c>
      <c r="I36" s="30" t="str">
        <f t="shared" si="9"/>
        <v/>
      </c>
      <c r="J36" s="30" t="str">
        <f>IF(A36="","",H36+CUSTOS!B36)</f>
        <v/>
      </c>
      <c r="K36" s="30" t="str">
        <f t="shared" si="36"/>
        <v/>
      </c>
      <c r="L36" s="30" t="str">
        <f t="shared" si="37"/>
        <v/>
      </c>
      <c r="M36" s="30" t="str">
        <f t="shared" si="38"/>
        <v/>
      </c>
      <c r="N36" s="30" t="str">
        <f t="shared" si="10"/>
        <v/>
      </c>
      <c r="O36" s="31" t="str">
        <f t="shared" si="39"/>
        <v/>
      </c>
      <c r="P36" s="32"/>
      <c r="Q36" s="33" t="str">
        <f t="shared" si="11"/>
        <v/>
      </c>
      <c r="R36" s="33" t="str">
        <f t="shared" si="12"/>
        <v/>
      </c>
      <c r="S36" s="33" t="str">
        <f t="shared" si="13"/>
        <v/>
      </c>
      <c r="T36" s="33" t="str">
        <f t="shared" si="14"/>
        <v/>
      </c>
      <c r="U36" s="33" t="str">
        <f t="shared" si="15"/>
        <v/>
      </c>
      <c r="V36" s="33" t="str">
        <f t="shared" si="16"/>
        <v/>
      </c>
      <c r="X36" s="33" t="str">
        <f t="shared" si="17"/>
        <v/>
      </c>
      <c r="Y36" s="30" t="str">
        <f t="shared" si="18"/>
        <v/>
      </c>
      <c r="Z36" s="30" t="str">
        <f t="shared" si="19"/>
        <v/>
      </c>
      <c r="AA36" s="30" t="str">
        <f t="shared" si="20"/>
        <v/>
      </c>
      <c r="AB36" s="30" t="str">
        <f t="shared" si="21"/>
        <v/>
      </c>
      <c r="AD36" s="33" t="str">
        <f t="shared" si="22"/>
        <v/>
      </c>
      <c r="AE36" s="30" t="str">
        <f t="shared" si="23"/>
        <v/>
      </c>
      <c r="AF36" s="30" t="str">
        <f t="shared" si="24"/>
        <v/>
      </c>
      <c r="AG36" s="30" t="str">
        <f t="shared" si="25"/>
        <v/>
      </c>
      <c r="AH36" s="30" t="str">
        <f t="shared" si="26"/>
        <v/>
      </c>
      <c r="AJ36" s="85" t="str">
        <f t="shared" si="2"/>
        <v/>
      </c>
      <c r="AK36" s="86" t="str">
        <f t="shared" si="50"/>
        <v/>
      </c>
      <c r="AL36" s="86" t="str">
        <f t="shared" si="51"/>
        <v/>
      </c>
      <c r="AM36" s="86" t="str">
        <f t="shared" si="52"/>
        <v/>
      </c>
      <c r="AN36" s="86" t="str">
        <f t="shared" si="53"/>
        <v/>
      </c>
      <c r="AO36" s="86" t="str">
        <f t="shared" si="54"/>
        <v/>
      </c>
      <c r="AQ36" s="33" t="str">
        <f t="shared" si="31"/>
        <v/>
      </c>
      <c r="AR36" s="30" t="str">
        <f t="shared" si="32"/>
        <v/>
      </c>
      <c r="AU36" s="20">
        <f t="shared" si="33"/>
        <v>0</v>
      </c>
      <c r="AV36" s="20">
        <f t="shared" si="34"/>
        <v>0</v>
      </c>
      <c r="AW36" s="19">
        <f t="shared" si="41"/>
        <v>0</v>
      </c>
      <c r="AX36" s="19">
        <f t="shared" si="42"/>
        <v>0</v>
      </c>
      <c r="AY36" s="19">
        <f t="shared" si="43"/>
        <v>0</v>
      </c>
      <c r="AZ36" s="19">
        <f t="shared" si="44"/>
        <v>0</v>
      </c>
      <c r="BA36" s="19">
        <f t="shared" si="45"/>
        <v>0</v>
      </c>
      <c r="BB36" s="19">
        <f t="shared" si="46"/>
        <v>0</v>
      </c>
      <c r="BC36" s="19">
        <f t="shared" si="47"/>
        <v>0</v>
      </c>
      <c r="BD36" s="19">
        <f>-IF(CUSTOS!B36="",0,CUSTOS!B36)</f>
        <v>0</v>
      </c>
      <c r="BF36" s="20">
        <f t="shared" si="48"/>
        <v>0</v>
      </c>
      <c r="BG36" s="20">
        <f t="shared" si="49"/>
        <v>0</v>
      </c>
      <c r="BH36" s="116">
        <f t="shared" si="49"/>
        <v>0</v>
      </c>
    </row>
    <row r="37" spans="1:60" ht="15" x14ac:dyDescent="0.25">
      <c r="A37" s="66" t="str">
        <f>IF(LARGE($A$11:A36,1)=$F$2,"",A36+1)</f>
        <v/>
      </c>
      <c r="B37" s="27" t="str">
        <f t="shared" si="3"/>
        <v/>
      </c>
      <c r="C37" s="28" t="str">
        <f t="shared" si="35"/>
        <v/>
      </c>
      <c r="D37" s="28" t="str">
        <f t="shared" si="4"/>
        <v/>
      </c>
      <c r="E37" s="28" t="str">
        <f t="shared" si="5"/>
        <v/>
      </c>
      <c r="F37" s="29" t="str">
        <f t="shared" si="6"/>
        <v/>
      </c>
      <c r="G37" s="29" t="str">
        <f t="shared" si="7"/>
        <v/>
      </c>
      <c r="H37" s="30" t="str">
        <f t="shared" si="8"/>
        <v/>
      </c>
      <c r="I37" s="30" t="str">
        <f t="shared" si="9"/>
        <v/>
      </c>
      <c r="J37" s="30" t="str">
        <f>IF(A37="","",H37+CUSTOS!B37)</f>
        <v/>
      </c>
      <c r="K37" s="30" t="str">
        <f t="shared" si="36"/>
        <v/>
      </c>
      <c r="L37" s="30" t="str">
        <f t="shared" si="37"/>
        <v/>
      </c>
      <c r="M37" s="30" t="str">
        <f t="shared" si="38"/>
        <v/>
      </c>
      <c r="N37" s="30" t="str">
        <f t="shared" si="10"/>
        <v/>
      </c>
      <c r="O37" s="31" t="str">
        <f t="shared" si="39"/>
        <v/>
      </c>
      <c r="P37" s="32"/>
      <c r="Q37" s="33" t="str">
        <f t="shared" si="11"/>
        <v/>
      </c>
      <c r="R37" s="33" t="str">
        <f t="shared" si="12"/>
        <v/>
      </c>
      <c r="S37" s="33" t="str">
        <f t="shared" si="13"/>
        <v/>
      </c>
      <c r="T37" s="33" t="str">
        <f t="shared" si="14"/>
        <v/>
      </c>
      <c r="U37" s="33" t="str">
        <f t="shared" si="15"/>
        <v/>
      </c>
      <c r="V37" s="33" t="str">
        <f t="shared" si="16"/>
        <v/>
      </c>
      <c r="X37" s="33" t="str">
        <f t="shared" si="17"/>
        <v/>
      </c>
      <c r="Y37" s="30" t="str">
        <f t="shared" si="18"/>
        <v/>
      </c>
      <c r="Z37" s="30" t="str">
        <f t="shared" si="19"/>
        <v/>
      </c>
      <c r="AA37" s="30" t="str">
        <f t="shared" si="20"/>
        <v/>
      </c>
      <c r="AB37" s="30" t="str">
        <f t="shared" si="21"/>
        <v/>
      </c>
      <c r="AD37" s="33" t="str">
        <f t="shared" si="22"/>
        <v/>
      </c>
      <c r="AE37" s="30" t="str">
        <f t="shared" si="23"/>
        <v/>
      </c>
      <c r="AF37" s="30" t="str">
        <f t="shared" si="24"/>
        <v/>
      </c>
      <c r="AG37" s="30" t="str">
        <f t="shared" si="25"/>
        <v/>
      </c>
      <c r="AH37" s="30" t="str">
        <f t="shared" si="26"/>
        <v/>
      </c>
      <c r="AJ37" s="85" t="str">
        <f t="shared" si="2"/>
        <v/>
      </c>
      <c r="AK37" s="86" t="str">
        <f t="shared" si="50"/>
        <v/>
      </c>
      <c r="AL37" s="86" t="str">
        <f t="shared" si="51"/>
        <v/>
      </c>
      <c r="AM37" s="86" t="str">
        <f t="shared" si="52"/>
        <v/>
      </c>
      <c r="AN37" s="86" t="str">
        <f t="shared" si="53"/>
        <v/>
      </c>
      <c r="AO37" s="86" t="str">
        <f t="shared" si="54"/>
        <v/>
      </c>
      <c r="AQ37" s="33" t="str">
        <f t="shared" si="31"/>
        <v/>
      </c>
      <c r="AR37" s="30" t="str">
        <f t="shared" si="32"/>
        <v/>
      </c>
      <c r="AU37" s="20">
        <f t="shared" si="33"/>
        <v>0</v>
      </c>
      <c r="AV37" s="20">
        <f t="shared" si="34"/>
        <v>0</v>
      </c>
      <c r="AW37" s="19">
        <f t="shared" si="41"/>
        <v>0</v>
      </c>
      <c r="AX37" s="19">
        <f t="shared" si="42"/>
        <v>0</v>
      </c>
      <c r="AY37" s="19">
        <f t="shared" si="43"/>
        <v>0</v>
      </c>
      <c r="AZ37" s="19">
        <f t="shared" si="44"/>
        <v>0</v>
      </c>
      <c r="BA37" s="19">
        <f t="shared" si="45"/>
        <v>0</v>
      </c>
      <c r="BB37" s="19">
        <f t="shared" si="46"/>
        <v>0</v>
      </c>
      <c r="BC37" s="19">
        <f t="shared" si="47"/>
        <v>0</v>
      </c>
      <c r="BD37" s="19">
        <f>-IF(CUSTOS!B37="",0,CUSTOS!B37)</f>
        <v>0</v>
      </c>
      <c r="BF37" s="20">
        <f t="shared" si="48"/>
        <v>0</v>
      </c>
      <c r="BG37" s="20">
        <f t="shared" si="49"/>
        <v>0</v>
      </c>
      <c r="BH37" s="116">
        <f t="shared" si="49"/>
        <v>0</v>
      </c>
    </row>
    <row r="38" spans="1:60" ht="15" x14ac:dyDescent="0.25">
      <c r="A38" s="66" t="str">
        <f>IF(LARGE($A$11:A37,1)=$F$2,"",A37+1)</f>
        <v/>
      </c>
      <c r="B38" s="27" t="str">
        <f t="shared" si="3"/>
        <v/>
      </c>
      <c r="C38" s="28" t="str">
        <f t="shared" si="35"/>
        <v/>
      </c>
      <c r="D38" s="28" t="str">
        <f t="shared" si="4"/>
        <v/>
      </c>
      <c r="E38" s="28" t="str">
        <f t="shared" si="5"/>
        <v/>
      </c>
      <c r="F38" s="29" t="str">
        <f t="shared" si="6"/>
        <v/>
      </c>
      <c r="G38" s="29" t="str">
        <f t="shared" si="7"/>
        <v/>
      </c>
      <c r="H38" s="30" t="str">
        <f t="shared" si="8"/>
        <v/>
      </c>
      <c r="I38" s="30" t="str">
        <f t="shared" si="9"/>
        <v/>
      </c>
      <c r="J38" s="30" t="str">
        <f>IF(A38="","",H38+CUSTOS!B38)</f>
        <v/>
      </c>
      <c r="K38" s="30" t="str">
        <f t="shared" si="36"/>
        <v/>
      </c>
      <c r="L38" s="30" t="str">
        <f t="shared" si="37"/>
        <v/>
      </c>
      <c r="M38" s="30" t="str">
        <f t="shared" si="38"/>
        <v/>
      </c>
      <c r="N38" s="30" t="str">
        <f t="shared" si="10"/>
        <v/>
      </c>
      <c r="O38" s="31" t="str">
        <f t="shared" si="39"/>
        <v/>
      </c>
      <c r="P38" s="32"/>
      <c r="Q38" s="33" t="str">
        <f t="shared" si="11"/>
        <v/>
      </c>
      <c r="R38" s="33" t="str">
        <f t="shared" si="12"/>
        <v/>
      </c>
      <c r="S38" s="33" t="str">
        <f t="shared" si="13"/>
        <v/>
      </c>
      <c r="T38" s="33" t="str">
        <f t="shared" si="14"/>
        <v/>
      </c>
      <c r="U38" s="33" t="str">
        <f t="shared" si="15"/>
        <v/>
      </c>
      <c r="V38" s="33" t="str">
        <f t="shared" si="16"/>
        <v/>
      </c>
      <c r="X38" s="33" t="str">
        <f t="shared" si="17"/>
        <v/>
      </c>
      <c r="Y38" s="30" t="str">
        <f t="shared" si="18"/>
        <v/>
      </c>
      <c r="Z38" s="30" t="str">
        <f t="shared" si="19"/>
        <v/>
      </c>
      <c r="AA38" s="30" t="str">
        <f t="shared" si="20"/>
        <v/>
      </c>
      <c r="AB38" s="30" t="str">
        <f t="shared" si="21"/>
        <v/>
      </c>
      <c r="AD38" s="33" t="str">
        <f t="shared" si="22"/>
        <v/>
      </c>
      <c r="AE38" s="30" t="str">
        <f t="shared" si="23"/>
        <v/>
      </c>
      <c r="AF38" s="30" t="str">
        <f t="shared" si="24"/>
        <v/>
      </c>
      <c r="AG38" s="30" t="str">
        <f t="shared" si="25"/>
        <v/>
      </c>
      <c r="AH38" s="30" t="str">
        <f t="shared" si="26"/>
        <v/>
      </c>
      <c r="AJ38" s="85" t="str">
        <f t="shared" si="2"/>
        <v/>
      </c>
      <c r="AK38" s="86" t="str">
        <f t="shared" si="50"/>
        <v/>
      </c>
      <c r="AL38" s="86" t="str">
        <f t="shared" si="51"/>
        <v/>
      </c>
      <c r="AM38" s="86" t="str">
        <f t="shared" si="52"/>
        <v/>
      </c>
      <c r="AN38" s="86" t="str">
        <f t="shared" si="53"/>
        <v/>
      </c>
      <c r="AO38" s="86" t="str">
        <f t="shared" si="54"/>
        <v/>
      </c>
      <c r="AQ38" s="33" t="str">
        <f t="shared" si="31"/>
        <v/>
      </c>
      <c r="AR38" s="30" t="str">
        <f t="shared" si="32"/>
        <v/>
      </c>
      <c r="AU38" s="20">
        <f t="shared" si="33"/>
        <v>0</v>
      </c>
      <c r="AV38" s="20">
        <f t="shared" si="34"/>
        <v>0</v>
      </c>
      <c r="AW38" s="19">
        <f t="shared" si="41"/>
        <v>0</v>
      </c>
      <c r="AX38" s="19">
        <f t="shared" si="42"/>
        <v>0</v>
      </c>
      <c r="AY38" s="19">
        <f t="shared" si="43"/>
        <v>0</v>
      </c>
      <c r="AZ38" s="19">
        <f t="shared" si="44"/>
        <v>0</v>
      </c>
      <c r="BA38" s="19">
        <f t="shared" si="45"/>
        <v>0</v>
      </c>
      <c r="BB38" s="19">
        <f t="shared" si="46"/>
        <v>0</v>
      </c>
      <c r="BC38" s="19">
        <f t="shared" si="47"/>
        <v>0</v>
      </c>
      <c r="BD38" s="19">
        <f>-IF(CUSTOS!B38="",0,CUSTOS!B38)</f>
        <v>0</v>
      </c>
      <c r="BF38" s="20">
        <f t="shared" si="48"/>
        <v>0</v>
      </c>
      <c r="BG38" s="20">
        <f t="shared" si="49"/>
        <v>0</v>
      </c>
      <c r="BH38" s="116">
        <f t="shared" si="49"/>
        <v>0</v>
      </c>
    </row>
    <row r="39" spans="1:60" ht="15" x14ac:dyDescent="0.25">
      <c r="A39" s="66" t="str">
        <f>IF(LARGE($A$11:A38,1)=$F$2,"",A38+1)</f>
        <v/>
      </c>
      <c r="B39" s="27" t="str">
        <f t="shared" si="3"/>
        <v/>
      </c>
      <c r="C39" s="28" t="str">
        <f t="shared" si="35"/>
        <v/>
      </c>
      <c r="D39" s="28" t="str">
        <f t="shared" si="4"/>
        <v/>
      </c>
      <c r="E39" s="28" t="str">
        <f t="shared" si="5"/>
        <v/>
      </c>
      <c r="F39" s="29" t="str">
        <f t="shared" si="6"/>
        <v/>
      </c>
      <c r="G39" s="29" t="str">
        <f t="shared" si="7"/>
        <v/>
      </c>
      <c r="H39" s="30" t="str">
        <f t="shared" si="8"/>
        <v/>
      </c>
      <c r="I39" s="30" t="str">
        <f t="shared" si="9"/>
        <v/>
      </c>
      <c r="J39" s="30" t="str">
        <f>IF(A39="","",H39+CUSTOS!B39)</f>
        <v/>
      </c>
      <c r="K39" s="30" t="str">
        <f t="shared" si="36"/>
        <v/>
      </c>
      <c r="L39" s="30" t="str">
        <f t="shared" si="37"/>
        <v/>
      </c>
      <c r="M39" s="30" t="str">
        <f t="shared" si="38"/>
        <v/>
      </c>
      <c r="N39" s="30" t="str">
        <f t="shared" si="10"/>
        <v/>
      </c>
      <c r="O39" s="31" t="str">
        <f t="shared" si="39"/>
        <v/>
      </c>
      <c r="P39" s="32"/>
      <c r="Q39" s="33" t="str">
        <f t="shared" si="11"/>
        <v/>
      </c>
      <c r="R39" s="33" t="str">
        <f t="shared" si="12"/>
        <v/>
      </c>
      <c r="S39" s="33" t="str">
        <f t="shared" si="13"/>
        <v/>
      </c>
      <c r="T39" s="33" t="str">
        <f t="shared" si="14"/>
        <v/>
      </c>
      <c r="U39" s="33" t="str">
        <f t="shared" si="15"/>
        <v/>
      </c>
      <c r="V39" s="33" t="str">
        <f t="shared" si="16"/>
        <v/>
      </c>
      <c r="X39" s="33" t="str">
        <f t="shared" si="17"/>
        <v/>
      </c>
      <c r="Y39" s="30" t="str">
        <f t="shared" si="18"/>
        <v/>
      </c>
      <c r="Z39" s="30" t="str">
        <f t="shared" si="19"/>
        <v/>
      </c>
      <c r="AA39" s="30" t="str">
        <f t="shared" si="20"/>
        <v/>
      </c>
      <c r="AB39" s="30" t="str">
        <f t="shared" si="21"/>
        <v/>
      </c>
      <c r="AD39" s="33" t="str">
        <f t="shared" si="22"/>
        <v/>
      </c>
      <c r="AE39" s="30" t="str">
        <f t="shared" si="23"/>
        <v/>
      </c>
      <c r="AF39" s="30" t="str">
        <f t="shared" si="24"/>
        <v/>
      </c>
      <c r="AG39" s="30" t="str">
        <f t="shared" si="25"/>
        <v/>
      </c>
      <c r="AH39" s="30" t="str">
        <f t="shared" si="26"/>
        <v/>
      </c>
      <c r="AJ39" s="85" t="str">
        <f t="shared" si="2"/>
        <v/>
      </c>
      <c r="AK39" s="86" t="str">
        <f t="shared" si="50"/>
        <v/>
      </c>
      <c r="AL39" s="86" t="str">
        <f t="shared" si="51"/>
        <v/>
      </c>
      <c r="AM39" s="86" t="str">
        <f t="shared" si="52"/>
        <v/>
      </c>
      <c r="AN39" s="86" t="str">
        <f t="shared" si="53"/>
        <v/>
      </c>
      <c r="AO39" s="86" t="str">
        <f t="shared" si="54"/>
        <v/>
      </c>
      <c r="AQ39" s="33" t="str">
        <f t="shared" si="31"/>
        <v/>
      </c>
      <c r="AR39" s="30" t="str">
        <f t="shared" si="32"/>
        <v/>
      </c>
      <c r="AU39" s="20">
        <f t="shared" si="33"/>
        <v>0</v>
      </c>
      <c r="AV39" s="20">
        <f t="shared" si="34"/>
        <v>0</v>
      </c>
      <c r="AW39" s="19">
        <f t="shared" si="41"/>
        <v>0</v>
      </c>
      <c r="AX39" s="19">
        <f t="shared" si="42"/>
        <v>0</v>
      </c>
      <c r="AY39" s="19">
        <f t="shared" si="43"/>
        <v>0</v>
      </c>
      <c r="AZ39" s="19">
        <f t="shared" si="44"/>
        <v>0</v>
      </c>
      <c r="BA39" s="19">
        <f t="shared" si="45"/>
        <v>0</v>
      </c>
      <c r="BB39" s="19">
        <f t="shared" si="46"/>
        <v>0</v>
      </c>
      <c r="BC39" s="19">
        <f t="shared" si="47"/>
        <v>0</v>
      </c>
      <c r="BD39" s="19">
        <f>-IF(CUSTOS!B39="",0,CUSTOS!B39)</f>
        <v>0</v>
      </c>
      <c r="BF39" s="20">
        <f t="shared" si="48"/>
        <v>0</v>
      </c>
      <c r="BG39" s="20">
        <f t="shared" si="49"/>
        <v>0</v>
      </c>
      <c r="BH39" s="116">
        <f t="shared" si="49"/>
        <v>0</v>
      </c>
    </row>
    <row r="40" spans="1:60" ht="15" x14ac:dyDescent="0.25">
      <c r="A40" s="66" t="str">
        <f>IF(LARGE($A$11:A39,1)=$F$2,"",A39+1)</f>
        <v/>
      </c>
      <c r="B40" s="27" t="str">
        <f t="shared" si="3"/>
        <v/>
      </c>
      <c r="C40" s="28" t="str">
        <f t="shared" si="35"/>
        <v/>
      </c>
      <c r="D40" s="28" t="str">
        <f t="shared" si="4"/>
        <v/>
      </c>
      <c r="E40" s="28" t="str">
        <f t="shared" si="5"/>
        <v/>
      </c>
      <c r="F40" s="29" t="str">
        <f t="shared" si="6"/>
        <v/>
      </c>
      <c r="G40" s="29" t="str">
        <f t="shared" si="7"/>
        <v/>
      </c>
      <c r="H40" s="30" t="str">
        <f t="shared" si="8"/>
        <v/>
      </c>
      <c r="I40" s="30" t="str">
        <f t="shared" si="9"/>
        <v/>
      </c>
      <c r="J40" s="30" t="str">
        <f>IF(A40="","",H40+CUSTOS!B40)</f>
        <v/>
      </c>
      <c r="K40" s="30" t="str">
        <f t="shared" si="36"/>
        <v/>
      </c>
      <c r="L40" s="30" t="str">
        <f t="shared" si="37"/>
        <v/>
      </c>
      <c r="M40" s="30" t="str">
        <f t="shared" si="38"/>
        <v/>
      </c>
      <c r="N40" s="30" t="str">
        <f t="shared" si="10"/>
        <v/>
      </c>
      <c r="O40" s="31" t="str">
        <f t="shared" si="39"/>
        <v/>
      </c>
      <c r="P40" s="32"/>
      <c r="Q40" s="33" t="str">
        <f t="shared" si="11"/>
        <v/>
      </c>
      <c r="R40" s="33" t="str">
        <f t="shared" si="12"/>
        <v/>
      </c>
      <c r="S40" s="33" t="str">
        <f t="shared" si="13"/>
        <v/>
      </c>
      <c r="T40" s="33" t="str">
        <f t="shared" si="14"/>
        <v/>
      </c>
      <c r="U40" s="33" t="str">
        <f t="shared" si="15"/>
        <v/>
      </c>
      <c r="V40" s="33" t="str">
        <f t="shared" si="16"/>
        <v/>
      </c>
      <c r="X40" s="33" t="str">
        <f t="shared" si="17"/>
        <v/>
      </c>
      <c r="Y40" s="30" t="str">
        <f t="shared" si="18"/>
        <v/>
      </c>
      <c r="Z40" s="30" t="str">
        <f t="shared" si="19"/>
        <v/>
      </c>
      <c r="AA40" s="30" t="str">
        <f t="shared" si="20"/>
        <v/>
      </c>
      <c r="AB40" s="30" t="str">
        <f t="shared" si="21"/>
        <v/>
      </c>
      <c r="AD40" s="33" t="str">
        <f t="shared" si="22"/>
        <v/>
      </c>
      <c r="AE40" s="30" t="str">
        <f t="shared" si="23"/>
        <v/>
      </c>
      <c r="AF40" s="30" t="str">
        <f t="shared" si="24"/>
        <v/>
      </c>
      <c r="AG40" s="30" t="str">
        <f t="shared" si="25"/>
        <v/>
      </c>
      <c r="AH40" s="30" t="str">
        <f t="shared" si="26"/>
        <v/>
      </c>
      <c r="AJ40" s="85" t="str">
        <f t="shared" si="2"/>
        <v/>
      </c>
      <c r="AK40" s="86" t="str">
        <f t="shared" si="50"/>
        <v/>
      </c>
      <c r="AL40" s="86" t="str">
        <f t="shared" si="51"/>
        <v/>
      </c>
      <c r="AM40" s="86" t="str">
        <f t="shared" si="52"/>
        <v/>
      </c>
      <c r="AN40" s="86" t="str">
        <f t="shared" si="53"/>
        <v/>
      </c>
      <c r="AO40" s="86" t="str">
        <f t="shared" si="54"/>
        <v/>
      </c>
      <c r="AQ40" s="33" t="str">
        <f t="shared" si="31"/>
        <v/>
      </c>
      <c r="AR40" s="30" t="str">
        <f t="shared" si="32"/>
        <v/>
      </c>
      <c r="AU40" s="20">
        <f t="shared" si="33"/>
        <v>0</v>
      </c>
      <c r="AV40" s="20">
        <f t="shared" si="34"/>
        <v>0</v>
      </c>
      <c r="AW40" s="19">
        <f t="shared" si="41"/>
        <v>0</v>
      </c>
      <c r="AX40" s="19">
        <f t="shared" si="42"/>
        <v>0</v>
      </c>
      <c r="AY40" s="19">
        <f t="shared" si="43"/>
        <v>0</v>
      </c>
      <c r="AZ40" s="19">
        <f t="shared" si="44"/>
        <v>0</v>
      </c>
      <c r="BA40" s="19">
        <f t="shared" si="45"/>
        <v>0</v>
      </c>
      <c r="BB40" s="19">
        <f t="shared" si="46"/>
        <v>0</v>
      </c>
      <c r="BC40" s="19">
        <f t="shared" si="47"/>
        <v>0</v>
      </c>
      <c r="BD40" s="19">
        <f>-IF(CUSTOS!B40="",0,CUSTOS!B40)</f>
        <v>0</v>
      </c>
      <c r="BF40" s="20">
        <f t="shared" si="48"/>
        <v>0</v>
      </c>
      <c r="BG40" s="20">
        <f t="shared" si="49"/>
        <v>0</v>
      </c>
      <c r="BH40" s="116">
        <f t="shared" si="49"/>
        <v>0</v>
      </c>
    </row>
    <row r="41" spans="1:60" ht="15" x14ac:dyDescent="0.25">
      <c r="A41" s="66" t="str">
        <f>IF(LARGE($A$11:A40,1)=$F$2,"",A40+1)</f>
        <v/>
      </c>
      <c r="B41" s="27" t="str">
        <f t="shared" si="3"/>
        <v/>
      </c>
      <c r="C41" s="28" t="str">
        <f t="shared" si="35"/>
        <v/>
      </c>
      <c r="D41" s="28" t="str">
        <f t="shared" si="4"/>
        <v/>
      </c>
      <c r="E41" s="28" t="str">
        <f t="shared" si="5"/>
        <v/>
      </c>
      <c r="F41" s="29" t="str">
        <f t="shared" si="6"/>
        <v/>
      </c>
      <c r="G41" s="29" t="str">
        <f t="shared" si="7"/>
        <v/>
      </c>
      <c r="H41" s="30" t="str">
        <f t="shared" si="8"/>
        <v/>
      </c>
      <c r="I41" s="30" t="str">
        <f t="shared" si="9"/>
        <v/>
      </c>
      <c r="J41" s="30" t="str">
        <f>IF(A41="","",H41+CUSTOS!B41)</f>
        <v/>
      </c>
      <c r="K41" s="30" t="str">
        <f t="shared" si="36"/>
        <v/>
      </c>
      <c r="L41" s="30" t="str">
        <f t="shared" si="37"/>
        <v/>
      </c>
      <c r="M41" s="30" t="str">
        <f t="shared" si="38"/>
        <v/>
      </c>
      <c r="N41" s="30" t="str">
        <f t="shared" si="10"/>
        <v/>
      </c>
      <c r="O41" s="31" t="str">
        <f t="shared" si="39"/>
        <v/>
      </c>
      <c r="P41" s="32"/>
      <c r="Q41" s="33" t="str">
        <f t="shared" si="11"/>
        <v/>
      </c>
      <c r="R41" s="33" t="str">
        <f t="shared" si="12"/>
        <v/>
      </c>
      <c r="S41" s="33" t="str">
        <f t="shared" si="13"/>
        <v/>
      </c>
      <c r="T41" s="33" t="str">
        <f t="shared" si="14"/>
        <v/>
      </c>
      <c r="U41" s="33" t="str">
        <f t="shared" si="15"/>
        <v/>
      </c>
      <c r="V41" s="33" t="str">
        <f t="shared" si="16"/>
        <v/>
      </c>
      <c r="X41" s="33" t="str">
        <f t="shared" si="17"/>
        <v/>
      </c>
      <c r="Y41" s="30" t="str">
        <f t="shared" si="18"/>
        <v/>
      </c>
      <c r="Z41" s="30" t="str">
        <f t="shared" si="19"/>
        <v/>
      </c>
      <c r="AA41" s="30" t="str">
        <f t="shared" si="20"/>
        <v/>
      </c>
      <c r="AB41" s="30" t="str">
        <f t="shared" si="21"/>
        <v/>
      </c>
      <c r="AD41" s="33" t="str">
        <f t="shared" si="22"/>
        <v/>
      </c>
      <c r="AE41" s="30" t="str">
        <f t="shared" si="23"/>
        <v/>
      </c>
      <c r="AF41" s="30" t="str">
        <f t="shared" si="24"/>
        <v/>
      </c>
      <c r="AG41" s="30" t="str">
        <f t="shared" si="25"/>
        <v/>
      </c>
      <c r="AH41" s="30" t="str">
        <f t="shared" si="26"/>
        <v/>
      </c>
      <c r="AJ41" s="85" t="str">
        <f t="shared" si="2"/>
        <v/>
      </c>
      <c r="AK41" s="86" t="str">
        <f t="shared" si="50"/>
        <v/>
      </c>
      <c r="AL41" s="86" t="str">
        <f t="shared" si="51"/>
        <v/>
      </c>
      <c r="AM41" s="86" t="str">
        <f t="shared" si="52"/>
        <v/>
      </c>
      <c r="AN41" s="86" t="str">
        <f t="shared" si="53"/>
        <v/>
      </c>
      <c r="AO41" s="86" t="str">
        <f t="shared" si="54"/>
        <v/>
      </c>
      <c r="AQ41" s="33" t="str">
        <f t="shared" si="31"/>
        <v/>
      </c>
      <c r="AR41" s="30" t="str">
        <f t="shared" si="32"/>
        <v/>
      </c>
      <c r="AU41" s="20">
        <f t="shared" si="33"/>
        <v>0</v>
      </c>
      <c r="AV41" s="20">
        <f t="shared" si="34"/>
        <v>0</v>
      </c>
      <c r="AW41" s="19">
        <f t="shared" si="41"/>
        <v>0</v>
      </c>
      <c r="AX41" s="19">
        <f t="shared" si="42"/>
        <v>0</v>
      </c>
      <c r="AY41" s="19">
        <f t="shared" si="43"/>
        <v>0</v>
      </c>
      <c r="AZ41" s="19">
        <f t="shared" si="44"/>
        <v>0</v>
      </c>
      <c r="BA41" s="19">
        <f t="shared" si="45"/>
        <v>0</v>
      </c>
      <c r="BB41" s="19">
        <f t="shared" si="46"/>
        <v>0</v>
      </c>
      <c r="BC41" s="19">
        <f t="shared" si="47"/>
        <v>0</v>
      </c>
      <c r="BD41" s="19">
        <f>-IF(CUSTOS!B41="",0,CUSTOS!B41)</f>
        <v>0</v>
      </c>
      <c r="BF41" s="20">
        <f t="shared" si="48"/>
        <v>0</v>
      </c>
      <c r="BG41" s="20">
        <f t="shared" si="49"/>
        <v>0</v>
      </c>
      <c r="BH41" s="116">
        <f t="shared" si="49"/>
        <v>0</v>
      </c>
    </row>
    <row r="42" spans="1:60" ht="15" x14ac:dyDescent="0.25">
      <c r="A42" s="66" t="str">
        <f>IF(LARGE($A$11:A41,1)=$F$2,"",A41+1)</f>
        <v/>
      </c>
      <c r="B42" s="27" t="str">
        <f t="shared" si="3"/>
        <v/>
      </c>
      <c r="C42" s="28" t="str">
        <f t="shared" si="35"/>
        <v/>
      </c>
      <c r="D42" s="28" t="str">
        <f t="shared" si="4"/>
        <v/>
      </c>
      <c r="E42" s="28" t="str">
        <f t="shared" si="5"/>
        <v/>
      </c>
      <c r="F42" s="29" t="str">
        <f t="shared" si="6"/>
        <v/>
      </c>
      <c r="G42" s="29" t="str">
        <f t="shared" si="7"/>
        <v/>
      </c>
      <c r="H42" s="30" t="str">
        <f t="shared" si="8"/>
        <v/>
      </c>
      <c r="I42" s="30" t="str">
        <f t="shared" si="9"/>
        <v/>
      </c>
      <c r="J42" s="30" t="str">
        <f>IF(A42="","",H42+CUSTOS!B42)</f>
        <v/>
      </c>
      <c r="K42" s="30" t="str">
        <f t="shared" si="36"/>
        <v/>
      </c>
      <c r="L42" s="30" t="str">
        <f t="shared" si="37"/>
        <v/>
      </c>
      <c r="M42" s="30" t="str">
        <f t="shared" si="38"/>
        <v/>
      </c>
      <c r="N42" s="30" t="str">
        <f t="shared" si="10"/>
        <v/>
      </c>
      <c r="O42" s="31" t="str">
        <f t="shared" si="39"/>
        <v/>
      </c>
      <c r="P42" s="32"/>
      <c r="Q42" s="33" t="str">
        <f t="shared" si="11"/>
        <v/>
      </c>
      <c r="R42" s="33" t="str">
        <f t="shared" si="12"/>
        <v/>
      </c>
      <c r="S42" s="33" t="str">
        <f t="shared" si="13"/>
        <v/>
      </c>
      <c r="T42" s="33" t="str">
        <f t="shared" si="14"/>
        <v/>
      </c>
      <c r="U42" s="33" t="str">
        <f t="shared" si="15"/>
        <v/>
      </c>
      <c r="V42" s="33" t="str">
        <f t="shared" si="16"/>
        <v/>
      </c>
      <c r="X42" s="33" t="str">
        <f t="shared" si="17"/>
        <v/>
      </c>
      <c r="Y42" s="30" t="str">
        <f t="shared" si="18"/>
        <v/>
      </c>
      <c r="Z42" s="30" t="str">
        <f t="shared" si="19"/>
        <v/>
      </c>
      <c r="AA42" s="30" t="str">
        <f t="shared" si="20"/>
        <v/>
      </c>
      <c r="AB42" s="30" t="str">
        <f t="shared" si="21"/>
        <v/>
      </c>
      <c r="AD42" s="33" t="str">
        <f t="shared" si="22"/>
        <v/>
      </c>
      <c r="AE42" s="30" t="str">
        <f t="shared" si="23"/>
        <v/>
      </c>
      <c r="AF42" s="30" t="str">
        <f t="shared" si="24"/>
        <v/>
      </c>
      <c r="AG42" s="30" t="str">
        <f t="shared" si="25"/>
        <v/>
      </c>
      <c r="AH42" s="30" t="str">
        <f t="shared" si="26"/>
        <v/>
      </c>
      <c r="AJ42" s="85" t="str">
        <f t="shared" si="2"/>
        <v/>
      </c>
      <c r="AK42" s="86" t="str">
        <f t="shared" si="50"/>
        <v/>
      </c>
      <c r="AL42" s="86" t="str">
        <f t="shared" si="51"/>
        <v/>
      </c>
      <c r="AM42" s="86" t="str">
        <f t="shared" si="52"/>
        <v/>
      </c>
      <c r="AN42" s="86" t="str">
        <f t="shared" si="53"/>
        <v/>
      </c>
      <c r="AO42" s="86" t="str">
        <f t="shared" si="54"/>
        <v/>
      </c>
      <c r="AQ42" s="33" t="str">
        <f t="shared" si="31"/>
        <v/>
      </c>
      <c r="AR42" s="30" t="str">
        <f t="shared" si="32"/>
        <v/>
      </c>
      <c r="AU42" s="20">
        <f t="shared" si="33"/>
        <v>0</v>
      </c>
      <c r="AV42" s="20">
        <f t="shared" si="34"/>
        <v>0</v>
      </c>
      <c r="AW42" s="19">
        <f t="shared" si="41"/>
        <v>0</v>
      </c>
      <c r="AX42" s="19">
        <f t="shared" si="42"/>
        <v>0</v>
      </c>
      <c r="AY42" s="19">
        <f t="shared" si="43"/>
        <v>0</v>
      </c>
      <c r="AZ42" s="19">
        <f t="shared" si="44"/>
        <v>0</v>
      </c>
      <c r="BA42" s="19">
        <f t="shared" si="45"/>
        <v>0</v>
      </c>
      <c r="BB42" s="19">
        <f t="shared" si="46"/>
        <v>0</v>
      </c>
      <c r="BC42" s="19">
        <f t="shared" si="47"/>
        <v>0</v>
      </c>
      <c r="BD42" s="19">
        <f>-IF(CUSTOS!B42="",0,CUSTOS!B42)</f>
        <v>0</v>
      </c>
      <c r="BF42" s="20">
        <f t="shared" si="48"/>
        <v>0</v>
      </c>
      <c r="BG42" s="20">
        <f t="shared" si="49"/>
        <v>0</v>
      </c>
      <c r="BH42" s="116">
        <f t="shared" si="49"/>
        <v>0</v>
      </c>
    </row>
    <row r="43" spans="1:60" ht="15" x14ac:dyDescent="0.25">
      <c r="A43" s="66" t="str">
        <f>IF(LARGE($A$11:A42,1)=$F$2,"",A42+1)</f>
        <v/>
      </c>
      <c r="B43" s="27" t="str">
        <f t="shared" si="3"/>
        <v/>
      </c>
      <c r="C43" s="28" t="str">
        <f t="shared" si="35"/>
        <v/>
      </c>
      <c r="D43" s="28" t="str">
        <f t="shared" si="4"/>
        <v/>
      </c>
      <c r="E43" s="28" t="str">
        <f t="shared" si="5"/>
        <v/>
      </c>
      <c r="F43" s="29" t="str">
        <f t="shared" si="6"/>
        <v/>
      </c>
      <c r="G43" s="29" t="str">
        <f t="shared" si="7"/>
        <v/>
      </c>
      <c r="H43" s="30" t="str">
        <f t="shared" si="8"/>
        <v/>
      </c>
      <c r="I43" s="30" t="str">
        <f t="shared" si="9"/>
        <v/>
      </c>
      <c r="J43" s="30" t="str">
        <f>IF(A43="","",H43+CUSTOS!B43)</f>
        <v/>
      </c>
      <c r="K43" s="30" t="str">
        <f t="shared" si="36"/>
        <v/>
      </c>
      <c r="L43" s="30" t="str">
        <f t="shared" si="37"/>
        <v/>
      </c>
      <c r="M43" s="30" t="str">
        <f t="shared" si="38"/>
        <v/>
      </c>
      <c r="N43" s="30" t="str">
        <f t="shared" si="10"/>
        <v/>
      </c>
      <c r="O43" s="31" t="str">
        <f t="shared" si="39"/>
        <v/>
      </c>
      <c r="P43" s="32"/>
      <c r="Q43" s="33" t="str">
        <f t="shared" si="11"/>
        <v/>
      </c>
      <c r="R43" s="33" t="str">
        <f t="shared" si="12"/>
        <v/>
      </c>
      <c r="S43" s="33" t="str">
        <f t="shared" si="13"/>
        <v/>
      </c>
      <c r="T43" s="33" t="str">
        <f t="shared" si="14"/>
        <v/>
      </c>
      <c r="U43" s="33" t="str">
        <f t="shared" si="15"/>
        <v/>
      </c>
      <c r="V43" s="33" t="str">
        <f t="shared" si="16"/>
        <v/>
      </c>
      <c r="X43" s="33" t="str">
        <f t="shared" si="17"/>
        <v/>
      </c>
      <c r="Y43" s="30" t="str">
        <f t="shared" si="18"/>
        <v/>
      </c>
      <c r="Z43" s="30" t="str">
        <f t="shared" si="19"/>
        <v/>
      </c>
      <c r="AA43" s="30" t="str">
        <f t="shared" si="20"/>
        <v/>
      </c>
      <c r="AB43" s="30" t="str">
        <f t="shared" si="21"/>
        <v/>
      </c>
      <c r="AD43" s="33" t="str">
        <f t="shared" si="22"/>
        <v/>
      </c>
      <c r="AE43" s="30" t="str">
        <f t="shared" si="23"/>
        <v/>
      </c>
      <c r="AF43" s="30" t="str">
        <f t="shared" si="24"/>
        <v/>
      </c>
      <c r="AG43" s="30" t="str">
        <f t="shared" si="25"/>
        <v/>
      </c>
      <c r="AH43" s="30" t="str">
        <f t="shared" si="26"/>
        <v/>
      </c>
      <c r="AJ43" s="85" t="str">
        <f t="shared" si="2"/>
        <v/>
      </c>
      <c r="AK43" s="86" t="str">
        <f t="shared" si="50"/>
        <v/>
      </c>
      <c r="AL43" s="86" t="str">
        <f t="shared" si="51"/>
        <v/>
      </c>
      <c r="AM43" s="86" t="str">
        <f t="shared" si="52"/>
        <v/>
      </c>
      <c r="AN43" s="86" t="str">
        <f t="shared" si="53"/>
        <v/>
      </c>
      <c r="AO43" s="86" t="str">
        <f t="shared" si="54"/>
        <v/>
      </c>
      <c r="AQ43" s="33" t="str">
        <f t="shared" si="31"/>
        <v/>
      </c>
      <c r="AR43" s="30" t="str">
        <f t="shared" si="32"/>
        <v/>
      </c>
      <c r="AU43" s="20">
        <f t="shared" si="33"/>
        <v>0</v>
      </c>
      <c r="AV43" s="20">
        <f t="shared" si="34"/>
        <v>0</v>
      </c>
      <c r="AW43" s="19">
        <f t="shared" si="41"/>
        <v>0</v>
      </c>
      <c r="AX43" s="19">
        <f t="shared" si="42"/>
        <v>0</v>
      </c>
      <c r="AY43" s="19">
        <f t="shared" si="43"/>
        <v>0</v>
      </c>
      <c r="AZ43" s="19">
        <f t="shared" si="44"/>
        <v>0</v>
      </c>
      <c r="BA43" s="19">
        <f t="shared" si="45"/>
        <v>0</v>
      </c>
      <c r="BB43" s="19">
        <f t="shared" si="46"/>
        <v>0</v>
      </c>
      <c r="BC43" s="19">
        <f t="shared" si="47"/>
        <v>0</v>
      </c>
      <c r="BD43" s="19">
        <f>-IF(CUSTOS!B43="",0,CUSTOS!B43)</f>
        <v>0</v>
      </c>
      <c r="BF43" s="20">
        <f t="shared" si="48"/>
        <v>0</v>
      </c>
      <c r="BG43" s="20">
        <f t="shared" si="49"/>
        <v>0</v>
      </c>
      <c r="BH43" s="116">
        <f t="shared" si="49"/>
        <v>0</v>
      </c>
    </row>
    <row r="44" spans="1:60" ht="15" x14ac:dyDescent="0.25">
      <c r="A44" s="66" t="str">
        <f>IF(LARGE($A$11:A43,1)=$F$2,"",A43+1)</f>
        <v/>
      </c>
      <c r="B44" s="27" t="str">
        <f t="shared" si="3"/>
        <v/>
      </c>
      <c r="C44" s="28" t="str">
        <f t="shared" si="35"/>
        <v/>
      </c>
      <c r="D44" s="28" t="str">
        <f t="shared" si="4"/>
        <v/>
      </c>
      <c r="E44" s="28" t="str">
        <f t="shared" si="5"/>
        <v/>
      </c>
      <c r="F44" s="29" t="str">
        <f t="shared" si="6"/>
        <v/>
      </c>
      <c r="G44" s="29" t="str">
        <f t="shared" si="7"/>
        <v/>
      </c>
      <c r="H44" s="30" t="str">
        <f t="shared" si="8"/>
        <v/>
      </c>
      <c r="I44" s="30" t="str">
        <f t="shared" si="9"/>
        <v/>
      </c>
      <c r="J44" s="30" t="str">
        <f>IF(A44="","",H44+CUSTOS!B44)</f>
        <v/>
      </c>
      <c r="K44" s="30" t="str">
        <f t="shared" si="36"/>
        <v/>
      </c>
      <c r="L44" s="30" t="str">
        <f t="shared" si="37"/>
        <v/>
      </c>
      <c r="M44" s="30" t="str">
        <f t="shared" si="38"/>
        <v/>
      </c>
      <c r="N44" s="30" t="str">
        <f t="shared" si="10"/>
        <v/>
      </c>
      <c r="O44" s="31" t="str">
        <f t="shared" si="39"/>
        <v/>
      </c>
      <c r="P44" s="32"/>
      <c r="Q44" s="33" t="str">
        <f t="shared" si="11"/>
        <v/>
      </c>
      <c r="R44" s="33" t="str">
        <f t="shared" si="12"/>
        <v/>
      </c>
      <c r="S44" s="33" t="str">
        <f t="shared" si="13"/>
        <v/>
      </c>
      <c r="T44" s="33" t="str">
        <f t="shared" si="14"/>
        <v/>
      </c>
      <c r="U44" s="33" t="str">
        <f t="shared" si="15"/>
        <v/>
      </c>
      <c r="V44" s="33" t="str">
        <f t="shared" si="16"/>
        <v/>
      </c>
      <c r="X44" s="33" t="str">
        <f t="shared" si="17"/>
        <v/>
      </c>
      <c r="Y44" s="30" t="str">
        <f t="shared" si="18"/>
        <v/>
      </c>
      <c r="Z44" s="30" t="str">
        <f t="shared" si="19"/>
        <v/>
      </c>
      <c r="AA44" s="30" t="str">
        <f t="shared" si="20"/>
        <v/>
      </c>
      <c r="AB44" s="30" t="str">
        <f t="shared" si="21"/>
        <v/>
      </c>
      <c r="AD44" s="33" t="str">
        <f t="shared" si="22"/>
        <v/>
      </c>
      <c r="AE44" s="30" t="str">
        <f t="shared" si="23"/>
        <v/>
      </c>
      <c r="AF44" s="30" t="str">
        <f t="shared" si="24"/>
        <v/>
      </c>
      <c r="AG44" s="30" t="str">
        <f t="shared" si="25"/>
        <v/>
      </c>
      <c r="AH44" s="30" t="str">
        <f t="shared" si="26"/>
        <v/>
      </c>
      <c r="AJ44" s="85" t="str">
        <f t="shared" si="2"/>
        <v/>
      </c>
      <c r="AK44" s="86" t="str">
        <f t="shared" si="50"/>
        <v/>
      </c>
      <c r="AL44" s="86" t="str">
        <f t="shared" si="51"/>
        <v/>
      </c>
      <c r="AM44" s="86" t="str">
        <f t="shared" si="52"/>
        <v/>
      </c>
      <c r="AN44" s="86" t="str">
        <f t="shared" si="53"/>
        <v/>
      </c>
      <c r="AO44" s="86" t="str">
        <f t="shared" si="54"/>
        <v/>
      </c>
      <c r="AQ44" s="33" t="str">
        <f t="shared" si="31"/>
        <v/>
      </c>
      <c r="AR44" s="30" t="str">
        <f t="shared" si="32"/>
        <v/>
      </c>
      <c r="AU44" s="20">
        <f t="shared" si="33"/>
        <v>0</v>
      </c>
      <c r="AV44" s="20">
        <f t="shared" si="34"/>
        <v>0</v>
      </c>
      <c r="AW44" s="19">
        <f t="shared" si="41"/>
        <v>0</v>
      </c>
      <c r="AX44" s="19">
        <f t="shared" si="42"/>
        <v>0</v>
      </c>
      <c r="AY44" s="19">
        <f t="shared" si="43"/>
        <v>0</v>
      </c>
      <c r="AZ44" s="19">
        <f t="shared" si="44"/>
        <v>0</v>
      </c>
      <c r="BA44" s="19">
        <f t="shared" si="45"/>
        <v>0</v>
      </c>
      <c r="BB44" s="19">
        <f t="shared" si="46"/>
        <v>0</v>
      </c>
      <c r="BC44" s="19">
        <f t="shared" si="47"/>
        <v>0</v>
      </c>
      <c r="BD44" s="19">
        <f>-IF(CUSTOS!B44="",0,CUSTOS!B44)</f>
        <v>0</v>
      </c>
      <c r="BF44" s="20">
        <f t="shared" si="48"/>
        <v>0</v>
      </c>
      <c r="BG44" s="20">
        <f t="shared" si="49"/>
        <v>0</v>
      </c>
      <c r="BH44" s="116">
        <f t="shared" si="49"/>
        <v>0</v>
      </c>
    </row>
    <row r="45" spans="1:60" ht="15" x14ac:dyDescent="0.25">
      <c r="A45" s="66" t="str">
        <f>IF(LARGE($A$11:A44,1)=$F$2,"",A44+1)</f>
        <v/>
      </c>
      <c r="B45" s="27" t="str">
        <f t="shared" si="3"/>
        <v/>
      </c>
      <c r="C45" s="28" t="str">
        <f t="shared" si="35"/>
        <v/>
      </c>
      <c r="D45" s="28" t="str">
        <f t="shared" si="4"/>
        <v/>
      </c>
      <c r="E45" s="28" t="str">
        <f t="shared" si="5"/>
        <v/>
      </c>
      <c r="F45" s="29" t="str">
        <f t="shared" si="6"/>
        <v/>
      </c>
      <c r="G45" s="29" t="str">
        <f t="shared" si="7"/>
        <v/>
      </c>
      <c r="H45" s="30" t="str">
        <f t="shared" si="8"/>
        <v/>
      </c>
      <c r="I45" s="30" t="str">
        <f t="shared" si="9"/>
        <v/>
      </c>
      <c r="J45" s="30" t="str">
        <f>IF(A45="","",H45+CUSTOS!B45)</f>
        <v/>
      </c>
      <c r="K45" s="30" t="str">
        <f t="shared" si="36"/>
        <v/>
      </c>
      <c r="L45" s="30" t="str">
        <f t="shared" si="37"/>
        <v/>
      </c>
      <c r="M45" s="30" t="str">
        <f t="shared" si="38"/>
        <v/>
      </c>
      <c r="N45" s="30" t="str">
        <f t="shared" si="10"/>
        <v/>
      </c>
      <c r="O45" s="31" t="str">
        <f t="shared" si="39"/>
        <v/>
      </c>
      <c r="P45" s="32"/>
      <c r="Q45" s="33" t="str">
        <f t="shared" si="11"/>
        <v/>
      </c>
      <c r="R45" s="33" t="str">
        <f t="shared" si="12"/>
        <v/>
      </c>
      <c r="S45" s="33" t="str">
        <f t="shared" si="13"/>
        <v/>
      </c>
      <c r="T45" s="33" t="str">
        <f t="shared" si="14"/>
        <v/>
      </c>
      <c r="U45" s="33" t="str">
        <f t="shared" si="15"/>
        <v/>
      </c>
      <c r="V45" s="33" t="str">
        <f t="shared" si="16"/>
        <v/>
      </c>
      <c r="X45" s="33" t="str">
        <f t="shared" si="17"/>
        <v/>
      </c>
      <c r="Y45" s="30" t="str">
        <f t="shared" si="18"/>
        <v/>
      </c>
      <c r="Z45" s="30" t="str">
        <f t="shared" si="19"/>
        <v/>
      </c>
      <c r="AA45" s="30" t="str">
        <f t="shared" si="20"/>
        <v/>
      </c>
      <c r="AB45" s="30" t="str">
        <f t="shared" si="21"/>
        <v/>
      </c>
      <c r="AD45" s="33" t="str">
        <f t="shared" si="22"/>
        <v/>
      </c>
      <c r="AE45" s="30" t="str">
        <f t="shared" si="23"/>
        <v/>
      </c>
      <c r="AF45" s="30" t="str">
        <f t="shared" si="24"/>
        <v/>
      </c>
      <c r="AG45" s="30" t="str">
        <f t="shared" si="25"/>
        <v/>
      </c>
      <c r="AH45" s="30" t="str">
        <f t="shared" si="26"/>
        <v/>
      </c>
      <c r="AJ45" s="85" t="str">
        <f t="shared" si="2"/>
        <v/>
      </c>
      <c r="AK45" s="86" t="str">
        <f t="shared" si="50"/>
        <v/>
      </c>
      <c r="AL45" s="86" t="str">
        <f t="shared" si="51"/>
        <v/>
      </c>
      <c r="AM45" s="86" t="str">
        <f t="shared" si="52"/>
        <v/>
      </c>
      <c r="AN45" s="86" t="str">
        <f t="shared" si="53"/>
        <v/>
      </c>
      <c r="AO45" s="86" t="str">
        <f t="shared" si="54"/>
        <v/>
      </c>
      <c r="AQ45" s="33" t="str">
        <f t="shared" si="31"/>
        <v/>
      </c>
      <c r="AR45" s="30" t="str">
        <f t="shared" si="32"/>
        <v/>
      </c>
      <c r="AU45" s="20">
        <f t="shared" si="33"/>
        <v>0</v>
      </c>
      <c r="AV45" s="20">
        <f t="shared" si="34"/>
        <v>0</v>
      </c>
      <c r="AW45" s="19">
        <f t="shared" si="41"/>
        <v>0</v>
      </c>
      <c r="AX45" s="19">
        <f t="shared" si="42"/>
        <v>0</v>
      </c>
      <c r="AY45" s="19">
        <f t="shared" si="43"/>
        <v>0</v>
      </c>
      <c r="AZ45" s="19">
        <f t="shared" si="44"/>
        <v>0</v>
      </c>
      <c r="BA45" s="19">
        <f t="shared" si="45"/>
        <v>0</v>
      </c>
      <c r="BB45" s="19">
        <f t="shared" si="46"/>
        <v>0</v>
      </c>
      <c r="BC45" s="19">
        <f t="shared" si="47"/>
        <v>0</v>
      </c>
      <c r="BD45" s="19">
        <f>-IF(CUSTOS!B45="",0,CUSTOS!B45)</f>
        <v>0</v>
      </c>
      <c r="BF45" s="20">
        <f t="shared" si="48"/>
        <v>0</v>
      </c>
      <c r="BG45" s="20">
        <f t="shared" si="49"/>
        <v>0</v>
      </c>
      <c r="BH45" s="116">
        <f t="shared" si="49"/>
        <v>0</v>
      </c>
    </row>
    <row r="46" spans="1:60" ht="15" x14ac:dyDescent="0.25">
      <c r="A46" s="66" t="str">
        <f>IF(LARGE($A$11:A45,1)=$F$2,"",A45+1)</f>
        <v/>
      </c>
      <c r="B46" s="27" t="str">
        <f t="shared" si="3"/>
        <v/>
      </c>
      <c r="C46" s="28" t="str">
        <f t="shared" si="35"/>
        <v/>
      </c>
      <c r="D46" s="28" t="str">
        <f t="shared" si="4"/>
        <v/>
      </c>
      <c r="E46" s="28" t="str">
        <f t="shared" si="5"/>
        <v/>
      </c>
      <c r="F46" s="29" t="str">
        <f t="shared" si="6"/>
        <v/>
      </c>
      <c r="G46" s="29" t="str">
        <f t="shared" si="7"/>
        <v/>
      </c>
      <c r="H46" s="30" t="str">
        <f t="shared" si="8"/>
        <v/>
      </c>
      <c r="I46" s="30" t="str">
        <f t="shared" si="9"/>
        <v/>
      </c>
      <c r="J46" s="30" t="str">
        <f>IF(A46="","",H46+CUSTOS!B46)</f>
        <v/>
      </c>
      <c r="K46" s="30" t="str">
        <f t="shared" si="36"/>
        <v/>
      </c>
      <c r="L46" s="30" t="str">
        <f t="shared" si="37"/>
        <v/>
      </c>
      <c r="M46" s="30" t="str">
        <f t="shared" si="38"/>
        <v/>
      </c>
      <c r="N46" s="30" t="str">
        <f t="shared" si="10"/>
        <v/>
      </c>
      <c r="O46" s="31" t="str">
        <f t="shared" si="39"/>
        <v/>
      </c>
      <c r="P46" s="32"/>
      <c r="Q46" s="33" t="str">
        <f t="shared" si="11"/>
        <v/>
      </c>
      <c r="R46" s="33" t="str">
        <f t="shared" si="12"/>
        <v/>
      </c>
      <c r="S46" s="33" t="str">
        <f t="shared" si="13"/>
        <v/>
      </c>
      <c r="T46" s="33" t="str">
        <f t="shared" si="14"/>
        <v/>
      </c>
      <c r="U46" s="33" t="str">
        <f t="shared" si="15"/>
        <v/>
      </c>
      <c r="V46" s="33" t="str">
        <f t="shared" si="16"/>
        <v/>
      </c>
      <c r="X46" s="33" t="str">
        <f t="shared" si="17"/>
        <v/>
      </c>
      <c r="Y46" s="30" t="str">
        <f t="shared" si="18"/>
        <v/>
      </c>
      <c r="Z46" s="30" t="str">
        <f t="shared" si="19"/>
        <v/>
      </c>
      <c r="AA46" s="30" t="str">
        <f t="shared" si="20"/>
        <v/>
      </c>
      <c r="AB46" s="30" t="str">
        <f t="shared" si="21"/>
        <v/>
      </c>
      <c r="AD46" s="33" t="str">
        <f t="shared" si="22"/>
        <v/>
      </c>
      <c r="AE46" s="30" t="str">
        <f t="shared" si="23"/>
        <v/>
      </c>
      <c r="AF46" s="30" t="str">
        <f t="shared" si="24"/>
        <v/>
      </c>
      <c r="AG46" s="30" t="str">
        <f t="shared" si="25"/>
        <v/>
      </c>
      <c r="AH46" s="30" t="str">
        <f t="shared" si="26"/>
        <v/>
      </c>
      <c r="AJ46" s="85" t="str">
        <f t="shared" si="2"/>
        <v/>
      </c>
      <c r="AK46" s="86" t="str">
        <f t="shared" si="50"/>
        <v/>
      </c>
      <c r="AL46" s="86" t="str">
        <f t="shared" si="51"/>
        <v/>
      </c>
      <c r="AM46" s="86" t="str">
        <f t="shared" si="52"/>
        <v/>
      </c>
      <c r="AN46" s="86" t="str">
        <f t="shared" si="53"/>
        <v/>
      </c>
      <c r="AO46" s="86" t="str">
        <f t="shared" si="54"/>
        <v/>
      </c>
      <c r="AQ46" s="33" t="str">
        <f t="shared" si="31"/>
        <v/>
      </c>
      <c r="AR46" s="30" t="str">
        <f t="shared" si="32"/>
        <v/>
      </c>
      <c r="AU46" s="20">
        <f t="shared" si="33"/>
        <v>0</v>
      </c>
      <c r="AV46" s="20">
        <f t="shared" si="34"/>
        <v>0</v>
      </c>
      <c r="AW46" s="19">
        <f t="shared" si="41"/>
        <v>0</v>
      </c>
      <c r="AX46" s="19">
        <f t="shared" si="42"/>
        <v>0</v>
      </c>
      <c r="AY46" s="19">
        <f t="shared" si="43"/>
        <v>0</v>
      </c>
      <c r="AZ46" s="19">
        <f t="shared" si="44"/>
        <v>0</v>
      </c>
      <c r="BA46" s="19">
        <f t="shared" si="45"/>
        <v>0</v>
      </c>
      <c r="BB46" s="19">
        <f t="shared" si="46"/>
        <v>0</v>
      </c>
      <c r="BC46" s="19">
        <f t="shared" si="47"/>
        <v>0</v>
      </c>
      <c r="BD46" s="19">
        <f>-IF(CUSTOS!B46="",0,CUSTOS!B46)</f>
        <v>0</v>
      </c>
      <c r="BF46" s="20">
        <f t="shared" si="48"/>
        <v>0</v>
      </c>
      <c r="BG46" s="20">
        <f t="shared" si="49"/>
        <v>0</v>
      </c>
      <c r="BH46" s="116">
        <f t="shared" si="49"/>
        <v>0</v>
      </c>
    </row>
    <row r="47" spans="1:60" ht="15" x14ac:dyDescent="0.25">
      <c r="A47" s="66" t="str">
        <f>IF(LARGE($A$11:A46,1)=$F$2,"",A46+1)</f>
        <v/>
      </c>
      <c r="B47" s="27" t="str">
        <f t="shared" si="3"/>
        <v/>
      </c>
      <c r="C47" s="28" t="str">
        <f t="shared" si="35"/>
        <v/>
      </c>
      <c r="D47" s="28" t="str">
        <f t="shared" si="4"/>
        <v/>
      </c>
      <c r="E47" s="28" t="str">
        <f t="shared" si="5"/>
        <v/>
      </c>
      <c r="F47" s="29" t="str">
        <f t="shared" si="6"/>
        <v/>
      </c>
      <c r="G47" s="29" t="str">
        <f t="shared" si="7"/>
        <v/>
      </c>
      <c r="H47" s="30" t="str">
        <f t="shared" si="8"/>
        <v/>
      </c>
      <c r="I47" s="30" t="str">
        <f t="shared" si="9"/>
        <v/>
      </c>
      <c r="J47" s="30" t="str">
        <f>IF(A47="","",H47+CUSTOS!B47)</f>
        <v/>
      </c>
      <c r="K47" s="30" t="str">
        <f t="shared" si="36"/>
        <v/>
      </c>
      <c r="L47" s="30" t="str">
        <f t="shared" si="37"/>
        <v/>
      </c>
      <c r="M47" s="30" t="str">
        <f t="shared" si="38"/>
        <v/>
      </c>
      <c r="N47" s="30" t="str">
        <f t="shared" si="10"/>
        <v/>
      </c>
      <c r="O47" s="31" t="str">
        <f t="shared" si="39"/>
        <v/>
      </c>
      <c r="P47" s="32"/>
      <c r="Q47" s="33" t="str">
        <f t="shared" si="11"/>
        <v/>
      </c>
      <c r="R47" s="33" t="str">
        <f t="shared" si="12"/>
        <v/>
      </c>
      <c r="S47" s="33" t="str">
        <f t="shared" si="13"/>
        <v/>
      </c>
      <c r="T47" s="33" t="str">
        <f t="shared" si="14"/>
        <v/>
      </c>
      <c r="U47" s="33" t="str">
        <f t="shared" si="15"/>
        <v/>
      </c>
      <c r="V47" s="33" t="str">
        <f t="shared" si="16"/>
        <v/>
      </c>
      <c r="X47" s="33" t="str">
        <f t="shared" si="17"/>
        <v/>
      </c>
      <c r="Y47" s="30" t="str">
        <f t="shared" si="18"/>
        <v/>
      </c>
      <c r="Z47" s="30" t="str">
        <f t="shared" si="19"/>
        <v/>
      </c>
      <c r="AA47" s="30" t="str">
        <f t="shared" si="20"/>
        <v/>
      </c>
      <c r="AB47" s="30" t="str">
        <f t="shared" si="21"/>
        <v/>
      </c>
      <c r="AD47" s="33" t="str">
        <f t="shared" si="22"/>
        <v/>
      </c>
      <c r="AE47" s="30" t="str">
        <f t="shared" si="23"/>
        <v/>
      </c>
      <c r="AF47" s="30" t="str">
        <f t="shared" si="24"/>
        <v/>
      </c>
      <c r="AG47" s="30" t="str">
        <f t="shared" si="25"/>
        <v/>
      </c>
      <c r="AH47" s="30" t="str">
        <f t="shared" si="26"/>
        <v/>
      </c>
      <c r="AJ47" s="85" t="str">
        <f t="shared" si="2"/>
        <v/>
      </c>
      <c r="AK47" s="86" t="str">
        <f t="shared" si="50"/>
        <v/>
      </c>
      <c r="AL47" s="86" t="str">
        <f t="shared" si="51"/>
        <v/>
      </c>
      <c r="AM47" s="86" t="str">
        <f t="shared" si="52"/>
        <v/>
      </c>
      <c r="AN47" s="86" t="str">
        <f t="shared" si="53"/>
        <v/>
      </c>
      <c r="AO47" s="86" t="str">
        <f t="shared" si="54"/>
        <v/>
      </c>
      <c r="AQ47" s="33" t="str">
        <f t="shared" si="31"/>
        <v/>
      </c>
      <c r="AR47" s="30" t="str">
        <f t="shared" si="32"/>
        <v/>
      </c>
      <c r="AU47" s="20">
        <f t="shared" si="33"/>
        <v>0</v>
      </c>
      <c r="AV47" s="20">
        <f t="shared" si="34"/>
        <v>0</v>
      </c>
      <c r="AW47" s="19">
        <f t="shared" si="41"/>
        <v>0</v>
      </c>
      <c r="AX47" s="19">
        <f t="shared" si="42"/>
        <v>0</v>
      </c>
      <c r="AY47" s="19">
        <f t="shared" si="43"/>
        <v>0</v>
      </c>
      <c r="AZ47" s="19">
        <f t="shared" si="44"/>
        <v>0</v>
      </c>
      <c r="BA47" s="19">
        <f t="shared" si="45"/>
        <v>0</v>
      </c>
      <c r="BB47" s="19">
        <f t="shared" si="46"/>
        <v>0</v>
      </c>
      <c r="BC47" s="19">
        <f t="shared" si="47"/>
        <v>0</v>
      </c>
      <c r="BD47" s="19">
        <f>-IF(CUSTOS!B47="",0,CUSTOS!B47)</f>
        <v>0</v>
      </c>
      <c r="BF47" s="20">
        <f t="shared" si="48"/>
        <v>0</v>
      </c>
      <c r="BG47" s="20">
        <f t="shared" si="49"/>
        <v>0</v>
      </c>
      <c r="BH47" s="116">
        <f t="shared" si="49"/>
        <v>0</v>
      </c>
    </row>
    <row r="48" spans="1:60" ht="15" x14ac:dyDescent="0.25">
      <c r="A48" s="66" t="str">
        <f>IF(LARGE($A$11:A47,1)=$F$2,"",A47+1)</f>
        <v/>
      </c>
      <c r="B48" s="27" t="str">
        <f t="shared" si="3"/>
        <v/>
      </c>
      <c r="C48" s="28" t="str">
        <f t="shared" si="35"/>
        <v/>
      </c>
      <c r="D48" s="28" t="str">
        <f t="shared" si="4"/>
        <v/>
      </c>
      <c r="E48" s="28" t="str">
        <f t="shared" si="5"/>
        <v/>
      </c>
      <c r="F48" s="29" t="str">
        <f t="shared" si="6"/>
        <v/>
      </c>
      <c r="G48" s="29" t="str">
        <f t="shared" si="7"/>
        <v/>
      </c>
      <c r="H48" s="30" t="str">
        <f t="shared" si="8"/>
        <v/>
      </c>
      <c r="I48" s="30" t="str">
        <f t="shared" si="9"/>
        <v/>
      </c>
      <c r="J48" s="30" t="str">
        <f>IF(A48="","",H48+CUSTOS!B48)</f>
        <v/>
      </c>
      <c r="K48" s="30" t="str">
        <f t="shared" si="36"/>
        <v/>
      </c>
      <c r="L48" s="30" t="str">
        <f t="shared" si="37"/>
        <v/>
      </c>
      <c r="M48" s="30" t="str">
        <f t="shared" si="38"/>
        <v/>
      </c>
      <c r="N48" s="30" t="str">
        <f t="shared" si="10"/>
        <v/>
      </c>
      <c r="O48" s="31" t="str">
        <f t="shared" si="39"/>
        <v/>
      </c>
      <c r="P48" s="32"/>
      <c r="Q48" s="33" t="str">
        <f t="shared" si="11"/>
        <v/>
      </c>
      <c r="R48" s="33" t="str">
        <f t="shared" si="12"/>
        <v/>
      </c>
      <c r="S48" s="33" t="str">
        <f t="shared" si="13"/>
        <v/>
      </c>
      <c r="T48" s="33" t="str">
        <f t="shared" si="14"/>
        <v/>
      </c>
      <c r="U48" s="33" t="str">
        <f t="shared" si="15"/>
        <v/>
      </c>
      <c r="V48" s="33" t="str">
        <f t="shared" si="16"/>
        <v/>
      </c>
      <c r="X48" s="33" t="str">
        <f t="shared" si="17"/>
        <v/>
      </c>
      <c r="Y48" s="30" t="str">
        <f t="shared" si="18"/>
        <v/>
      </c>
      <c r="Z48" s="30" t="str">
        <f t="shared" si="19"/>
        <v/>
      </c>
      <c r="AA48" s="30" t="str">
        <f t="shared" si="20"/>
        <v/>
      </c>
      <c r="AB48" s="30" t="str">
        <f t="shared" si="21"/>
        <v/>
      </c>
      <c r="AD48" s="33" t="str">
        <f t="shared" si="22"/>
        <v/>
      </c>
      <c r="AE48" s="30" t="str">
        <f t="shared" si="23"/>
        <v/>
      </c>
      <c r="AF48" s="30" t="str">
        <f t="shared" si="24"/>
        <v/>
      </c>
      <c r="AG48" s="30" t="str">
        <f t="shared" si="25"/>
        <v/>
      </c>
      <c r="AH48" s="30" t="str">
        <f t="shared" si="26"/>
        <v/>
      </c>
      <c r="AJ48" s="85" t="str">
        <f t="shared" si="2"/>
        <v/>
      </c>
      <c r="AK48" s="86" t="str">
        <f t="shared" si="50"/>
        <v/>
      </c>
      <c r="AL48" s="86" t="str">
        <f t="shared" si="51"/>
        <v/>
      </c>
      <c r="AM48" s="86" t="str">
        <f t="shared" si="52"/>
        <v/>
      </c>
      <c r="AN48" s="86" t="str">
        <f t="shared" si="53"/>
        <v/>
      </c>
      <c r="AO48" s="86" t="str">
        <f t="shared" si="54"/>
        <v/>
      </c>
      <c r="AQ48" s="33" t="str">
        <f t="shared" si="31"/>
        <v/>
      </c>
      <c r="AR48" s="30" t="str">
        <f t="shared" si="32"/>
        <v/>
      </c>
      <c r="AU48" s="20">
        <f t="shared" si="33"/>
        <v>0</v>
      </c>
      <c r="AV48" s="20">
        <f t="shared" si="34"/>
        <v>0</v>
      </c>
      <c r="AW48" s="19">
        <f t="shared" si="41"/>
        <v>0</v>
      </c>
      <c r="AX48" s="19">
        <f t="shared" si="42"/>
        <v>0</v>
      </c>
      <c r="AY48" s="19">
        <f t="shared" si="43"/>
        <v>0</v>
      </c>
      <c r="AZ48" s="19">
        <f t="shared" si="44"/>
        <v>0</v>
      </c>
      <c r="BA48" s="19">
        <f t="shared" si="45"/>
        <v>0</v>
      </c>
      <c r="BB48" s="19">
        <f t="shared" si="46"/>
        <v>0</v>
      </c>
      <c r="BC48" s="19">
        <f t="shared" si="47"/>
        <v>0</v>
      </c>
      <c r="BD48" s="19">
        <f>-IF(CUSTOS!B48="",0,CUSTOS!B48)</f>
        <v>0</v>
      </c>
      <c r="BF48" s="20">
        <f t="shared" si="48"/>
        <v>0</v>
      </c>
      <c r="BG48" s="20">
        <f t="shared" si="49"/>
        <v>0</v>
      </c>
      <c r="BH48" s="116">
        <f t="shared" si="49"/>
        <v>0</v>
      </c>
    </row>
    <row r="49" spans="1:60" ht="15" x14ac:dyDescent="0.25">
      <c r="A49" s="66" t="str">
        <f>IF(LARGE($A$11:A48,1)=$F$2,"",A48+1)</f>
        <v/>
      </c>
      <c r="B49" s="27" t="str">
        <f t="shared" si="3"/>
        <v/>
      </c>
      <c r="C49" s="28" t="str">
        <f t="shared" si="35"/>
        <v/>
      </c>
      <c r="D49" s="28" t="str">
        <f t="shared" si="4"/>
        <v/>
      </c>
      <c r="E49" s="28" t="str">
        <f t="shared" si="5"/>
        <v/>
      </c>
      <c r="F49" s="29" t="str">
        <f t="shared" si="6"/>
        <v/>
      </c>
      <c r="G49" s="29" t="str">
        <f t="shared" si="7"/>
        <v/>
      </c>
      <c r="H49" s="30" t="str">
        <f t="shared" si="8"/>
        <v/>
      </c>
      <c r="I49" s="30" t="str">
        <f t="shared" si="9"/>
        <v/>
      </c>
      <c r="J49" s="30" t="str">
        <f>IF(A49="","",H49+CUSTOS!B49)</f>
        <v/>
      </c>
      <c r="K49" s="30" t="str">
        <f t="shared" si="36"/>
        <v/>
      </c>
      <c r="L49" s="30" t="str">
        <f t="shared" si="37"/>
        <v/>
      </c>
      <c r="M49" s="30" t="str">
        <f t="shared" si="38"/>
        <v/>
      </c>
      <c r="N49" s="30" t="str">
        <f t="shared" si="10"/>
        <v/>
      </c>
      <c r="O49" s="31" t="str">
        <f t="shared" si="39"/>
        <v/>
      </c>
      <c r="P49" s="32"/>
      <c r="Q49" s="33" t="str">
        <f t="shared" si="11"/>
        <v/>
      </c>
      <c r="R49" s="33" t="str">
        <f t="shared" si="12"/>
        <v/>
      </c>
      <c r="S49" s="33" t="str">
        <f t="shared" si="13"/>
        <v/>
      </c>
      <c r="T49" s="33" t="str">
        <f t="shared" si="14"/>
        <v/>
      </c>
      <c r="U49" s="33" t="str">
        <f t="shared" si="15"/>
        <v/>
      </c>
      <c r="V49" s="33" t="str">
        <f t="shared" si="16"/>
        <v/>
      </c>
      <c r="X49" s="33" t="str">
        <f t="shared" si="17"/>
        <v/>
      </c>
      <c r="Y49" s="30" t="str">
        <f t="shared" si="18"/>
        <v/>
      </c>
      <c r="Z49" s="30" t="str">
        <f t="shared" si="19"/>
        <v/>
      </c>
      <c r="AA49" s="30" t="str">
        <f t="shared" si="20"/>
        <v/>
      </c>
      <c r="AB49" s="30" t="str">
        <f t="shared" si="21"/>
        <v/>
      </c>
      <c r="AD49" s="33" t="str">
        <f t="shared" si="22"/>
        <v/>
      </c>
      <c r="AE49" s="30" t="str">
        <f t="shared" si="23"/>
        <v/>
      </c>
      <c r="AF49" s="30" t="str">
        <f t="shared" si="24"/>
        <v/>
      </c>
      <c r="AG49" s="30" t="str">
        <f t="shared" si="25"/>
        <v/>
      </c>
      <c r="AH49" s="30" t="str">
        <f t="shared" si="26"/>
        <v/>
      </c>
      <c r="AJ49" s="85" t="str">
        <f t="shared" si="2"/>
        <v/>
      </c>
      <c r="AK49" s="86" t="str">
        <f t="shared" si="50"/>
        <v/>
      </c>
      <c r="AL49" s="86" t="str">
        <f t="shared" si="51"/>
        <v/>
      </c>
      <c r="AM49" s="86" t="str">
        <f t="shared" si="52"/>
        <v/>
      </c>
      <c r="AN49" s="86" t="str">
        <f t="shared" si="53"/>
        <v/>
      </c>
      <c r="AO49" s="86" t="str">
        <f t="shared" si="54"/>
        <v/>
      </c>
      <c r="AQ49" s="33" t="str">
        <f t="shared" si="31"/>
        <v/>
      </c>
      <c r="AR49" s="30" t="str">
        <f t="shared" si="32"/>
        <v/>
      </c>
      <c r="AU49" s="20">
        <f t="shared" si="33"/>
        <v>0</v>
      </c>
      <c r="AV49" s="20">
        <f t="shared" si="34"/>
        <v>0</v>
      </c>
      <c r="AW49" s="19">
        <f t="shared" si="41"/>
        <v>0</v>
      </c>
      <c r="AX49" s="19">
        <f t="shared" si="42"/>
        <v>0</v>
      </c>
      <c r="AY49" s="19">
        <f t="shared" si="43"/>
        <v>0</v>
      </c>
      <c r="AZ49" s="19">
        <f t="shared" si="44"/>
        <v>0</v>
      </c>
      <c r="BA49" s="19">
        <f t="shared" si="45"/>
        <v>0</v>
      </c>
      <c r="BB49" s="19">
        <f t="shared" si="46"/>
        <v>0</v>
      </c>
      <c r="BC49" s="19">
        <f t="shared" si="47"/>
        <v>0</v>
      </c>
      <c r="BD49" s="19">
        <f>-IF(CUSTOS!B49="",0,CUSTOS!B49)</f>
        <v>0</v>
      </c>
      <c r="BF49" s="20">
        <f t="shared" si="48"/>
        <v>0</v>
      </c>
      <c r="BG49" s="20">
        <f t="shared" si="49"/>
        <v>0</v>
      </c>
      <c r="BH49" s="116">
        <f t="shared" si="49"/>
        <v>0</v>
      </c>
    </row>
    <row r="50" spans="1:60" ht="15" x14ac:dyDescent="0.25">
      <c r="A50" s="66" t="str">
        <f>IF(LARGE($A$11:A49,1)=$F$2,"",A49+1)</f>
        <v/>
      </c>
      <c r="B50" s="27" t="str">
        <f t="shared" si="3"/>
        <v/>
      </c>
      <c r="C50" s="28" t="str">
        <f t="shared" si="35"/>
        <v/>
      </c>
      <c r="D50" s="28" t="str">
        <f t="shared" si="4"/>
        <v/>
      </c>
      <c r="E50" s="28" t="str">
        <f t="shared" si="5"/>
        <v/>
      </c>
      <c r="F50" s="29" t="str">
        <f t="shared" si="6"/>
        <v/>
      </c>
      <c r="G50" s="29" t="str">
        <f t="shared" si="7"/>
        <v/>
      </c>
      <c r="H50" s="30" t="str">
        <f t="shared" si="8"/>
        <v/>
      </c>
      <c r="I50" s="30" t="str">
        <f t="shared" si="9"/>
        <v/>
      </c>
      <c r="J50" s="30" t="str">
        <f>IF(A50="","",H50+CUSTOS!B50)</f>
        <v/>
      </c>
      <c r="K50" s="30" t="str">
        <f t="shared" si="36"/>
        <v/>
      </c>
      <c r="L50" s="30" t="str">
        <f t="shared" si="37"/>
        <v/>
      </c>
      <c r="M50" s="30" t="str">
        <f t="shared" si="38"/>
        <v/>
      </c>
      <c r="N50" s="30" t="str">
        <f t="shared" si="10"/>
        <v/>
      </c>
      <c r="O50" s="31" t="str">
        <f t="shared" si="39"/>
        <v/>
      </c>
      <c r="P50" s="32"/>
      <c r="Q50" s="33" t="str">
        <f t="shared" si="11"/>
        <v/>
      </c>
      <c r="R50" s="33" t="str">
        <f t="shared" si="12"/>
        <v/>
      </c>
      <c r="S50" s="33" t="str">
        <f t="shared" si="13"/>
        <v/>
      </c>
      <c r="T50" s="33" t="str">
        <f t="shared" si="14"/>
        <v/>
      </c>
      <c r="U50" s="33" t="str">
        <f t="shared" si="15"/>
        <v/>
      </c>
      <c r="V50" s="33" t="str">
        <f t="shared" si="16"/>
        <v/>
      </c>
      <c r="X50" s="33" t="str">
        <f t="shared" si="17"/>
        <v/>
      </c>
      <c r="Y50" s="30" t="str">
        <f t="shared" si="18"/>
        <v/>
      </c>
      <c r="Z50" s="30" t="str">
        <f t="shared" si="19"/>
        <v/>
      </c>
      <c r="AA50" s="30" t="str">
        <f t="shared" si="20"/>
        <v/>
      </c>
      <c r="AB50" s="30" t="str">
        <f t="shared" si="21"/>
        <v/>
      </c>
      <c r="AD50" s="33" t="str">
        <f t="shared" si="22"/>
        <v/>
      </c>
      <c r="AE50" s="30" t="str">
        <f t="shared" si="23"/>
        <v/>
      </c>
      <c r="AF50" s="30" t="str">
        <f t="shared" si="24"/>
        <v/>
      </c>
      <c r="AG50" s="30" t="str">
        <f t="shared" si="25"/>
        <v/>
      </c>
      <c r="AH50" s="30" t="str">
        <f t="shared" si="26"/>
        <v/>
      </c>
      <c r="AJ50" s="85" t="str">
        <f t="shared" si="2"/>
        <v/>
      </c>
      <c r="AK50" s="86" t="str">
        <f t="shared" si="50"/>
        <v/>
      </c>
      <c r="AL50" s="86" t="str">
        <f t="shared" si="51"/>
        <v/>
      </c>
      <c r="AM50" s="86" t="str">
        <f t="shared" si="52"/>
        <v/>
      </c>
      <c r="AN50" s="86" t="str">
        <f t="shared" si="53"/>
        <v/>
      </c>
      <c r="AO50" s="86" t="str">
        <f t="shared" si="54"/>
        <v/>
      </c>
      <c r="AQ50" s="33" t="str">
        <f t="shared" si="31"/>
        <v/>
      </c>
      <c r="AR50" s="30" t="str">
        <f t="shared" si="32"/>
        <v/>
      </c>
      <c r="AU50" s="20">
        <f t="shared" si="33"/>
        <v>0</v>
      </c>
      <c r="AV50" s="20">
        <f t="shared" si="34"/>
        <v>0</v>
      </c>
      <c r="AW50" s="19">
        <f t="shared" si="41"/>
        <v>0</v>
      </c>
      <c r="AX50" s="19">
        <f t="shared" si="42"/>
        <v>0</v>
      </c>
      <c r="AY50" s="19">
        <f t="shared" si="43"/>
        <v>0</v>
      </c>
      <c r="AZ50" s="19">
        <f t="shared" si="44"/>
        <v>0</v>
      </c>
      <c r="BA50" s="19">
        <f t="shared" si="45"/>
        <v>0</v>
      </c>
      <c r="BB50" s="19">
        <f t="shared" si="46"/>
        <v>0</v>
      </c>
      <c r="BC50" s="19">
        <f t="shared" si="47"/>
        <v>0</v>
      </c>
      <c r="BD50" s="19">
        <f>-IF(CUSTOS!B50="",0,CUSTOS!B50)</f>
        <v>0</v>
      </c>
      <c r="BF50" s="20">
        <f t="shared" si="48"/>
        <v>0</v>
      </c>
      <c r="BG50" s="20">
        <f t="shared" si="49"/>
        <v>0</v>
      </c>
      <c r="BH50" s="116">
        <f t="shared" si="49"/>
        <v>0</v>
      </c>
    </row>
    <row r="51" spans="1:60" ht="15" x14ac:dyDescent="0.25">
      <c r="A51" s="66" t="str">
        <f>IF(LARGE($A$11:A50,1)=$F$2,"",A50+1)</f>
        <v/>
      </c>
      <c r="B51" s="27" t="str">
        <f t="shared" si="3"/>
        <v/>
      </c>
      <c r="C51" s="28" t="str">
        <f t="shared" si="35"/>
        <v/>
      </c>
      <c r="D51" s="28" t="str">
        <f t="shared" si="4"/>
        <v/>
      </c>
      <c r="E51" s="28" t="str">
        <f t="shared" si="5"/>
        <v/>
      </c>
      <c r="F51" s="29" t="str">
        <f t="shared" si="6"/>
        <v/>
      </c>
      <c r="G51" s="29" t="str">
        <f t="shared" si="7"/>
        <v/>
      </c>
      <c r="H51" s="30" t="str">
        <f t="shared" si="8"/>
        <v/>
      </c>
      <c r="I51" s="30" t="str">
        <f t="shared" si="9"/>
        <v/>
      </c>
      <c r="J51" s="30" t="str">
        <f>IF(A51="","",H51+CUSTOS!B51)</f>
        <v/>
      </c>
      <c r="K51" s="30" t="str">
        <f t="shared" si="36"/>
        <v/>
      </c>
      <c r="L51" s="30" t="str">
        <f t="shared" si="37"/>
        <v/>
      </c>
      <c r="M51" s="30" t="str">
        <f t="shared" si="38"/>
        <v/>
      </c>
      <c r="N51" s="30" t="str">
        <f t="shared" si="10"/>
        <v/>
      </c>
      <c r="O51" s="31" t="str">
        <f t="shared" si="39"/>
        <v/>
      </c>
      <c r="P51" s="32"/>
      <c r="Q51" s="33" t="str">
        <f t="shared" si="11"/>
        <v/>
      </c>
      <c r="R51" s="33" t="str">
        <f t="shared" si="12"/>
        <v/>
      </c>
      <c r="S51" s="33" t="str">
        <f t="shared" si="13"/>
        <v/>
      </c>
      <c r="T51" s="33" t="str">
        <f t="shared" si="14"/>
        <v/>
      </c>
      <c r="U51" s="33" t="str">
        <f t="shared" si="15"/>
        <v/>
      </c>
      <c r="V51" s="33" t="str">
        <f t="shared" si="16"/>
        <v/>
      </c>
      <c r="X51" s="33" t="str">
        <f t="shared" si="17"/>
        <v/>
      </c>
      <c r="Y51" s="30" t="str">
        <f t="shared" si="18"/>
        <v/>
      </c>
      <c r="Z51" s="30" t="str">
        <f t="shared" si="19"/>
        <v/>
      </c>
      <c r="AA51" s="30" t="str">
        <f t="shared" si="20"/>
        <v/>
      </c>
      <c r="AB51" s="30" t="str">
        <f t="shared" si="21"/>
        <v/>
      </c>
      <c r="AD51" s="33" t="str">
        <f t="shared" si="22"/>
        <v/>
      </c>
      <c r="AE51" s="30" t="str">
        <f t="shared" si="23"/>
        <v/>
      </c>
      <c r="AF51" s="30" t="str">
        <f t="shared" si="24"/>
        <v/>
      </c>
      <c r="AG51" s="30" t="str">
        <f t="shared" si="25"/>
        <v/>
      </c>
      <c r="AH51" s="30" t="str">
        <f t="shared" si="26"/>
        <v/>
      </c>
      <c r="AJ51" s="85" t="str">
        <f t="shared" si="2"/>
        <v/>
      </c>
      <c r="AK51" s="86" t="str">
        <f t="shared" si="50"/>
        <v/>
      </c>
      <c r="AL51" s="86" t="str">
        <f t="shared" si="51"/>
        <v/>
      </c>
      <c r="AM51" s="86" t="str">
        <f t="shared" si="52"/>
        <v/>
      </c>
      <c r="AN51" s="86" t="str">
        <f t="shared" si="53"/>
        <v/>
      </c>
      <c r="AO51" s="86" t="str">
        <f t="shared" si="54"/>
        <v/>
      </c>
      <c r="AQ51" s="33" t="str">
        <f t="shared" si="31"/>
        <v/>
      </c>
      <c r="AR51" s="30" t="str">
        <f t="shared" si="32"/>
        <v/>
      </c>
      <c r="AU51" s="20">
        <f t="shared" si="33"/>
        <v>0</v>
      </c>
      <c r="AV51" s="20">
        <f t="shared" si="34"/>
        <v>0</v>
      </c>
      <c r="AW51" s="19">
        <f t="shared" si="41"/>
        <v>0</v>
      </c>
      <c r="AX51" s="19">
        <f t="shared" si="42"/>
        <v>0</v>
      </c>
      <c r="AY51" s="19">
        <f t="shared" si="43"/>
        <v>0</v>
      </c>
      <c r="AZ51" s="19">
        <f t="shared" si="44"/>
        <v>0</v>
      </c>
      <c r="BA51" s="19">
        <f t="shared" si="45"/>
        <v>0</v>
      </c>
      <c r="BB51" s="19">
        <f t="shared" si="46"/>
        <v>0</v>
      </c>
      <c r="BC51" s="19">
        <f t="shared" si="47"/>
        <v>0</v>
      </c>
      <c r="BD51" s="19">
        <f>-IF(CUSTOS!B51="",0,CUSTOS!B51)</f>
        <v>0</v>
      </c>
      <c r="BF51" s="20">
        <f t="shared" si="48"/>
        <v>0</v>
      </c>
      <c r="BG51" s="20">
        <f t="shared" si="49"/>
        <v>0</v>
      </c>
      <c r="BH51" s="116">
        <f t="shared" si="49"/>
        <v>0</v>
      </c>
    </row>
    <row r="52" spans="1:60" ht="15" x14ac:dyDescent="0.25">
      <c r="A52" s="66" t="str">
        <f>IF(LARGE($A$11:A51,1)=$F$2,"",A51+1)</f>
        <v/>
      </c>
      <c r="B52" s="27" t="str">
        <f t="shared" si="3"/>
        <v/>
      </c>
      <c r="C52" s="28" t="str">
        <f t="shared" si="35"/>
        <v/>
      </c>
      <c r="D52" s="28" t="str">
        <f t="shared" si="4"/>
        <v/>
      </c>
      <c r="E52" s="28" t="str">
        <f t="shared" si="5"/>
        <v/>
      </c>
      <c r="F52" s="29" t="str">
        <f t="shared" si="6"/>
        <v/>
      </c>
      <c r="G52" s="29" t="str">
        <f t="shared" si="7"/>
        <v/>
      </c>
      <c r="H52" s="30" t="str">
        <f t="shared" si="8"/>
        <v/>
      </c>
      <c r="I52" s="30" t="str">
        <f t="shared" si="9"/>
        <v/>
      </c>
      <c r="J52" s="30" t="str">
        <f>IF(A52="","",H52+CUSTOS!B52)</f>
        <v/>
      </c>
      <c r="K52" s="30" t="str">
        <f t="shared" si="36"/>
        <v/>
      </c>
      <c r="L52" s="30" t="str">
        <f t="shared" si="37"/>
        <v/>
      </c>
      <c r="M52" s="30" t="str">
        <f t="shared" si="38"/>
        <v/>
      </c>
      <c r="N52" s="30" t="str">
        <f t="shared" si="10"/>
        <v/>
      </c>
      <c r="O52" s="31" t="str">
        <f t="shared" si="39"/>
        <v/>
      </c>
      <c r="P52" s="32"/>
      <c r="Q52" s="33" t="str">
        <f t="shared" si="11"/>
        <v/>
      </c>
      <c r="R52" s="33" t="str">
        <f t="shared" si="12"/>
        <v/>
      </c>
      <c r="S52" s="33" t="str">
        <f t="shared" si="13"/>
        <v/>
      </c>
      <c r="T52" s="33" t="str">
        <f t="shared" si="14"/>
        <v/>
      </c>
      <c r="U52" s="33" t="str">
        <f t="shared" si="15"/>
        <v/>
      </c>
      <c r="V52" s="33" t="str">
        <f t="shared" si="16"/>
        <v/>
      </c>
      <c r="X52" s="33" t="str">
        <f t="shared" si="17"/>
        <v/>
      </c>
      <c r="Y52" s="30" t="str">
        <f t="shared" si="18"/>
        <v/>
      </c>
      <c r="Z52" s="30" t="str">
        <f t="shared" si="19"/>
        <v/>
      </c>
      <c r="AA52" s="30" t="str">
        <f t="shared" si="20"/>
        <v/>
      </c>
      <c r="AB52" s="30" t="str">
        <f t="shared" si="21"/>
        <v/>
      </c>
      <c r="AD52" s="33" t="str">
        <f t="shared" si="22"/>
        <v/>
      </c>
      <c r="AE52" s="30" t="str">
        <f t="shared" si="23"/>
        <v/>
      </c>
      <c r="AF52" s="30" t="str">
        <f t="shared" si="24"/>
        <v/>
      </c>
      <c r="AG52" s="30" t="str">
        <f t="shared" si="25"/>
        <v/>
      </c>
      <c r="AH52" s="30" t="str">
        <f t="shared" si="26"/>
        <v/>
      </c>
      <c r="AJ52" s="85" t="str">
        <f t="shared" si="2"/>
        <v/>
      </c>
      <c r="AK52" s="86" t="str">
        <f t="shared" si="50"/>
        <v/>
      </c>
      <c r="AL52" s="86" t="str">
        <f t="shared" si="51"/>
        <v/>
      </c>
      <c r="AM52" s="86" t="str">
        <f t="shared" si="52"/>
        <v/>
      </c>
      <c r="AN52" s="86" t="str">
        <f t="shared" si="53"/>
        <v/>
      </c>
      <c r="AO52" s="86" t="str">
        <f t="shared" si="54"/>
        <v/>
      </c>
      <c r="AQ52" s="33" t="str">
        <f t="shared" si="31"/>
        <v/>
      </c>
      <c r="AR52" s="30" t="str">
        <f t="shared" si="32"/>
        <v/>
      </c>
      <c r="AU52" s="20">
        <f t="shared" si="33"/>
        <v>0</v>
      </c>
      <c r="AV52" s="20">
        <f t="shared" si="34"/>
        <v>0</v>
      </c>
      <c r="AW52" s="19">
        <f t="shared" si="41"/>
        <v>0</v>
      </c>
      <c r="AX52" s="19">
        <f t="shared" si="42"/>
        <v>0</v>
      </c>
      <c r="AY52" s="19">
        <f t="shared" si="43"/>
        <v>0</v>
      </c>
      <c r="AZ52" s="19">
        <f t="shared" si="44"/>
        <v>0</v>
      </c>
      <c r="BA52" s="19">
        <f t="shared" si="45"/>
        <v>0</v>
      </c>
      <c r="BB52" s="19">
        <f t="shared" si="46"/>
        <v>0</v>
      </c>
      <c r="BC52" s="19">
        <f t="shared" si="47"/>
        <v>0</v>
      </c>
      <c r="BD52" s="19">
        <f>-IF(CUSTOS!B52="",0,CUSTOS!B52)</f>
        <v>0</v>
      </c>
      <c r="BF52" s="20">
        <f t="shared" si="48"/>
        <v>0</v>
      </c>
      <c r="BG52" s="20">
        <f t="shared" si="49"/>
        <v>0</v>
      </c>
      <c r="BH52" s="116">
        <f t="shared" si="49"/>
        <v>0</v>
      </c>
    </row>
    <row r="53" spans="1:60" ht="15" x14ac:dyDescent="0.25">
      <c r="A53" s="66" t="str">
        <f>IF(LARGE($A$11:A52,1)=$F$2,"",A52+1)</f>
        <v/>
      </c>
      <c r="B53" s="27" t="str">
        <f t="shared" si="3"/>
        <v/>
      </c>
      <c r="C53" s="28" t="str">
        <f t="shared" si="35"/>
        <v/>
      </c>
      <c r="D53" s="28" t="str">
        <f t="shared" si="4"/>
        <v/>
      </c>
      <c r="E53" s="28" t="str">
        <f t="shared" si="5"/>
        <v/>
      </c>
      <c r="F53" s="29" t="str">
        <f t="shared" si="6"/>
        <v/>
      </c>
      <c r="G53" s="29" t="str">
        <f t="shared" si="7"/>
        <v/>
      </c>
      <c r="H53" s="30" t="str">
        <f t="shared" si="8"/>
        <v/>
      </c>
      <c r="I53" s="30" t="str">
        <f t="shared" si="9"/>
        <v/>
      </c>
      <c r="J53" s="30" t="str">
        <f>IF(A53="","",H53+CUSTOS!B53)</f>
        <v/>
      </c>
      <c r="K53" s="30" t="str">
        <f t="shared" si="36"/>
        <v/>
      </c>
      <c r="L53" s="30" t="str">
        <f t="shared" si="37"/>
        <v/>
      </c>
      <c r="M53" s="30" t="str">
        <f t="shared" si="38"/>
        <v/>
      </c>
      <c r="N53" s="30" t="str">
        <f t="shared" si="10"/>
        <v/>
      </c>
      <c r="O53" s="31" t="str">
        <f t="shared" si="39"/>
        <v/>
      </c>
      <c r="P53" s="32"/>
      <c r="Q53" s="33" t="str">
        <f t="shared" si="11"/>
        <v/>
      </c>
      <c r="R53" s="33" t="str">
        <f t="shared" si="12"/>
        <v/>
      </c>
      <c r="S53" s="33" t="str">
        <f t="shared" si="13"/>
        <v/>
      </c>
      <c r="T53" s="33" t="str">
        <f t="shared" si="14"/>
        <v/>
      </c>
      <c r="U53" s="33" t="str">
        <f t="shared" si="15"/>
        <v/>
      </c>
      <c r="V53" s="33" t="str">
        <f t="shared" si="16"/>
        <v/>
      </c>
      <c r="X53" s="33" t="str">
        <f t="shared" si="17"/>
        <v/>
      </c>
      <c r="Y53" s="30" t="str">
        <f t="shared" si="18"/>
        <v/>
      </c>
      <c r="Z53" s="30" t="str">
        <f t="shared" si="19"/>
        <v/>
      </c>
      <c r="AA53" s="30" t="str">
        <f t="shared" si="20"/>
        <v/>
      </c>
      <c r="AB53" s="30" t="str">
        <f t="shared" si="21"/>
        <v/>
      </c>
      <c r="AD53" s="33" t="str">
        <f t="shared" si="22"/>
        <v/>
      </c>
      <c r="AE53" s="30" t="str">
        <f t="shared" si="23"/>
        <v/>
      </c>
      <c r="AF53" s="30" t="str">
        <f t="shared" si="24"/>
        <v/>
      </c>
      <c r="AG53" s="30" t="str">
        <f t="shared" si="25"/>
        <v/>
      </c>
      <c r="AH53" s="30" t="str">
        <f t="shared" si="26"/>
        <v/>
      </c>
      <c r="AJ53" s="85" t="str">
        <f t="shared" si="2"/>
        <v/>
      </c>
      <c r="AK53" s="86" t="str">
        <f t="shared" si="50"/>
        <v/>
      </c>
      <c r="AL53" s="86" t="str">
        <f t="shared" si="51"/>
        <v/>
      </c>
      <c r="AM53" s="86" t="str">
        <f t="shared" si="52"/>
        <v/>
      </c>
      <c r="AN53" s="86" t="str">
        <f t="shared" si="53"/>
        <v/>
      </c>
      <c r="AO53" s="86" t="str">
        <f t="shared" si="54"/>
        <v/>
      </c>
      <c r="AQ53" s="33" t="str">
        <f t="shared" si="31"/>
        <v/>
      </c>
      <c r="AR53" s="30" t="str">
        <f t="shared" si="32"/>
        <v/>
      </c>
      <c r="AU53" s="20">
        <f t="shared" si="33"/>
        <v>0</v>
      </c>
      <c r="AV53" s="20">
        <f t="shared" si="34"/>
        <v>0</v>
      </c>
      <c r="AW53" s="19">
        <f t="shared" si="41"/>
        <v>0</v>
      </c>
      <c r="AX53" s="19">
        <f t="shared" si="42"/>
        <v>0</v>
      </c>
      <c r="AY53" s="19">
        <f t="shared" si="43"/>
        <v>0</v>
      </c>
      <c r="AZ53" s="19">
        <f t="shared" si="44"/>
        <v>0</v>
      </c>
      <c r="BA53" s="19">
        <f t="shared" si="45"/>
        <v>0</v>
      </c>
      <c r="BB53" s="19">
        <f t="shared" si="46"/>
        <v>0</v>
      </c>
      <c r="BC53" s="19">
        <f t="shared" si="47"/>
        <v>0</v>
      </c>
      <c r="BD53" s="19">
        <f>-IF(CUSTOS!B53="",0,CUSTOS!B53)</f>
        <v>0</v>
      </c>
      <c r="BF53" s="20">
        <f t="shared" si="48"/>
        <v>0</v>
      </c>
      <c r="BG53" s="20">
        <f t="shared" si="49"/>
        <v>0</v>
      </c>
      <c r="BH53" s="116">
        <f t="shared" si="49"/>
        <v>0</v>
      </c>
    </row>
    <row r="54" spans="1:60" ht="15" x14ac:dyDescent="0.25">
      <c r="A54" s="66" t="str">
        <f>IF(LARGE($A$11:A53,1)=$F$2,"",A53+1)</f>
        <v/>
      </c>
      <c r="B54" s="27" t="str">
        <f t="shared" si="3"/>
        <v/>
      </c>
      <c r="C54" s="28" t="str">
        <f t="shared" si="35"/>
        <v/>
      </c>
      <c r="D54" s="28" t="str">
        <f t="shared" si="4"/>
        <v/>
      </c>
      <c r="E54" s="28" t="str">
        <f t="shared" si="5"/>
        <v/>
      </c>
      <c r="F54" s="29" t="str">
        <f t="shared" si="6"/>
        <v/>
      </c>
      <c r="G54" s="29" t="str">
        <f t="shared" si="7"/>
        <v/>
      </c>
      <c r="H54" s="30" t="str">
        <f t="shared" si="8"/>
        <v/>
      </c>
      <c r="I54" s="30" t="str">
        <f t="shared" si="9"/>
        <v/>
      </c>
      <c r="J54" s="30" t="str">
        <f>IF(A54="","",H54+CUSTOS!B54)</f>
        <v/>
      </c>
      <c r="K54" s="30" t="str">
        <f t="shared" si="36"/>
        <v/>
      </c>
      <c r="L54" s="30" t="str">
        <f t="shared" si="37"/>
        <v/>
      </c>
      <c r="M54" s="30" t="str">
        <f t="shared" si="38"/>
        <v/>
      </c>
      <c r="N54" s="30" t="str">
        <f t="shared" si="10"/>
        <v/>
      </c>
      <c r="O54" s="31" t="str">
        <f t="shared" si="39"/>
        <v/>
      </c>
      <c r="P54" s="32"/>
      <c r="Q54" s="33" t="str">
        <f t="shared" si="11"/>
        <v/>
      </c>
      <c r="R54" s="33" t="str">
        <f t="shared" si="12"/>
        <v/>
      </c>
      <c r="S54" s="33" t="str">
        <f t="shared" si="13"/>
        <v/>
      </c>
      <c r="T54" s="33" t="str">
        <f t="shared" si="14"/>
        <v/>
      </c>
      <c r="U54" s="33" t="str">
        <f t="shared" si="15"/>
        <v/>
      </c>
      <c r="V54" s="33" t="str">
        <f t="shared" si="16"/>
        <v/>
      </c>
      <c r="X54" s="33" t="str">
        <f t="shared" si="17"/>
        <v/>
      </c>
      <c r="Y54" s="30" t="str">
        <f t="shared" si="18"/>
        <v/>
      </c>
      <c r="Z54" s="30" t="str">
        <f t="shared" si="19"/>
        <v/>
      </c>
      <c r="AA54" s="30" t="str">
        <f t="shared" si="20"/>
        <v/>
      </c>
      <c r="AB54" s="30" t="str">
        <f t="shared" si="21"/>
        <v/>
      </c>
      <c r="AD54" s="33" t="str">
        <f t="shared" si="22"/>
        <v/>
      </c>
      <c r="AE54" s="30" t="str">
        <f t="shared" si="23"/>
        <v/>
      </c>
      <c r="AF54" s="30" t="str">
        <f t="shared" si="24"/>
        <v/>
      </c>
      <c r="AG54" s="30" t="str">
        <f t="shared" si="25"/>
        <v/>
      </c>
      <c r="AH54" s="30" t="str">
        <f t="shared" si="26"/>
        <v/>
      </c>
      <c r="AJ54" s="85" t="str">
        <f t="shared" si="2"/>
        <v/>
      </c>
      <c r="AK54" s="86" t="str">
        <f t="shared" si="50"/>
        <v/>
      </c>
      <c r="AL54" s="86" t="str">
        <f t="shared" si="51"/>
        <v/>
      </c>
      <c r="AM54" s="86" t="str">
        <f t="shared" si="52"/>
        <v/>
      </c>
      <c r="AN54" s="86" t="str">
        <f t="shared" si="53"/>
        <v/>
      </c>
      <c r="AO54" s="86" t="str">
        <f t="shared" si="54"/>
        <v/>
      </c>
      <c r="AQ54" s="33" t="str">
        <f t="shared" si="31"/>
        <v/>
      </c>
      <c r="AR54" s="30" t="str">
        <f t="shared" si="32"/>
        <v/>
      </c>
      <c r="AU54" s="20">
        <f t="shared" si="33"/>
        <v>0</v>
      </c>
      <c r="AV54" s="20">
        <f t="shared" si="34"/>
        <v>0</v>
      </c>
      <c r="AW54" s="19">
        <f t="shared" si="41"/>
        <v>0</v>
      </c>
      <c r="AX54" s="19">
        <f t="shared" si="42"/>
        <v>0</v>
      </c>
      <c r="AY54" s="19">
        <f t="shared" si="43"/>
        <v>0</v>
      </c>
      <c r="AZ54" s="19">
        <f t="shared" si="44"/>
        <v>0</v>
      </c>
      <c r="BA54" s="19">
        <f t="shared" si="45"/>
        <v>0</v>
      </c>
      <c r="BB54" s="19">
        <f t="shared" si="46"/>
        <v>0</v>
      </c>
      <c r="BC54" s="19">
        <f t="shared" si="47"/>
        <v>0</v>
      </c>
      <c r="BD54" s="19">
        <f>-IF(CUSTOS!B54="",0,CUSTOS!B54)</f>
        <v>0</v>
      </c>
      <c r="BF54" s="20">
        <f t="shared" si="48"/>
        <v>0</v>
      </c>
      <c r="BG54" s="20">
        <f t="shared" si="49"/>
        <v>0</v>
      </c>
      <c r="BH54" s="116">
        <f t="shared" si="49"/>
        <v>0</v>
      </c>
    </row>
    <row r="55" spans="1:60" ht="15" x14ac:dyDescent="0.25">
      <c r="A55" s="66" t="str">
        <f>IF(LARGE($A$11:A54,1)=$F$2,"",A54+1)</f>
        <v/>
      </c>
      <c r="B55" s="27" t="str">
        <f t="shared" si="3"/>
        <v/>
      </c>
      <c r="C55" s="28" t="str">
        <f t="shared" si="35"/>
        <v/>
      </c>
      <c r="D55" s="28" t="str">
        <f t="shared" si="4"/>
        <v/>
      </c>
      <c r="E55" s="28" t="str">
        <f t="shared" si="5"/>
        <v/>
      </c>
      <c r="F55" s="29" t="str">
        <f t="shared" si="6"/>
        <v/>
      </c>
      <c r="G55" s="29" t="str">
        <f t="shared" si="7"/>
        <v/>
      </c>
      <c r="H55" s="30" t="str">
        <f t="shared" si="8"/>
        <v/>
      </c>
      <c r="I55" s="30" t="str">
        <f t="shared" si="9"/>
        <v/>
      </c>
      <c r="J55" s="30" t="str">
        <f>IF(A55="","",H55+CUSTOS!B55)</f>
        <v/>
      </c>
      <c r="K55" s="30" t="str">
        <f t="shared" si="36"/>
        <v/>
      </c>
      <c r="L55" s="30" t="str">
        <f t="shared" si="37"/>
        <v/>
      </c>
      <c r="M55" s="30" t="str">
        <f t="shared" si="38"/>
        <v/>
      </c>
      <c r="N55" s="30" t="str">
        <f t="shared" si="10"/>
        <v/>
      </c>
      <c r="O55" s="31" t="str">
        <f t="shared" si="39"/>
        <v/>
      </c>
      <c r="P55" s="32"/>
      <c r="Q55" s="33" t="str">
        <f t="shared" si="11"/>
        <v/>
      </c>
      <c r="R55" s="33" t="str">
        <f t="shared" si="12"/>
        <v/>
      </c>
      <c r="S55" s="33" t="str">
        <f t="shared" si="13"/>
        <v/>
      </c>
      <c r="T55" s="33" t="str">
        <f t="shared" si="14"/>
        <v/>
      </c>
      <c r="U55" s="33" t="str">
        <f t="shared" si="15"/>
        <v/>
      </c>
      <c r="V55" s="33" t="str">
        <f t="shared" si="16"/>
        <v/>
      </c>
      <c r="X55" s="33" t="str">
        <f t="shared" si="17"/>
        <v/>
      </c>
      <c r="Y55" s="30" t="str">
        <f t="shared" si="18"/>
        <v/>
      </c>
      <c r="Z55" s="30" t="str">
        <f t="shared" si="19"/>
        <v/>
      </c>
      <c r="AA55" s="30" t="str">
        <f t="shared" si="20"/>
        <v/>
      </c>
      <c r="AB55" s="30" t="str">
        <f t="shared" si="21"/>
        <v/>
      </c>
      <c r="AD55" s="33" t="str">
        <f t="shared" si="22"/>
        <v/>
      </c>
      <c r="AE55" s="30" t="str">
        <f t="shared" si="23"/>
        <v/>
      </c>
      <c r="AF55" s="30" t="str">
        <f t="shared" si="24"/>
        <v/>
      </c>
      <c r="AG55" s="30" t="str">
        <f t="shared" si="25"/>
        <v/>
      </c>
      <c r="AH55" s="30" t="str">
        <f t="shared" si="26"/>
        <v/>
      </c>
      <c r="AJ55" s="85" t="str">
        <f t="shared" si="2"/>
        <v/>
      </c>
      <c r="AK55" s="86" t="str">
        <f t="shared" si="50"/>
        <v/>
      </c>
      <c r="AL55" s="86" t="str">
        <f t="shared" si="51"/>
        <v/>
      </c>
      <c r="AM55" s="86" t="str">
        <f t="shared" si="52"/>
        <v/>
      </c>
      <c r="AN55" s="86" t="str">
        <f t="shared" si="53"/>
        <v/>
      </c>
      <c r="AO55" s="86" t="str">
        <f t="shared" si="54"/>
        <v/>
      </c>
      <c r="AQ55" s="33" t="str">
        <f t="shared" si="31"/>
        <v/>
      </c>
      <c r="AR55" s="30" t="str">
        <f t="shared" si="32"/>
        <v/>
      </c>
      <c r="AU55" s="20">
        <f t="shared" si="33"/>
        <v>0</v>
      </c>
      <c r="AV55" s="20">
        <f t="shared" si="34"/>
        <v>0</v>
      </c>
      <c r="AW55" s="19">
        <f t="shared" si="41"/>
        <v>0</v>
      </c>
      <c r="AX55" s="19">
        <f t="shared" si="42"/>
        <v>0</v>
      </c>
      <c r="AY55" s="19">
        <f t="shared" si="43"/>
        <v>0</v>
      </c>
      <c r="AZ55" s="19">
        <f t="shared" si="44"/>
        <v>0</v>
      </c>
      <c r="BA55" s="19">
        <f t="shared" si="45"/>
        <v>0</v>
      </c>
      <c r="BB55" s="19">
        <f t="shared" si="46"/>
        <v>0</v>
      </c>
      <c r="BC55" s="19">
        <f t="shared" si="47"/>
        <v>0</v>
      </c>
      <c r="BD55" s="19">
        <f>-IF(CUSTOS!B55="",0,CUSTOS!B55)</f>
        <v>0</v>
      </c>
      <c r="BF55" s="20">
        <f t="shared" si="48"/>
        <v>0</v>
      </c>
      <c r="BG55" s="20">
        <f t="shared" si="49"/>
        <v>0</v>
      </c>
      <c r="BH55" s="116">
        <f t="shared" si="49"/>
        <v>0</v>
      </c>
    </row>
    <row r="56" spans="1:60" ht="15" x14ac:dyDescent="0.25">
      <c r="A56" s="66" t="str">
        <f>IF(LARGE($A$11:A55,1)=$F$2,"",A55+1)</f>
        <v/>
      </c>
      <c r="B56" s="27" t="str">
        <f t="shared" si="3"/>
        <v/>
      </c>
      <c r="C56" s="28" t="str">
        <f t="shared" si="35"/>
        <v/>
      </c>
      <c r="D56" s="28" t="str">
        <f t="shared" si="4"/>
        <v/>
      </c>
      <c r="E56" s="28" t="str">
        <f t="shared" si="5"/>
        <v/>
      </c>
      <c r="F56" s="29" t="str">
        <f t="shared" si="6"/>
        <v/>
      </c>
      <c r="G56" s="29" t="str">
        <f t="shared" si="7"/>
        <v/>
      </c>
      <c r="H56" s="30" t="str">
        <f t="shared" si="8"/>
        <v/>
      </c>
      <c r="I56" s="30" t="str">
        <f t="shared" si="9"/>
        <v/>
      </c>
      <c r="J56" s="30" t="str">
        <f>IF(A56="","",H56+CUSTOS!B56)</f>
        <v/>
      </c>
      <c r="K56" s="30" t="str">
        <f t="shared" si="36"/>
        <v/>
      </c>
      <c r="L56" s="30" t="str">
        <f t="shared" si="37"/>
        <v/>
      </c>
      <c r="M56" s="30" t="str">
        <f t="shared" si="38"/>
        <v/>
      </c>
      <c r="N56" s="30" t="str">
        <f t="shared" si="10"/>
        <v/>
      </c>
      <c r="O56" s="31" t="str">
        <f t="shared" si="39"/>
        <v/>
      </c>
      <c r="P56" s="32"/>
      <c r="Q56" s="33" t="str">
        <f t="shared" si="11"/>
        <v/>
      </c>
      <c r="R56" s="33" t="str">
        <f t="shared" si="12"/>
        <v/>
      </c>
      <c r="S56" s="33" t="str">
        <f t="shared" si="13"/>
        <v/>
      </c>
      <c r="T56" s="33" t="str">
        <f t="shared" si="14"/>
        <v/>
      </c>
      <c r="U56" s="33" t="str">
        <f t="shared" si="15"/>
        <v/>
      </c>
      <c r="V56" s="33" t="str">
        <f t="shared" si="16"/>
        <v/>
      </c>
      <c r="X56" s="33" t="str">
        <f t="shared" si="17"/>
        <v/>
      </c>
      <c r="Y56" s="30" t="str">
        <f t="shared" si="18"/>
        <v/>
      </c>
      <c r="Z56" s="30" t="str">
        <f t="shared" si="19"/>
        <v/>
      </c>
      <c r="AA56" s="30" t="str">
        <f t="shared" si="20"/>
        <v/>
      </c>
      <c r="AB56" s="30" t="str">
        <f t="shared" si="21"/>
        <v/>
      </c>
      <c r="AD56" s="33" t="str">
        <f t="shared" si="22"/>
        <v/>
      </c>
      <c r="AE56" s="30" t="str">
        <f t="shared" si="23"/>
        <v/>
      </c>
      <c r="AF56" s="30" t="str">
        <f t="shared" si="24"/>
        <v/>
      </c>
      <c r="AG56" s="30" t="str">
        <f t="shared" si="25"/>
        <v/>
      </c>
      <c r="AH56" s="30" t="str">
        <f t="shared" si="26"/>
        <v/>
      </c>
      <c r="AJ56" s="85" t="str">
        <f t="shared" si="2"/>
        <v/>
      </c>
      <c r="AK56" s="86" t="str">
        <f t="shared" si="50"/>
        <v/>
      </c>
      <c r="AL56" s="86" t="str">
        <f t="shared" si="51"/>
        <v/>
      </c>
      <c r="AM56" s="86" t="str">
        <f t="shared" si="52"/>
        <v/>
      </c>
      <c r="AN56" s="86" t="str">
        <f t="shared" si="53"/>
        <v/>
      </c>
      <c r="AO56" s="86" t="str">
        <f t="shared" si="54"/>
        <v/>
      </c>
      <c r="AQ56" s="33" t="str">
        <f t="shared" si="31"/>
        <v/>
      </c>
      <c r="AR56" s="30" t="str">
        <f t="shared" si="32"/>
        <v/>
      </c>
      <c r="AU56" s="20">
        <f t="shared" si="33"/>
        <v>0</v>
      </c>
      <c r="AV56" s="20">
        <f t="shared" si="34"/>
        <v>0</v>
      </c>
      <c r="AW56" s="19">
        <f t="shared" si="41"/>
        <v>0</v>
      </c>
      <c r="AX56" s="19">
        <f t="shared" si="42"/>
        <v>0</v>
      </c>
      <c r="AY56" s="19">
        <f t="shared" si="43"/>
        <v>0</v>
      </c>
      <c r="AZ56" s="19">
        <f t="shared" si="44"/>
        <v>0</v>
      </c>
      <c r="BA56" s="19">
        <f t="shared" si="45"/>
        <v>0</v>
      </c>
      <c r="BB56" s="19">
        <f t="shared" si="46"/>
        <v>0</v>
      </c>
      <c r="BC56" s="19">
        <f t="shared" si="47"/>
        <v>0</v>
      </c>
      <c r="BD56" s="19">
        <f>-IF(CUSTOS!B56="",0,CUSTOS!B56)</f>
        <v>0</v>
      </c>
      <c r="BF56" s="20">
        <f t="shared" si="48"/>
        <v>0</v>
      </c>
      <c r="BG56" s="20">
        <f t="shared" si="49"/>
        <v>0</v>
      </c>
      <c r="BH56" s="116">
        <f t="shared" si="49"/>
        <v>0</v>
      </c>
    </row>
    <row r="57" spans="1:60" ht="15" x14ac:dyDescent="0.25">
      <c r="A57" s="66" t="str">
        <f>IF(LARGE($A$11:A56,1)=$F$2,"",A56+1)</f>
        <v/>
      </c>
      <c r="B57" s="27" t="str">
        <f t="shared" si="3"/>
        <v/>
      </c>
      <c r="C57" s="28" t="str">
        <f t="shared" si="35"/>
        <v/>
      </c>
      <c r="D57" s="28" t="str">
        <f t="shared" si="4"/>
        <v/>
      </c>
      <c r="E57" s="28" t="str">
        <f t="shared" si="5"/>
        <v/>
      </c>
      <c r="F57" s="29" t="str">
        <f t="shared" si="6"/>
        <v/>
      </c>
      <c r="G57" s="29" t="str">
        <f t="shared" si="7"/>
        <v/>
      </c>
      <c r="H57" s="30" t="str">
        <f t="shared" si="8"/>
        <v/>
      </c>
      <c r="I57" s="30" t="str">
        <f t="shared" si="9"/>
        <v/>
      </c>
      <c r="J57" s="30" t="str">
        <f>IF(A57="","",H57+CUSTOS!B57)</f>
        <v/>
      </c>
      <c r="K57" s="30" t="str">
        <f t="shared" si="36"/>
        <v/>
      </c>
      <c r="L57" s="30" t="str">
        <f t="shared" si="37"/>
        <v/>
      </c>
      <c r="M57" s="30" t="str">
        <f t="shared" si="38"/>
        <v/>
      </c>
      <c r="N57" s="30" t="str">
        <f t="shared" si="10"/>
        <v/>
      </c>
      <c r="O57" s="31" t="str">
        <f t="shared" si="39"/>
        <v/>
      </c>
      <c r="P57" s="32"/>
      <c r="Q57" s="33" t="str">
        <f t="shared" si="11"/>
        <v/>
      </c>
      <c r="R57" s="33" t="str">
        <f t="shared" si="12"/>
        <v/>
      </c>
      <c r="S57" s="33" t="str">
        <f t="shared" si="13"/>
        <v/>
      </c>
      <c r="T57" s="33" t="str">
        <f t="shared" si="14"/>
        <v/>
      </c>
      <c r="U57" s="33" t="str">
        <f t="shared" si="15"/>
        <v/>
      </c>
      <c r="V57" s="33" t="str">
        <f t="shared" si="16"/>
        <v/>
      </c>
      <c r="X57" s="33" t="str">
        <f t="shared" si="17"/>
        <v/>
      </c>
      <c r="Y57" s="30" t="str">
        <f t="shared" si="18"/>
        <v/>
      </c>
      <c r="Z57" s="30" t="str">
        <f t="shared" si="19"/>
        <v/>
      </c>
      <c r="AA57" s="30" t="str">
        <f t="shared" si="20"/>
        <v/>
      </c>
      <c r="AB57" s="30" t="str">
        <f t="shared" si="21"/>
        <v/>
      </c>
      <c r="AD57" s="33" t="str">
        <f t="shared" si="22"/>
        <v/>
      </c>
      <c r="AE57" s="30" t="str">
        <f t="shared" si="23"/>
        <v/>
      </c>
      <c r="AF57" s="30" t="str">
        <f t="shared" si="24"/>
        <v/>
      </c>
      <c r="AG57" s="30" t="str">
        <f t="shared" si="25"/>
        <v/>
      </c>
      <c r="AH57" s="30" t="str">
        <f t="shared" si="26"/>
        <v/>
      </c>
      <c r="AJ57" s="85" t="str">
        <f t="shared" si="2"/>
        <v/>
      </c>
      <c r="AK57" s="86" t="str">
        <f t="shared" si="50"/>
        <v/>
      </c>
      <c r="AL57" s="86" t="str">
        <f t="shared" si="51"/>
        <v/>
      </c>
      <c r="AM57" s="86" t="str">
        <f t="shared" si="52"/>
        <v/>
      </c>
      <c r="AN57" s="86" t="str">
        <f t="shared" si="53"/>
        <v/>
      </c>
      <c r="AO57" s="86" t="str">
        <f t="shared" si="54"/>
        <v/>
      </c>
      <c r="AQ57" s="33" t="str">
        <f t="shared" si="31"/>
        <v/>
      </c>
      <c r="AR57" s="30" t="str">
        <f t="shared" si="32"/>
        <v/>
      </c>
      <c r="AU57" s="20">
        <f t="shared" si="33"/>
        <v>0</v>
      </c>
      <c r="AV57" s="20">
        <f t="shared" si="34"/>
        <v>0</v>
      </c>
      <c r="AW57" s="19">
        <f t="shared" si="41"/>
        <v>0</v>
      </c>
      <c r="AX57" s="19">
        <f t="shared" si="42"/>
        <v>0</v>
      </c>
      <c r="AY57" s="19">
        <f t="shared" si="43"/>
        <v>0</v>
      </c>
      <c r="AZ57" s="19">
        <f t="shared" si="44"/>
        <v>0</v>
      </c>
      <c r="BA57" s="19">
        <f t="shared" si="45"/>
        <v>0</v>
      </c>
      <c r="BB57" s="19">
        <f t="shared" si="46"/>
        <v>0</v>
      </c>
      <c r="BC57" s="19">
        <f t="shared" si="47"/>
        <v>0</v>
      </c>
      <c r="BD57" s="19">
        <f>-IF(CUSTOS!B57="",0,CUSTOS!B57)</f>
        <v>0</v>
      </c>
      <c r="BF57" s="20">
        <f t="shared" si="48"/>
        <v>0</v>
      </c>
      <c r="BG57" s="20">
        <f t="shared" si="49"/>
        <v>0</v>
      </c>
      <c r="BH57" s="116">
        <f t="shared" si="49"/>
        <v>0</v>
      </c>
    </row>
    <row r="58" spans="1:60" ht="15" x14ac:dyDescent="0.25">
      <c r="A58" s="66" t="str">
        <f>IF(LARGE($A$11:A57,1)=$F$2,"",A57+1)</f>
        <v/>
      </c>
      <c r="B58" s="27" t="str">
        <f t="shared" si="3"/>
        <v/>
      </c>
      <c r="C58" s="28" t="str">
        <f t="shared" si="35"/>
        <v/>
      </c>
      <c r="D58" s="28" t="str">
        <f t="shared" si="4"/>
        <v/>
      </c>
      <c r="E58" s="28" t="str">
        <f t="shared" si="5"/>
        <v/>
      </c>
      <c r="F58" s="29" t="str">
        <f t="shared" si="6"/>
        <v/>
      </c>
      <c r="G58" s="29" t="str">
        <f t="shared" si="7"/>
        <v/>
      </c>
      <c r="H58" s="30" t="str">
        <f t="shared" si="8"/>
        <v/>
      </c>
      <c r="I58" s="30" t="str">
        <f t="shared" si="9"/>
        <v/>
      </c>
      <c r="J58" s="30" t="str">
        <f>IF(A58="","",H58+CUSTOS!B58)</f>
        <v/>
      </c>
      <c r="K58" s="30" t="str">
        <f t="shared" si="36"/>
        <v/>
      </c>
      <c r="L58" s="30" t="str">
        <f t="shared" si="37"/>
        <v/>
      </c>
      <c r="M58" s="30" t="str">
        <f t="shared" si="38"/>
        <v/>
      </c>
      <c r="N58" s="30" t="str">
        <f t="shared" si="10"/>
        <v/>
      </c>
      <c r="O58" s="31" t="str">
        <f t="shared" si="39"/>
        <v/>
      </c>
      <c r="P58" s="32"/>
      <c r="Q58" s="33" t="str">
        <f t="shared" si="11"/>
        <v/>
      </c>
      <c r="R58" s="33" t="str">
        <f t="shared" si="12"/>
        <v/>
      </c>
      <c r="S58" s="33" t="str">
        <f t="shared" si="13"/>
        <v/>
      </c>
      <c r="T58" s="33" t="str">
        <f t="shared" si="14"/>
        <v/>
      </c>
      <c r="U58" s="33" t="str">
        <f t="shared" si="15"/>
        <v/>
      </c>
      <c r="V58" s="33" t="str">
        <f t="shared" si="16"/>
        <v/>
      </c>
      <c r="X58" s="33" t="str">
        <f t="shared" si="17"/>
        <v/>
      </c>
      <c r="Y58" s="30" t="str">
        <f t="shared" si="18"/>
        <v/>
      </c>
      <c r="Z58" s="30" t="str">
        <f t="shared" si="19"/>
        <v/>
      </c>
      <c r="AA58" s="30" t="str">
        <f t="shared" si="20"/>
        <v/>
      </c>
      <c r="AB58" s="30" t="str">
        <f t="shared" si="21"/>
        <v/>
      </c>
      <c r="AD58" s="33" t="str">
        <f t="shared" si="22"/>
        <v/>
      </c>
      <c r="AE58" s="30" t="str">
        <f t="shared" si="23"/>
        <v/>
      </c>
      <c r="AF58" s="30" t="str">
        <f t="shared" si="24"/>
        <v/>
      </c>
      <c r="AG58" s="30" t="str">
        <f t="shared" si="25"/>
        <v/>
      </c>
      <c r="AH58" s="30" t="str">
        <f t="shared" si="26"/>
        <v/>
      </c>
      <c r="AJ58" s="85" t="str">
        <f t="shared" si="2"/>
        <v/>
      </c>
      <c r="AK58" s="86" t="str">
        <f t="shared" si="50"/>
        <v/>
      </c>
      <c r="AL58" s="86" t="str">
        <f t="shared" si="51"/>
        <v/>
      </c>
      <c r="AM58" s="86" t="str">
        <f t="shared" si="52"/>
        <v/>
      </c>
      <c r="AN58" s="86" t="str">
        <f t="shared" si="53"/>
        <v/>
      </c>
      <c r="AO58" s="86" t="str">
        <f t="shared" si="54"/>
        <v/>
      </c>
      <c r="AQ58" s="33" t="str">
        <f t="shared" si="31"/>
        <v/>
      </c>
      <c r="AR58" s="30" t="str">
        <f t="shared" si="32"/>
        <v/>
      </c>
      <c r="AU58" s="20">
        <f t="shared" si="33"/>
        <v>0</v>
      </c>
      <c r="AV58" s="20">
        <f t="shared" si="34"/>
        <v>0</v>
      </c>
      <c r="AW58" s="19">
        <f t="shared" si="41"/>
        <v>0</v>
      </c>
      <c r="AX58" s="19">
        <f t="shared" si="42"/>
        <v>0</v>
      </c>
      <c r="AY58" s="19">
        <f t="shared" si="43"/>
        <v>0</v>
      </c>
      <c r="AZ58" s="19">
        <f t="shared" si="44"/>
        <v>0</v>
      </c>
      <c r="BA58" s="19">
        <f t="shared" si="45"/>
        <v>0</v>
      </c>
      <c r="BB58" s="19">
        <f t="shared" si="46"/>
        <v>0</v>
      </c>
      <c r="BC58" s="19">
        <f t="shared" si="47"/>
        <v>0</v>
      </c>
      <c r="BD58" s="19">
        <f>-IF(CUSTOS!B58="",0,CUSTOS!B58)</f>
        <v>0</v>
      </c>
      <c r="BF58" s="20">
        <f t="shared" si="48"/>
        <v>0</v>
      </c>
      <c r="BG58" s="20">
        <f t="shared" si="49"/>
        <v>0</v>
      </c>
      <c r="BH58" s="116">
        <f t="shared" si="49"/>
        <v>0</v>
      </c>
    </row>
    <row r="59" spans="1:60" ht="15" x14ac:dyDescent="0.25">
      <c r="A59" s="66" t="str">
        <f>IF(LARGE($A$11:A58,1)=$F$2,"",A58+1)</f>
        <v/>
      </c>
      <c r="B59" s="27" t="str">
        <f t="shared" si="3"/>
        <v/>
      </c>
      <c r="C59" s="28" t="str">
        <f t="shared" si="35"/>
        <v/>
      </c>
      <c r="D59" s="28" t="str">
        <f t="shared" si="4"/>
        <v/>
      </c>
      <c r="E59" s="28" t="str">
        <f t="shared" si="5"/>
        <v/>
      </c>
      <c r="F59" s="29" t="str">
        <f t="shared" si="6"/>
        <v/>
      </c>
      <c r="G59" s="29" t="str">
        <f t="shared" si="7"/>
        <v/>
      </c>
      <c r="H59" s="30" t="str">
        <f t="shared" si="8"/>
        <v/>
      </c>
      <c r="I59" s="30" t="str">
        <f t="shared" si="9"/>
        <v/>
      </c>
      <c r="J59" s="30" t="str">
        <f>IF(A59="","",H59+CUSTOS!B59)</f>
        <v/>
      </c>
      <c r="K59" s="30" t="str">
        <f t="shared" si="36"/>
        <v/>
      </c>
      <c r="L59" s="30" t="str">
        <f t="shared" si="37"/>
        <v/>
      </c>
      <c r="M59" s="30" t="str">
        <f t="shared" si="38"/>
        <v/>
      </c>
      <c r="N59" s="30" t="str">
        <f t="shared" si="10"/>
        <v/>
      </c>
      <c r="O59" s="31" t="str">
        <f t="shared" si="39"/>
        <v/>
      </c>
      <c r="P59" s="32"/>
      <c r="Q59" s="33" t="str">
        <f t="shared" si="11"/>
        <v/>
      </c>
      <c r="R59" s="33" t="str">
        <f t="shared" si="12"/>
        <v/>
      </c>
      <c r="S59" s="33" t="str">
        <f t="shared" si="13"/>
        <v/>
      </c>
      <c r="T59" s="33" t="str">
        <f t="shared" si="14"/>
        <v/>
      </c>
      <c r="U59" s="33" t="str">
        <f t="shared" si="15"/>
        <v/>
      </c>
      <c r="V59" s="33" t="str">
        <f t="shared" si="16"/>
        <v/>
      </c>
      <c r="X59" s="33" t="str">
        <f t="shared" si="17"/>
        <v/>
      </c>
      <c r="Y59" s="30" t="str">
        <f t="shared" si="18"/>
        <v/>
      </c>
      <c r="Z59" s="30" t="str">
        <f t="shared" si="19"/>
        <v/>
      </c>
      <c r="AA59" s="30" t="str">
        <f t="shared" si="20"/>
        <v/>
      </c>
      <c r="AB59" s="30" t="str">
        <f t="shared" si="21"/>
        <v/>
      </c>
      <c r="AD59" s="33" t="str">
        <f t="shared" si="22"/>
        <v/>
      </c>
      <c r="AE59" s="30" t="str">
        <f t="shared" si="23"/>
        <v/>
      </c>
      <c r="AF59" s="30" t="str">
        <f t="shared" si="24"/>
        <v/>
      </c>
      <c r="AG59" s="30" t="str">
        <f t="shared" si="25"/>
        <v/>
      </c>
      <c r="AH59" s="30" t="str">
        <f t="shared" si="26"/>
        <v/>
      </c>
      <c r="AJ59" s="85" t="str">
        <f t="shared" si="2"/>
        <v/>
      </c>
      <c r="AK59" s="86" t="str">
        <f t="shared" si="50"/>
        <v/>
      </c>
      <c r="AL59" s="86" t="str">
        <f t="shared" si="51"/>
        <v/>
      </c>
      <c r="AM59" s="86" t="str">
        <f t="shared" si="52"/>
        <v/>
      </c>
      <c r="AN59" s="86" t="str">
        <f t="shared" si="53"/>
        <v/>
      </c>
      <c r="AO59" s="86" t="str">
        <f t="shared" si="54"/>
        <v/>
      </c>
      <c r="AQ59" s="33" t="str">
        <f t="shared" si="31"/>
        <v/>
      </c>
      <c r="AR59" s="30" t="str">
        <f t="shared" si="32"/>
        <v/>
      </c>
      <c r="AU59" s="20">
        <f t="shared" si="33"/>
        <v>0</v>
      </c>
      <c r="AV59" s="20">
        <f t="shared" si="34"/>
        <v>0</v>
      </c>
      <c r="AW59" s="19">
        <f t="shared" si="41"/>
        <v>0</v>
      </c>
      <c r="AX59" s="19">
        <f t="shared" si="42"/>
        <v>0</v>
      </c>
      <c r="AY59" s="19">
        <f t="shared" si="43"/>
        <v>0</v>
      </c>
      <c r="AZ59" s="19">
        <f t="shared" si="44"/>
        <v>0</v>
      </c>
      <c r="BA59" s="19">
        <f t="shared" si="45"/>
        <v>0</v>
      </c>
      <c r="BB59" s="19">
        <f t="shared" si="46"/>
        <v>0</v>
      </c>
      <c r="BC59" s="19">
        <f t="shared" si="47"/>
        <v>0</v>
      </c>
      <c r="BD59" s="19">
        <f>-IF(CUSTOS!B59="",0,CUSTOS!B59)</f>
        <v>0</v>
      </c>
      <c r="BF59" s="20">
        <f t="shared" si="48"/>
        <v>0</v>
      </c>
      <c r="BG59" s="20">
        <f t="shared" si="49"/>
        <v>0</v>
      </c>
      <c r="BH59" s="116">
        <f t="shared" si="49"/>
        <v>0</v>
      </c>
    </row>
    <row r="60" spans="1:60" ht="15" x14ac:dyDescent="0.25">
      <c r="A60" s="66" t="str">
        <f>IF(LARGE($A$11:A59,1)=$F$2,"",A59+1)</f>
        <v/>
      </c>
      <c r="B60" s="27" t="str">
        <f t="shared" si="3"/>
        <v/>
      </c>
      <c r="C60" s="28" t="str">
        <f t="shared" si="35"/>
        <v/>
      </c>
      <c r="D60" s="28" t="str">
        <f t="shared" si="4"/>
        <v/>
      </c>
      <c r="E60" s="28" t="str">
        <f t="shared" si="5"/>
        <v/>
      </c>
      <c r="F60" s="29" t="str">
        <f t="shared" si="6"/>
        <v/>
      </c>
      <c r="G60" s="29" t="str">
        <f t="shared" si="7"/>
        <v/>
      </c>
      <c r="H60" s="30" t="str">
        <f t="shared" si="8"/>
        <v/>
      </c>
      <c r="I60" s="30" t="str">
        <f t="shared" si="9"/>
        <v/>
      </c>
      <c r="J60" s="30" t="str">
        <f>IF(A60="","",H60+CUSTOS!B60)</f>
        <v/>
      </c>
      <c r="K60" s="30" t="str">
        <f t="shared" si="36"/>
        <v/>
      </c>
      <c r="L60" s="30" t="str">
        <f t="shared" si="37"/>
        <v/>
      </c>
      <c r="M60" s="30" t="str">
        <f t="shared" si="38"/>
        <v/>
      </c>
      <c r="N60" s="30" t="str">
        <f t="shared" si="10"/>
        <v/>
      </c>
      <c r="O60" s="31" t="str">
        <f t="shared" si="39"/>
        <v/>
      </c>
      <c r="P60" s="32"/>
      <c r="Q60" s="33" t="str">
        <f t="shared" si="11"/>
        <v/>
      </c>
      <c r="R60" s="33" t="str">
        <f t="shared" si="12"/>
        <v/>
      </c>
      <c r="S60" s="33" t="str">
        <f t="shared" si="13"/>
        <v/>
      </c>
      <c r="T60" s="33" t="str">
        <f t="shared" si="14"/>
        <v/>
      </c>
      <c r="U60" s="33" t="str">
        <f t="shared" si="15"/>
        <v/>
      </c>
      <c r="V60" s="33" t="str">
        <f t="shared" si="16"/>
        <v/>
      </c>
      <c r="X60" s="33" t="str">
        <f t="shared" si="17"/>
        <v/>
      </c>
      <c r="Y60" s="30" t="str">
        <f t="shared" si="18"/>
        <v/>
      </c>
      <c r="Z60" s="30" t="str">
        <f t="shared" si="19"/>
        <v/>
      </c>
      <c r="AA60" s="30" t="str">
        <f t="shared" si="20"/>
        <v/>
      </c>
      <c r="AB60" s="30" t="str">
        <f t="shared" si="21"/>
        <v/>
      </c>
      <c r="AD60" s="33" t="str">
        <f t="shared" si="22"/>
        <v/>
      </c>
      <c r="AE60" s="30" t="str">
        <f t="shared" si="23"/>
        <v/>
      </c>
      <c r="AF60" s="30" t="str">
        <f t="shared" si="24"/>
        <v/>
      </c>
      <c r="AG60" s="30" t="str">
        <f t="shared" si="25"/>
        <v/>
      </c>
      <c r="AH60" s="30" t="str">
        <f t="shared" si="26"/>
        <v/>
      </c>
      <c r="AJ60" s="85" t="str">
        <f t="shared" si="2"/>
        <v/>
      </c>
      <c r="AK60" s="86" t="str">
        <f t="shared" si="50"/>
        <v/>
      </c>
      <c r="AL60" s="86" t="str">
        <f t="shared" si="51"/>
        <v/>
      </c>
      <c r="AM60" s="86" t="str">
        <f t="shared" si="52"/>
        <v/>
      </c>
      <c r="AN60" s="86" t="str">
        <f t="shared" si="53"/>
        <v/>
      </c>
      <c r="AO60" s="86" t="str">
        <f t="shared" si="54"/>
        <v/>
      </c>
      <c r="AQ60" s="33" t="str">
        <f t="shared" si="31"/>
        <v/>
      </c>
      <c r="AR60" s="30" t="str">
        <f t="shared" si="32"/>
        <v/>
      </c>
      <c r="AU60" s="20">
        <f t="shared" si="33"/>
        <v>0</v>
      </c>
      <c r="AV60" s="20">
        <f t="shared" si="34"/>
        <v>0</v>
      </c>
      <c r="AW60" s="19">
        <f t="shared" si="41"/>
        <v>0</v>
      </c>
      <c r="AX60" s="19">
        <f t="shared" si="42"/>
        <v>0</v>
      </c>
      <c r="AY60" s="19">
        <f t="shared" si="43"/>
        <v>0</v>
      </c>
      <c r="AZ60" s="19">
        <f t="shared" si="44"/>
        <v>0</v>
      </c>
      <c r="BA60" s="19">
        <f t="shared" si="45"/>
        <v>0</v>
      </c>
      <c r="BB60" s="19">
        <f t="shared" si="46"/>
        <v>0</v>
      </c>
      <c r="BC60" s="19">
        <f t="shared" si="47"/>
        <v>0</v>
      </c>
      <c r="BD60" s="19">
        <f>-IF(CUSTOS!B60="",0,CUSTOS!B60)</f>
        <v>0</v>
      </c>
      <c r="BF60" s="20">
        <f t="shared" si="48"/>
        <v>0</v>
      </c>
      <c r="BG60" s="20">
        <f t="shared" si="49"/>
        <v>0</v>
      </c>
      <c r="BH60" s="116">
        <f t="shared" si="49"/>
        <v>0</v>
      </c>
    </row>
    <row r="61" spans="1:60" ht="15" x14ac:dyDescent="0.25">
      <c r="A61" s="66" t="str">
        <f>IF(LARGE($A$11:A60,1)=$F$2,"",A60+1)</f>
        <v/>
      </c>
      <c r="B61" s="27" t="str">
        <f t="shared" si="3"/>
        <v/>
      </c>
      <c r="C61" s="28" t="str">
        <f t="shared" si="35"/>
        <v/>
      </c>
      <c r="D61" s="28" t="str">
        <f t="shared" si="4"/>
        <v/>
      </c>
      <c r="E61" s="28" t="str">
        <f t="shared" si="5"/>
        <v/>
      </c>
      <c r="F61" s="29" t="str">
        <f t="shared" si="6"/>
        <v/>
      </c>
      <c r="G61" s="29" t="str">
        <f t="shared" si="7"/>
        <v/>
      </c>
      <c r="H61" s="30" t="str">
        <f t="shared" si="8"/>
        <v/>
      </c>
      <c r="I61" s="30" t="str">
        <f t="shared" si="9"/>
        <v/>
      </c>
      <c r="J61" s="30" t="str">
        <f>IF(A61="","",H61+CUSTOS!B61)</f>
        <v/>
      </c>
      <c r="K61" s="30" t="str">
        <f t="shared" si="36"/>
        <v/>
      </c>
      <c r="L61" s="30" t="str">
        <f t="shared" si="37"/>
        <v/>
      </c>
      <c r="M61" s="30" t="str">
        <f t="shared" si="38"/>
        <v/>
      </c>
      <c r="N61" s="30" t="str">
        <f t="shared" si="10"/>
        <v/>
      </c>
      <c r="O61" s="31" t="str">
        <f t="shared" si="39"/>
        <v/>
      </c>
      <c r="P61" s="32"/>
      <c r="Q61" s="33" t="str">
        <f t="shared" si="11"/>
        <v/>
      </c>
      <c r="R61" s="33" t="str">
        <f t="shared" si="12"/>
        <v/>
      </c>
      <c r="S61" s="33" t="str">
        <f t="shared" si="13"/>
        <v/>
      </c>
      <c r="T61" s="33" t="str">
        <f t="shared" si="14"/>
        <v/>
      </c>
      <c r="U61" s="33" t="str">
        <f t="shared" si="15"/>
        <v/>
      </c>
      <c r="V61" s="33" t="str">
        <f t="shared" si="16"/>
        <v/>
      </c>
      <c r="X61" s="33" t="str">
        <f t="shared" si="17"/>
        <v/>
      </c>
      <c r="Y61" s="30" t="str">
        <f t="shared" si="18"/>
        <v/>
      </c>
      <c r="Z61" s="30" t="str">
        <f t="shared" si="19"/>
        <v/>
      </c>
      <c r="AA61" s="30" t="str">
        <f t="shared" si="20"/>
        <v/>
      </c>
      <c r="AB61" s="30" t="str">
        <f t="shared" si="21"/>
        <v/>
      </c>
      <c r="AD61" s="33" t="str">
        <f t="shared" si="22"/>
        <v/>
      </c>
      <c r="AE61" s="30" t="str">
        <f t="shared" si="23"/>
        <v/>
      </c>
      <c r="AF61" s="30" t="str">
        <f t="shared" si="24"/>
        <v/>
      </c>
      <c r="AG61" s="30" t="str">
        <f t="shared" si="25"/>
        <v/>
      </c>
      <c r="AH61" s="30" t="str">
        <f t="shared" si="26"/>
        <v/>
      </c>
      <c r="AJ61" s="85" t="str">
        <f t="shared" si="2"/>
        <v/>
      </c>
      <c r="AK61" s="86" t="str">
        <f t="shared" si="50"/>
        <v/>
      </c>
      <c r="AL61" s="86" t="str">
        <f t="shared" si="51"/>
        <v/>
      </c>
      <c r="AM61" s="86" t="str">
        <f t="shared" si="52"/>
        <v/>
      </c>
      <c r="AN61" s="86" t="str">
        <f t="shared" si="53"/>
        <v/>
      </c>
      <c r="AO61" s="86" t="str">
        <f t="shared" si="54"/>
        <v/>
      </c>
      <c r="AQ61" s="33" t="str">
        <f t="shared" si="31"/>
        <v/>
      </c>
      <c r="AR61" s="30" t="str">
        <f t="shared" si="32"/>
        <v/>
      </c>
      <c r="AU61" s="20">
        <f t="shared" si="33"/>
        <v>0</v>
      </c>
      <c r="AV61" s="20">
        <f t="shared" si="34"/>
        <v>0</v>
      </c>
      <c r="AW61" s="19">
        <f t="shared" si="41"/>
        <v>0</v>
      </c>
      <c r="AX61" s="19">
        <f t="shared" si="42"/>
        <v>0</v>
      </c>
      <c r="AY61" s="19">
        <f t="shared" si="43"/>
        <v>0</v>
      </c>
      <c r="AZ61" s="19">
        <f t="shared" si="44"/>
        <v>0</v>
      </c>
      <c r="BA61" s="19">
        <f t="shared" si="45"/>
        <v>0</v>
      </c>
      <c r="BB61" s="19">
        <f t="shared" si="46"/>
        <v>0</v>
      </c>
      <c r="BC61" s="19">
        <f t="shared" si="47"/>
        <v>0</v>
      </c>
      <c r="BD61" s="19">
        <f>-IF(CUSTOS!B61="",0,CUSTOS!B61)</f>
        <v>0</v>
      </c>
      <c r="BF61" s="20">
        <f t="shared" si="48"/>
        <v>0</v>
      </c>
      <c r="BG61" s="20">
        <f t="shared" si="49"/>
        <v>0</v>
      </c>
      <c r="BH61" s="116">
        <f t="shared" si="49"/>
        <v>0</v>
      </c>
    </row>
    <row r="62" spans="1:60" ht="15" x14ac:dyDescent="0.25">
      <c r="A62" s="66" t="str">
        <f>IF(LARGE($A$11:A61,1)=$F$2,"",A61+1)</f>
        <v/>
      </c>
      <c r="B62" s="27" t="str">
        <f t="shared" si="3"/>
        <v/>
      </c>
      <c r="C62" s="28" t="str">
        <f t="shared" si="35"/>
        <v/>
      </c>
      <c r="D62" s="28" t="str">
        <f t="shared" si="4"/>
        <v/>
      </c>
      <c r="E62" s="28" t="str">
        <f t="shared" si="5"/>
        <v/>
      </c>
      <c r="F62" s="29" t="str">
        <f t="shared" si="6"/>
        <v/>
      </c>
      <c r="G62" s="29" t="str">
        <f t="shared" si="7"/>
        <v/>
      </c>
      <c r="H62" s="30" t="str">
        <f t="shared" si="8"/>
        <v/>
      </c>
      <c r="I62" s="30" t="str">
        <f t="shared" si="9"/>
        <v/>
      </c>
      <c r="J62" s="30" t="str">
        <f>IF(A62="","",H62+CUSTOS!B62)</f>
        <v/>
      </c>
      <c r="K62" s="30" t="str">
        <f t="shared" si="36"/>
        <v/>
      </c>
      <c r="L62" s="30" t="str">
        <f t="shared" si="37"/>
        <v/>
      </c>
      <c r="M62" s="30" t="str">
        <f t="shared" si="38"/>
        <v/>
      </c>
      <c r="N62" s="30" t="str">
        <f t="shared" si="10"/>
        <v/>
      </c>
      <c r="O62" s="31" t="str">
        <f t="shared" si="39"/>
        <v/>
      </c>
      <c r="P62" s="32"/>
      <c r="Q62" s="33" t="str">
        <f t="shared" si="11"/>
        <v/>
      </c>
      <c r="R62" s="33" t="str">
        <f t="shared" si="12"/>
        <v/>
      </c>
      <c r="S62" s="33" t="str">
        <f t="shared" si="13"/>
        <v/>
      </c>
      <c r="T62" s="33" t="str">
        <f t="shared" si="14"/>
        <v/>
      </c>
      <c r="U62" s="33" t="str">
        <f t="shared" si="15"/>
        <v/>
      </c>
      <c r="V62" s="33" t="str">
        <f t="shared" si="16"/>
        <v/>
      </c>
      <c r="X62" s="33" t="str">
        <f t="shared" si="17"/>
        <v/>
      </c>
      <c r="Y62" s="30" t="str">
        <f t="shared" si="18"/>
        <v/>
      </c>
      <c r="Z62" s="30" t="str">
        <f t="shared" si="19"/>
        <v/>
      </c>
      <c r="AA62" s="30" t="str">
        <f t="shared" si="20"/>
        <v/>
      </c>
      <c r="AB62" s="30" t="str">
        <f t="shared" si="21"/>
        <v/>
      </c>
      <c r="AD62" s="33" t="str">
        <f t="shared" si="22"/>
        <v/>
      </c>
      <c r="AE62" s="30" t="str">
        <f t="shared" si="23"/>
        <v/>
      </c>
      <c r="AF62" s="30" t="str">
        <f t="shared" si="24"/>
        <v/>
      </c>
      <c r="AG62" s="30" t="str">
        <f t="shared" si="25"/>
        <v/>
      </c>
      <c r="AH62" s="30" t="str">
        <f t="shared" si="26"/>
        <v/>
      </c>
      <c r="AJ62" s="85" t="str">
        <f t="shared" si="2"/>
        <v/>
      </c>
      <c r="AK62" s="86" t="str">
        <f t="shared" si="50"/>
        <v/>
      </c>
      <c r="AL62" s="86" t="str">
        <f t="shared" si="51"/>
        <v/>
      </c>
      <c r="AM62" s="86" t="str">
        <f t="shared" si="52"/>
        <v/>
      </c>
      <c r="AN62" s="86" t="str">
        <f t="shared" si="53"/>
        <v/>
      </c>
      <c r="AO62" s="86" t="str">
        <f t="shared" si="54"/>
        <v/>
      </c>
      <c r="AQ62" s="33" t="str">
        <f t="shared" si="31"/>
        <v/>
      </c>
      <c r="AR62" s="30" t="str">
        <f t="shared" si="32"/>
        <v/>
      </c>
      <c r="AU62" s="20">
        <f t="shared" si="33"/>
        <v>0</v>
      </c>
      <c r="AV62" s="20">
        <f t="shared" si="34"/>
        <v>0</v>
      </c>
      <c r="AW62" s="19">
        <f t="shared" si="41"/>
        <v>0</v>
      </c>
      <c r="AX62" s="19">
        <f t="shared" si="42"/>
        <v>0</v>
      </c>
      <c r="AY62" s="19">
        <f t="shared" si="43"/>
        <v>0</v>
      </c>
      <c r="AZ62" s="19">
        <f t="shared" si="44"/>
        <v>0</v>
      </c>
      <c r="BA62" s="19">
        <f t="shared" si="45"/>
        <v>0</v>
      </c>
      <c r="BB62" s="19">
        <f t="shared" si="46"/>
        <v>0</v>
      </c>
      <c r="BC62" s="19">
        <f t="shared" si="47"/>
        <v>0</v>
      </c>
      <c r="BD62" s="19">
        <f>-IF(CUSTOS!B62="",0,CUSTOS!B62)</f>
        <v>0</v>
      </c>
      <c r="BF62" s="20">
        <f t="shared" si="48"/>
        <v>0</v>
      </c>
      <c r="BG62" s="20">
        <f t="shared" si="49"/>
        <v>0</v>
      </c>
      <c r="BH62" s="116">
        <f t="shared" si="49"/>
        <v>0</v>
      </c>
    </row>
    <row r="63" spans="1:60" ht="15" x14ac:dyDescent="0.25">
      <c r="A63" s="66" t="str">
        <f>IF(LARGE($A$11:A62,1)=$F$2,"",A62+1)</f>
        <v/>
      </c>
      <c r="B63" s="27" t="str">
        <f t="shared" si="3"/>
        <v/>
      </c>
      <c r="C63" s="28" t="str">
        <f t="shared" si="35"/>
        <v/>
      </c>
      <c r="D63" s="28" t="str">
        <f t="shared" si="4"/>
        <v/>
      </c>
      <c r="E63" s="28" t="str">
        <f t="shared" si="5"/>
        <v/>
      </c>
      <c r="F63" s="29" t="str">
        <f t="shared" si="6"/>
        <v/>
      </c>
      <c r="G63" s="29" t="str">
        <f t="shared" si="7"/>
        <v/>
      </c>
      <c r="H63" s="30" t="str">
        <f t="shared" si="8"/>
        <v/>
      </c>
      <c r="I63" s="30" t="str">
        <f t="shared" si="9"/>
        <v/>
      </c>
      <c r="J63" s="30" t="str">
        <f>IF(A63="","",H63+CUSTOS!B63)</f>
        <v/>
      </c>
      <c r="K63" s="30" t="str">
        <f t="shared" si="36"/>
        <v/>
      </c>
      <c r="L63" s="30" t="str">
        <f t="shared" si="37"/>
        <v/>
      </c>
      <c r="M63" s="30" t="str">
        <f t="shared" si="38"/>
        <v/>
      </c>
      <c r="N63" s="30" t="str">
        <f t="shared" si="10"/>
        <v/>
      </c>
      <c r="O63" s="31" t="str">
        <f t="shared" si="39"/>
        <v/>
      </c>
      <c r="P63" s="32"/>
      <c r="Q63" s="33" t="str">
        <f t="shared" si="11"/>
        <v/>
      </c>
      <c r="R63" s="33" t="str">
        <f t="shared" si="12"/>
        <v/>
      </c>
      <c r="S63" s="33" t="str">
        <f t="shared" si="13"/>
        <v/>
      </c>
      <c r="T63" s="33" t="str">
        <f t="shared" si="14"/>
        <v/>
      </c>
      <c r="U63" s="33" t="str">
        <f t="shared" si="15"/>
        <v/>
      </c>
      <c r="V63" s="33" t="str">
        <f t="shared" si="16"/>
        <v/>
      </c>
      <c r="X63" s="33" t="str">
        <f t="shared" si="17"/>
        <v/>
      </c>
      <c r="Y63" s="30" t="str">
        <f t="shared" si="18"/>
        <v/>
      </c>
      <c r="Z63" s="30" t="str">
        <f t="shared" si="19"/>
        <v/>
      </c>
      <c r="AA63" s="30" t="str">
        <f t="shared" si="20"/>
        <v/>
      </c>
      <c r="AB63" s="30" t="str">
        <f t="shared" si="21"/>
        <v/>
      </c>
      <c r="AD63" s="33" t="str">
        <f t="shared" si="22"/>
        <v/>
      </c>
      <c r="AE63" s="30" t="str">
        <f t="shared" si="23"/>
        <v/>
      </c>
      <c r="AF63" s="30" t="str">
        <f t="shared" si="24"/>
        <v/>
      </c>
      <c r="AG63" s="30" t="str">
        <f t="shared" si="25"/>
        <v/>
      </c>
      <c r="AH63" s="30" t="str">
        <f t="shared" si="26"/>
        <v/>
      </c>
      <c r="AJ63" s="85" t="str">
        <f t="shared" si="2"/>
        <v/>
      </c>
      <c r="AK63" s="86" t="str">
        <f t="shared" si="50"/>
        <v/>
      </c>
      <c r="AL63" s="86" t="str">
        <f t="shared" si="51"/>
        <v/>
      </c>
      <c r="AM63" s="86" t="str">
        <f t="shared" si="52"/>
        <v/>
      </c>
      <c r="AN63" s="86" t="str">
        <f t="shared" si="53"/>
        <v/>
      </c>
      <c r="AO63" s="86" t="str">
        <f t="shared" si="54"/>
        <v/>
      </c>
      <c r="AQ63" s="33" t="str">
        <f t="shared" si="31"/>
        <v/>
      </c>
      <c r="AR63" s="30" t="str">
        <f t="shared" si="32"/>
        <v/>
      </c>
      <c r="AU63" s="20">
        <f t="shared" si="33"/>
        <v>0</v>
      </c>
      <c r="AV63" s="20">
        <f t="shared" si="34"/>
        <v>0</v>
      </c>
      <c r="AW63" s="19">
        <f t="shared" si="41"/>
        <v>0</v>
      </c>
      <c r="AX63" s="19">
        <f t="shared" si="42"/>
        <v>0</v>
      </c>
      <c r="AY63" s="19">
        <f t="shared" si="43"/>
        <v>0</v>
      </c>
      <c r="AZ63" s="19">
        <f t="shared" si="44"/>
        <v>0</v>
      </c>
      <c r="BA63" s="19">
        <f t="shared" si="45"/>
        <v>0</v>
      </c>
      <c r="BB63" s="19">
        <f t="shared" si="46"/>
        <v>0</v>
      </c>
      <c r="BC63" s="19">
        <f t="shared" si="47"/>
        <v>0</v>
      </c>
      <c r="BD63" s="19">
        <f>-IF(CUSTOS!B63="",0,CUSTOS!B63)</f>
        <v>0</v>
      </c>
      <c r="BF63" s="20">
        <f t="shared" si="48"/>
        <v>0</v>
      </c>
      <c r="BG63" s="20">
        <f t="shared" si="49"/>
        <v>0</v>
      </c>
      <c r="BH63" s="116">
        <f t="shared" si="49"/>
        <v>0</v>
      </c>
    </row>
    <row r="64" spans="1:60" ht="15" x14ac:dyDescent="0.25">
      <c r="A64" s="66" t="str">
        <f>IF(LARGE($A$11:A63,1)=$F$2,"",A63+1)</f>
        <v/>
      </c>
      <c r="B64" s="27" t="str">
        <f t="shared" si="3"/>
        <v/>
      </c>
      <c r="C64" s="28" t="str">
        <f t="shared" si="35"/>
        <v/>
      </c>
      <c r="D64" s="28" t="str">
        <f t="shared" si="4"/>
        <v/>
      </c>
      <c r="E64" s="28" t="str">
        <f t="shared" si="5"/>
        <v/>
      </c>
      <c r="F64" s="29" t="str">
        <f t="shared" si="6"/>
        <v/>
      </c>
      <c r="G64" s="29" t="str">
        <f t="shared" si="7"/>
        <v/>
      </c>
      <c r="H64" s="30" t="str">
        <f t="shared" si="8"/>
        <v/>
      </c>
      <c r="I64" s="30" t="str">
        <f t="shared" si="9"/>
        <v/>
      </c>
      <c r="J64" s="30" t="str">
        <f>IF(A64="","",H64+CUSTOS!B64)</f>
        <v/>
      </c>
      <c r="K64" s="30" t="str">
        <f t="shared" si="36"/>
        <v/>
      </c>
      <c r="L64" s="30" t="str">
        <f t="shared" si="37"/>
        <v/>
      </c>
      <c r="M64" s="30" t="str">
        <f t="shared" si="38"/>
        <v/>
      </c>
      <c r="N64" s="30" t="str">
        <f t="shared" si="10"/>
        <v/>
      </c>
      <c r="O64" s="31" t="str">
        <f t="shared" si="39"/>
        <v/>
      </c>
      <c r="P64" s="32"/>
      <c r="Q64" s="33" t="str">
        <f t="shared" si="11"/>
        <v/>
      </c>
      <c r="R64" s="33" t="str">
        <f t="shared" si="12"/>
        <v/>
      </c>
      <c r="S64" s="33" t="str">
        <f t="shared" si="13"/>
        <v/>
      </c>
      <c r="T64" s="33" t="str">
        <f t="shared" si="14"/>
        <v/>
      </c>
      <c r="U64" s="33" t="str">
        <f t="shared" si="15"/>
        <v/>
      </c>
      <c r="V64" s="33" t="str">
        <f t="shared" si="16"/>
        <v/>
      </c>
      <c r="X64" s="33" t="str">
        <f t="shared" si="17"/>
        <v/>
      </c>
      <c r="Y64" s="30" t="str">
        <f t="shared" si="18"/>
        <v/>
      </c>
      <c r="Z64" s="30" t="str">
        <f t="shared" si="19"/>
        <v/>
      </c>
      <c r="AA64" s="30" t="str">
        <f t="shared" si="20"/>
        <v/>
      </c>
      <c r="AB64" s="30" t="str">
        <f t="shared" si="21"/>
        <v/>
      </c>
      <c r="AD64" s="33" t="str">
        <f t="shared" si="22"/>
        <v/>
      </c>
      <c r="AE64" s="30" t="str">
        <f t="shared" si="23"/>
        <v/>
      </c>
      <c r="AF64" s="30" t="str">
        <f t="shared" si="24"/>
        <v/>
      </c>
      <c r="AG64" s="30" t="str">
        <f t="shared" si="25"/>
        <v/>
      </c>
      <c r="AH64" s="30" t="str">
        <f t="shared" si="26"/>
        <v/>
      </c>
      <c r="AJ64" s="85" t="str">
        <f t="shared" si="2"/>
        <v/>
      </c>
      <c r="AK64" s="86" t="str">
        <f t="shared" si="50"/>
        <v/>
      </c>
      <c r="AL64" s="86" t="str">
        <f t="shared" si="51"/>
        <v/>
      </c>
      <c r="AM64" s="86" t="str">
        <f t="shared" si="52"/>
        <v/>
      </c>
      <c r="AN64" s="86" t="str">
        <f t="shared" si="53"/>
        <v/>
      </c>
      <c r="AO64" s="86" t="str">
        <f t="shared" si="54"/>
        <v/>
      </c>
      <c r="AQ64" s="33" t="str">
        <f t="shared" si="31"/>
        <v/>
      </c>
      <c r="AR64" s="30" t="str">
        <f t="shared" si="32"/>
        <v/>
      </c>
      <c r="AU64" s="20">
        <f t="shared" si="33"/>
        <v>0</v>
      </c>
      <c r="AV64" s="20">
        <f t="shared" si="34"/>
        <v>0</v>
      </c>
      <c r="AW64" s="19">
        <f t="shared" si="41"/>
        <v>0</v>
      </c>
      <c r="AX64" s="19">
        <f t="shared" si="42"/>
        <v>0</v>
      </c>
      <c r="AY64" s="19">
        <f t="shared" si="43"/>
        <v>0</v>
      </c>
      <c r="AZ64" s="19">
        <f t="shared" si="44"/>
        <v>0</v>
      </c>
      <c r="BA64" s="19">
        <f t="shared" si="45"/>
        <v>0</v>
      </c>
      <c r="BB64" s="19">
        <f t="shared" si="46"/>
        <v>0</v>
      </c>
      <c r="BC64" s="19">
        <f t="shared" si="47"/>
        <v>0</v>
      </c>
      <c r="BD64" s="19">
        <f>-IF(CUSTOS!B64="",0,CUSTOS!B64)</f>
        <v>0</v>
      </c>
      <c r="BF64" s="20">
        <f t="shared" si="48"/>
        <v>0</v>
      </c>
      <c r="BG64" s="20">
        <f t="shared" si="49"/>
        <v>0</v>
      </c>
      <c r="BH64" s="116">
        <f t="shared" si="49"/>
        <v>0</v>
      </c>
    </row>
    <row r="65" spans="1:60" ht="15" x14ac:dyDescent="0.25">
      <c r="A65" s="66" t="str">
        <f>IF(LARGE($A$11:A64,1)=$F$2,"",A64+1)</f>
        <v/>
      </c>
      <c r="B65" s="27" t="str">
        <f t="shared" si="3"/>
        <v/>
      </c>
      <c r="C65" s="28" t="str">
        <f t="shared" si="35"/>
        <v/>
      </c>
      <c r="D65" s="28" t="str">
        <f t="shared" si="4"/>
        <v/>
      </c>
      <c r="E65" s="28" t="str">
        <f t="shared" si="5"/>
        <v/>
      </c>
      <c r="F65" s="29" t="str">
        <f t="shared" si="6"/>
        <v/>
      </c>
      <c r="G65" s="29" t="str">
        <f t="shared" si="7"/>
        <v/>
      </c>
      <c r="H65" s="30" t="str">
        <f t="shared" si="8"/>
        <v/>
      </c>
      <c r="I65" s="30" t="str">
        <f t="shared" si="9"/>
        <v/>
      </c>
      <c r="J65" s="30" t="str">
        <f>IF(A65="","",H65+CUSTOS!B65)</f>
        <v/>
      </c>
      <c r="K65" s="30" t="str">
        <f t="shared" si="36"/>
        <v/>
      </c>
      <c r="L65" s="30" t="str">
        <f t="shared" si="37"/>
        <v/>
      </c>
      <c r="M65" s="30" t="str">
        <f t="shared" si="38"/>
        <v/>
      </c>
      <c r="N65" s="30" t="str">
        <f t="shared" si="10"/>
        <v/>
      </c>
      <c r="O65" s="31" t="str">
        <f t="shared" si="39"/>
        <v/>
      </c>
      <c r="P65" s="32"/>
      <c r="Q65" s="33" t="str">
        <f t="shared" si="11"/>
        <v/>
      </c>
      <c r="R65" s="33" t="str">
        <f t="shared" si="12"/>
        <v/>
      </c>
      <c r="S65" s="33" t="str">
        <f t="shared" si="13"/>
        <v/>
      </c>
      <c r="T65" s="33" t="str">
        <f t="shared" si="14"/>
        <v/>
      </c>
      <c r="U65" s="33" t="str">
        <f t="shared" si="15"/>
        <v/>
      </c>
      <c r="V65" s="33" t="str">
        <f t="shared" si="16"/>
        <v/>
      </c>
      <c r="X65" s="33" t="str">
        <f t="shared" si="17"/>
        <v/>
      </c>
      <c r="Y65" s="30" t="str">
        <f t="shared" si="18"/>
        <v/>
      </c>
      <c r="Z65" s="30" t="str">
        <f t="shared" si="19"/>
        <v/>
      </c>
      <c r="AA65" s="30" t="str">
        <f t="shared" si="20"/>
        <v/>
      </c>
      <c r="AB65" s="30" t="str">
        <f t="shared" si="21"/>
        <v/>
      </c>
      <c r="AD65" s="33" t="str">
        <f t="shared" si="22"/>
        <v/>
      </c>
      <c r="AE65" s="30" t="str">
        <f t="shared" si="23"/>
        <v/>
      </c>
      <c r="AF65" s="30" t="str">
        <f t="shared" si="24"/>
        <v/>
      </c>
      <c r="AG65" s="30" t="str">
        <f t="shared" si="25"/>
        <v/>
      </c>
      <c r="AH65" s="30" t="str">
        <f t="shared" si="26"/>
        <v/>
      </c>
      <c r="AJ65" s="85" t="str">
        <f t="shared" si="2"/>
        <v/>
      </c>
      <c r="AK65" s="86" t="str">
        <f t="shared" si="50"/>
        <v/>
      </c>
      <c r="AL65" s="86" t="str">
        <f t="shared" si="51"/>
        <v/>
      </c>
      <c r="AM65" s="86" t="str">
        <f t="shared" si="52"/>
        <v/>
      </c>
      <c r="AN65" s="86" t="str">
        <f t="shared" si="53"/>
        <v/>
      </c>
      <c r="AO65" s="86" t="str">
        <f t="shared" si="54"/>
        <v/>
      </c>
      <c r="AQ65" s="33" t="str">
        <f t="shared" si="31"/>
        <v/>
      </c>
      <c r="AR65" s="30" t="str">
        <f t="shared" si="32"/>
        <v/>
      </c>
      <c r="AU65" s="20">
        <f t="shared" si="33"/>
        <v>0</v>
      </c>
      <c r="AV65" s="20">
        <f t="shared" si="34"/>
        <v>0</v>
      </c>
      <c r="AW65" s="19">
        <f t="shared" si="41"/>
        <v>0</v>
      </c>
      <c r="AX65" s="19">
        <f t="shared" si="42"/>
        <v>0</v>
      </c>
      <c r="AY65" s="19">
        <f t="shared" si="43"/>
        <v>0</v>
      </c>
      <c r="AZ65" s="19">
        <f t="shared" si="44"/>
        <v>0</v>
      </c>
      <c r="BA65" s="19">
        <f t="shared" si="45"/>
        <v>0</v>
      </c>
      <c r="BB65" s="19">
        <f t="shared" si="46"/>
        <v>0</v>
      </c>
      <c r="BC65" s="19">
        <f t="shared" si="47"/>
        <v>0</v>
      </c>
      <c r="BD65" s="19">
        <f>-IF(CUSTOS!B65="",0,CUSTOS!B65)</f>
        <v>0</v>
      </c>
      <c r="BF65" s="20">
        <f t="shared" si="48"/>
        <v>0</v>
      </c>
      <c r="BG65" s="20">
        <f t="shared" si="49"/>
        <v>0</v>
      </c>
      <c r="BH65" s="116">
        <f t="shared" si="49"/>
        <v>0</v>
      </c>
    </row>
    <row r="66" spans="1:60" ht="15" x14ac:dyDescent="0.25">
      <c r="A66" s="66" t="str">
        <f>IF(LARGE($A$11:A65,1)=$F$2,"",A65+1)</f>
        <v/>
      </c>
      <c r="B66" s="27" t="str">
        <f t="shared" si="3"/>
        <v/>
      </c>
      <c r="C66" s="28" t="str">
        <f t="shared" si="35"/>
        <v/>
      </c>
      <c r="D66" s="28" t="str">
        <f t="shared" si="4"/>
        <v/>
      </c>
      <c r="E66" s="28" t="str">
        <f t="shared" si="5"/>
        <v/>
      </c>
      <c r="F66" s="29" t="str">
        <f t="shared" si="6"/>
        <v/>
      </c>
      <c r="G66" s="29" t="str">
        <f t="shared" si="7"/>
        <v/>
      </c>
      <c r="H66" s="30" t="str">
        <f t="shared" si="8"/>
        <v/>
      </c>
      <c r="I66" s="30" t="str">
        <f t="shared" si="9"/>
        <v/>
      </c>
      <c r="J66" s="30" t="str">
        <f>IF(A66="","",H66+CUSTOS!B66)</f>
        <v/>
      </c>
      <c r="K66" s="30" t="str">
        <f t="shared" si="36"/>
        <v/>
      </c>
      <c r="L66" s="30" t="str">
        <f t="shared" si="37"/>
        <v/>
      </c>
      <c r="M66" s="30" t="str">
        <f t="shared" si="38"/>
        <v/>
      </c>
      <c r="N66" s="30" t="str">
        <f t="shared" si="10"/>
        <v/>
      </c>
      <c r="O66" s="31" t="str">
        <f t="shared" si="39"/>
        <v/>
      </c>
      <c r="P66" s="32"/>
      <c r="Q66" s="33" t="str">
        <f t="shared" si="11"/>
        <v/>
      </c>
      <c r="R66" s="33" t="str">
        <f t="shared" si="12"/>
        <v/>
      </c>
      <c r="S66" s="33" t="str">
        <f t="shared" si="13"/>
        <v/>
      </c>
      <c r="T66" s="33" t="str">
        <f t="shared" si="14"/>
        <v/>
      </c>
      <c r="U66" s="33" t="str">
        <f t="shared" si="15"/>
        <v/>
      </c>
      <c r="V66" s="33" t="str">
        <f t="shared" si="16"/>
        <v/>
      </c>
      <c r="X66" s="33" t="str">
        <f t="shared" si="17"/>
        <v/>
      </c>
      <c r="Y66" s="30" t="str">
        <f t="shared" si="18"/>
        <v/>
      </c>
      <c r="Z66" s="30" t="str">
        <f t="shared" si="19"/>
        <v/>
      </c>
      <c r="AA66" s="30" t="str">
        <f t="shared" si="20"/>
        <v/>
      </c>
      <c r="AB66" s="30" t="str">
        <f t="shared" si="21"/>
        <v/>
      </c>
      <c r="AD66" s="33" t="str">
        <f t="shared" si="22"/>
        <v/>
      </c>
      <c r="AE66" s="30" t="str">
        <f t="shared" si="23"/>
        <v/>
      </c>
      <c r="AF66" s="30" t="str">
        <f t="shared" si="24"/>
        <v/>
      </c>
      <c r="AG66" s="30" t="str">
        <f t="shared" si="25"/>
        <v/>
      </c>
      <c r="AH66" s="30" t="str">
        <f t="shared" si="26"/>
        <v/>
      </c>
      <c r="AJ66" s="85" t="str">
        <f t="shared" si="2"/>
        <v/>
      </c>
      <c r="AK66" s="86" t="str">
        <f t="shared" si="50"/>
        <v/>
      </c>
      <c r="AL66" s="86" t="str">
        <f t="shared" si="51"/>
        <v/>
      </c>
      <c r="AM66" s="86" t="str">
        <f t="shared" si="52"/>
        <v/>
      </c>
      <c r="AN66" s="86" t="str">
        <f t="shared" si="53"/>
        <v/>
      </c>
      <c r="AO66" s="86" t="str">
        <f t="shared" si="54"/>
        <v/>
      </c>
      <c r="AQ66" s="33" t="str">
        <f t="shared" si="31"/>
        <v/>
      </c>
      <c r="AR66" s="30" t="str">
        <f t="shared" si="32"/>
        <v/>
      </c>
      <c r="AU66" s="20">
        <f t="shared" si="33"/>
        <v>0</v>
      </c>
      <c r="AV66" s="20">
        <f t="shared" si="34"/>
        <v>0</v>
      </c>
      <c r="AW66" s="19">
        <f t="shared" si="41"/>
        <v>0</v>
      </c>
      <c r="AX66" s="19">
        <f t="shared" si="42"/>
        <v>0</v>
      </c>
      <c r="AY66" s="19">
        <f t="shared" si="43"/>
        <v>0</v>
      </c>
      <c r="AZ66" s="19">
        <f t="shared" si="44"/>
        <v>0</v>
      </c>
      <c r="BA66" s="19">
        <f t="shared" si="45"/>
        <v>0</v>
      </c>
      <c r="BB66" s="19">
        <f t="shared" si="46"/>
        <v>0</v>
      </c>
      <c r="BC66" s="19">
        <f t="shared" si="47"/>
        <v>0</v>
      </c>
      <c r="BD66" s="19">
        <f>-IF(CUSTOS!B66="",0,CUSTOS!B66)</f>
        <v>0</v>
      </c>
      <c r="BF66" s="20">
        <f t="shared" si="48"/>
        <v>0</v>
      </c>
      <c r="BG66" s="20">
        <f t="shared" si="49"/>
        <v>0</v>
      </c>
      <c r="BH66" s="116">
        <f t="shared" si="49"/>
        <v>0</v>
      </c>
    </row>
    <row r="67" spans="1:60" ht="15" x14ac:dyDescent="0.25">
      <c r="A67" s="66" t="str">
        <f>IF(LARGE($A$11:A66,1)=$F$2,"",A66+1)</f>
        <v/>
      </c>
      <c r="B67" s="27" t="str">
        <f t="shared" si="3"/>
        <v/>
      </c>
      <c r="C67" s="28" t="str">
        <f t="shared" si="35"/>
        <v/>
      </c>
      <c r="D67" s="28" t="str">
        <f t="shared" si="4"/>
        <v/>
      </c>
      <c r="E67" s="28" t="str">
        <f t="shared" si="5"/>
        <v/>
      </c>
      <c r="F67" s="29" t="str">
        <f t="shared" si="6"/>
        <v/>
      </c>
      <c r="G67" s="29" t="str">
        <f t="shared" si="7"/>
        <v/>
      </c>
      <c r="H67" s="30" t="str">
        <f t="shared" si="8"/>
        <v/>
      </c>
      <c r="I67" s="30" t="str">
        <f t="shared" si="9"/>
        <v/>
      </c>
      <c r="J67" s="30" t="str">
        <f>IF(A67="","",H67+CUSTOS!B67)</f>
        <v/>
      </c>
      <c r="K67" s="30" t="str">
        <f t="shared" si="36"/>
        <v/>
      </c>
      <c r="L67" s="30" t="str">
        <f t="shared" si="37"/>
        <v/>
      </c>
      <c r="M67" s="30" t="str">
        <f t="shared" si="38"/>
        <v/>
      </c>
      <c r="N67" s="30" t="str">
        <f t="shared" si="10"/>
        <v/>
      </c>
      <c r="O67" s="31" t="str">
        <f t="shared" si="39"/>
        <v/>
      </c>
      <c r="P67" s="32"/>
      <c r="Q67" s="33" t="str">
        <f t="shared" si="11"/>
        <v/>
      </c>
      <c r="R67" s="33" t="str">
        <f t="shared" si="12"/>
        <v/>
      </c>
      <c r="S67" s="33" t="str">
        <f t="shared" si="13"/>
        <v/>
      </c>
      <c r="T67" s="33" t="str">
        <f t="shared" si="14"/>
        <v/>
      </c>
      <c r="U67" s="33" t="str">
        <f t="shared" si="15"/>
        <v/>
      </c>
      <c r="V67" s="33" t="str">
        <f t="shared" si="16"/>
        <v/>
      </c>
      <c r="X67" s="33" t="str">
        <f t="shared" si="17"/>
        <v/>
      </c>
      <c r="Y67" s="30" t="str">
        <f t="shared" si="18"/>
        <v/>
      </c>
      <c r="Z67" s="30" t="str">
        <f t="shared" si="19"/>
        <v/>
      </c>
      <c r="AA67" s="30" t="str">
        <f t="shared" si="20"/>
        <v/>
      </c>
      <c r="AB67" s="30" t="str">
        <f t="shared" si="21"/>
        <v/>
      </c>
      <c r="AD67" s="33" t="str">
        <f t="shared" si="22"/>
        <v/>
      </c>
      <c r="AE67" s="30" t="str">
        <f t="shared" si="23"/>
        <v/>
      </c>
      <c r="AF67" s="30" t="str">
        <f t="shared" si="24"/>
        <v/>
      </c>
      <c r="AG67" s="30" t="str">
        <f t="shared" si="25"/>
        <v/>
      </c>
      <c r="AH67" s="30" t="str">
        <f t="shared" si="26"/>
        <v/>
      </c>
      <c r="AJ67" s="85" t="str">
        <f t="shared" si="2"/>
        <v/>
      </c>
      <c r="AK67" s="86" t="str">
        <f t="shared" si="50"/>
        <v/>
      </c>
      <c r="AL67" s="86" t="str">
        <f t="shared" si="51"/>
        <v/>
      </c>
      <c r="AM67" s="86" t="str">
        <f t="shared" si="52"/>
        <v/>
      </c>
      <c r="AN67" s="86" t="str">
        <f t="shared" si="53"/>
        <v/>
      </c>
      <c r="AO67" s="86" t="str">
        <f t="shared" si="54"/>
        <v/>
      </c>
      <c r="AQ67" s="33" t="str">
        <f t="shared" si="31"/>
        <v/>
      </c>
      <c r="AR67" s="30" t="str">
        <f t="shared" si="32"/>
        <v/>
      </c>
      <c r="AU67" s="20">
        <f t="shared" si="33"/>
        <v>0</v>
      </c>
      <c r="AV67" s="20">
        <f t="shared" si="34"/>
        <v>0</v>
      </c>
      <c r="AW67" s="19">
        <f t="shared" si="41"/>
        <v>0</v>
      </c>
      <c r="AX67" s="19">
        <f t="shared" si="42"/>
        <v>0</v>
      </c>
      <c r="AY67" s="19">
        <f t="shared" si="43"/>
        <v>0</v>
      </c>
      <c r="AZ67" s="19">
        <f t="shared" si="44"/>
        <v>0</v>
      </c>
      <c r="BA67" s="19">
        <f t="shared" si="45"/>
        <v>0</v>
      </c>
      <c r="BB67" s="19">
        <f t="shared" si="46"/>
        <v>0</v>
      </c>
      <c r="BC67" s="19">
        <f t="shared" si="47"/>
        <v>0</v>
      </c>
      <c r="BD67" s="19">
        <f>-IF(CUSTOS!B67="",0,CUSTOS!B67)</f>
        <v>0</v>
      </c>
      <c r="BF67" s="20">
        <f t="shared" si="48"/>
        <v>0</v>
      </c>
      <c r="BG67" s="20">
        <f t="shared" si="49"/>
        <v>0</v>
      </c>
      <c r="BH67" s="116">
        <f t="shared" si="49"/>
        <v>0</v>
      </c>
    </row>
    <row r="68" spans="1:60" ht="15" x14ac:dyDescent="0.25">
      <c r="A68" s="66" t="str">
        <f>IF(LARGE($A$11:A67,1)=$F$2,"",A67+1)</f>
        <v/>
      </c>
      <c r="B68" s="27" t="str">
        <f t="shared" si="3"/>
        <v/>
      </c>
      <c r="C68" s="28" t="str">
        <f t="shared" si="35"/>
        <v/>
      </c>
      <c r="D68" s="28" t="str">
        <f t="shared" si="4"/>
        <v/>
      </c>
      <c r="E68" s="28" t="str">
        <f t="shared" si="5"/>
        <v/>
      </c>
      <c r="F68" s="29" t="str">
        <f t="shared" si="6"/>
        <v/>
      </c>
      <c r="G68" s="29" t="str">
        <f t="shared" si="7"/>
        <v/>
      </c>
      <c r="H68" s="30" t="str">
        <f t="shared" si="8"/>
        <v/>
      </c>
      <c r="I68" s="30" t="str">
        <f t="shared" si="9"/>
        <v/>
      </c>
      <c r="J68" s="30" t="str">
        <f>IF(A68="","",H68+CUSTOS!B68)</f>
        <v/>
      </c>
      <c r="K68" s="30" t="str">
        <f t="shared" si="36"/>
        <v/>
      </c>
      <c r="L68" s="30" t="str">
        <f t="shared" si="37"/>
        <v/>
      </c>
      <c r="M68" s="30" t="str">
        <f t="shared" si="38"/>
        <v/>
      </c>
      <c r="N68" s="30" t="str">
        <f t="shared" si="10"/>
        <v/>
      </c>
      <c r="O68" s="31" t="str">
        <f t="shared" si="39"/>
        <v/>
      </c>
      <c r="P68" s="32"/>
      <c r="Q68" s="33" t="str">
        <f t="shared" si="11"/>
        <v/>
      </c>
      <c r="R68" s="33" t="str">
        <f t="shared" si="12"/>
        <v/>
      </c>
      <c r="S68" s="33" t="str">
        <f t="shared" si="13"/>
        <v/>
      </c>
      <c r="T68" s="33" t="str">
        <f t="shared" si="14"/>
        <v/>
      </c>
      <c r="U68" s="33" t="str">
        <f t="shared" si="15"/>
        <v/>
      </c>
      <c r="V68" s="33" t="str">
        <f t="shared" si="16"/>
        <v/>
      </c>
      <c r="X68" s="33" t="str">
        <f t="shared" si="17"/>
        <v/>
      </c>
      <c r="Y68" s="30" t="str">
        <f t="shared" si="18"/>
        <v/>
      </c>
      <c r="Z68" s="30" t="str">
        <f t="shared" si="19"/>
        <v/>
      </c>
      <c r="AA68" s="30" t="str">
        <f t="shared" si="20"/>
        <v/>
      </c>
      <c r="AB68" s="30" t="str">
        <f t="shared" si="21"/>
        <v/>
      </c>
      <c r="AD68" s="33" t="str">
        <f t="shared" si="22"/>
        <v/>
      </c>
      <c r="AE68" s="30" t="str">
        <f t="shared" si="23"/>
        <v/>
      </c>
      <c r="AF68" s="30" t="str">
        <f t="shared" si="24"/>
        <v/>
      </c>
      <c r="AG68" s="30" t="str">
        <f t="shared" si="25"/>
        <v/>
      </c>
      <c r="AH68" s="30" t="str">
        <f t="shared" si="26"/>
        <v/>
      </c>
      <c r="AJ68" s="85" t="str">
        <f t="shared" si="2"/>
        <v/>
      </c>
      <c r="AK68" s="86" t="str">
        <f t="shared" si="50"/>
        <v/>
      </c>
      <c r="AL68" s="86" t="str">
        <f t="shared" si="51"/>
        <v/>
      </c>
      <c r="AM68" s="86" t="str">
        <f t="shared" si="52"/>
        <v/>
      </c>
      <c r="AN68" s="86" t="str">
        <f t="shared" si="53"/>
        <v/>
      </c>
      <c r="AO68" s="86" t="str">
        <f t="shared" si="54"/>
        <v/>
      </c>
      <c r="AQ68" s="33" t="str">
        <f t="shared" si="31"/>
        <v/>
      </c>
      <c r="AR68" s="30" t="str">
        <f t="shared" si="32"/>
        <v/>
      </c>
      <c r="AU68" s="20">
        <f t="shared" si="33"/>
        <v>0</v>
      </c>
      <c r="AV68" s="20">
        <f t="shared" si="34"/>
        <v>0</v>
      </c>
      <c r="AW68" s="19">
        <f t="shared" si="41"/>
        <v>0</v>
      </c>
      <c r="AX68" s="19">
        <f t="shared" si="42"/>
        <v>0</v>
      </c>
      <c r="AY68" s="19">
        <f t="shared" si="43"/>
        <v>0</v>
      </c>
      <c r="AZ68" s="19">
        <f t="shared" si="44"/>
        <v>0</v>
      </c>
      <c r="BA68" s="19">
        <f t="shared" si="45"/>
        <v>0</v>
      </c>
      <c r="BB68" s="19">
        <f t="shared" si="46"/>
        <v>0</v>
      </c>
      <c r="BC68" s="19">
        <f t="shared" si="47"/>
        <v>0</v>
      </c>
      <c r="BD68" s="19">
        <f>-IF(CUSTOS!B68="",0,CUSTOS!B68)</f>
        <v>0</v>
      </c>
      <c r="BF68" s="20">
        <f t="shared" si="48"/>
        <v>0</v>
      </c>
      <c r="BG68" s="20">
        <f t="shared" si="49"/>
        <v>0</v>
      </c>
      <c r="BH68" s="116">
        <f t="shared" si="49"/>
        <v>0</v>
      </c>
    </row>
    <row r="69" spans="1:60" ht="15" x14ac:dyDescent="0.25">
      <c r="A69" s="66" t="str">
        <f>IF(LARGE($A$11:A68,1)=$F$2,"",A68+1)</f>
        <v/>
      </c>
      <c r="B69" s="27" t="str">
        <f t="shared" si="3"/>
        <v/>
      </c>
      <c r="C69" s="28" t="str">
        <f t="shared" si="35"/>
        <v/>
      </c>
      <c r="D69" s="28" t="str">
        <f t="shared" si="4"/>
        <v/>
      </c>
      <c r="E69" s="28" t="str">
        <f t="shared" si="5"/>
        <v/>
      </c>
      <c r="F69" s="29" t="str">
        <f t="shared" si="6"/>
        <v/>
      </c>
      <c r="G69" s="29" t="str">
        <f t="shared" si="7"/>
        <v/>
      </c>
      <c r="H69" s="30" t="str">
        <f t="shared" si="8"/>
        <v/>
      </c>
      <c r="I69" s="30" t="str">
        <f t="shared" si="9"/>
        <v/>
      </c>
      <c r="J69" s="30" t="str">
        <f>IF(A69="","",H69+CUSTOS!B69)</f>
        <v/>
      </c>
      <c r="K69" s="30" t="str">
        <f t="shared" si="36"/>
        <v/>
      </c>
      <c r="L69" s="30" t="str">
        <f t="shared" si="37"/>
        <v/>
      </c>
      <c r="M69" s="30" t="str">
        <f t="shared" si="38"/>
        <v/>
      </c>
      <c r="N69" s="30" t="str">
        <f t="shared" si="10"/>
        <v/>
      </c>
      <c r="O69" s="31" t="str">
        <f t="shared" si="39"/>
        <v/>
      </c>
      <c r="P69" s="32"/>
      <c r="Q69" s="33" t="str">
        <f t="shared" si="11"/>
        <v/>
      </c>
      <c r="R69" s="33" t="str">
        <f t="shared" si="12"/>
        <v/>
      </c>
      <c r="S69" s="33" t="str">
        <f t="shared" si="13"/>
        <v/>
      </c>
      <c r="T69" s="33" t="str">
        <f t="shared" si="14"/>
        <v/>
      </c>
      <c r="U69" s="33" t="str">
        <f t="shared" si="15"/>
        <v/>
      </c>
      <c r="V69" s="33" t="str">
        <f t="shared" si="16"/>
        <v/>
      </c>
      <c r="X69" s="33" t="str">
        <f t="shared" si="17"/>
        <v/>
      </c>
      <c r="Y69" s="30" t="str">
        <f t="shared" si="18"/>
        <v/>
      </c>
      <c r="Z69" s="30" t="str">
        <f t="shared" si="19"/>
        <v/>
      </c>
      <c r="AA69" s="30" t="str">
        <f t="shared" si="20"/>
        <v/>
      </c>
      <c r="AB69" s="30" t="str">
        <f t="shared" si="21"/>
        <v/>
      </c>
      <c r="AD69" s="33" t="str">
        <f t="shared" si="22"/>
        <v/>
      </c>
      <c r="AE69" s="30" t="str">
        <f t="shared" si="23"/>
        <v/>
      </c>
      <c r="AF69" s="30" t="str">
        <f t="shared" si="24"/>
        <v/>
      </c>
      <c r="AG69" s="30" t="str">
        <f t="shared" si="25"/>
        <v/>
      </c>
      <c r="AH69" s="30" t="str">
        <f t="shared" si="26"/>
        <v/>
      </c>
      <c r="AJ69" s="85" t="str">
        <f t="shared" si="2"/>
        <v/>
      </c>
      <c r="AK69" s="86" t="str">
        <f t="shared" si="50"/>
        <v/>
      </c>
      <c r="AL69" s="86" t="str">
        <f t="shared" si="51"/>
        <v/>
      </c>
      <c r="AM69" s="86" t="str">
        <f t="shared" si="52"/>
        <v/>
      </c>
      <c r="AN69" s="86" t="str">
        <f t="shared" si="53"/>
        <v/>
      </c>
      <c r="AO69" s="86" t="str">
        <f t="shared" si="54"/>
        <v/>
      </c>
      <c r="AQ69" s="33" t="str">
        <f t="shared" si="31"/>
        <v/>
      </c>
      <c r="AR69" s="30" t="str">
        <f t="shared" si="32"/>
        <v/>
      </c>
      <c r="AU69" s="20">
        <f t="shared" si="33"/>
        <v>0</v>
      </c>
      <c r="AV69" s="20">
        <f t="shared" si="34"/>
        <v>0</v>
      </c>
      <c r="AW69" s="19">
        <f t="shared" si="41"/>
        <v>0</v>
      </c>
      <c r="AX69" s="19">
        <f t="shared" si="42"/>
        <v>0</v>
      </c>
      <c r="AY69" s="19">
        <f t="shared" si="43"/>
        <v>0</v>
      </c>
      <c r="AZ69" s="19">
        <f t="shared" si="44"/>
        <v>0</v>
      </c>
      <c r="BA69" s="19">
        <f t="shared" si="45"/>
        <v>0</v>
      </c>
      <c r="BB69" s="19">
        <f t="shared" si="46"/>
        <v>0</v>
      </c>
      <c r="BC69" s="19">
        <f t="shared" si="47"/>
        <v>0</v>
      </c>
      <c r="BD69" s="19">
        <f>-IF(CUSTOS!B69="",0,CUSTOS!B69)</f>
        <v>0</v>
      </c>
      <c r="BF69" s="20">
        <f t="shared" si="48"/>
        <v>0</v>
      </c>
      <c r="BG69" s="20">
        <f t="shared" si="49"/>
        <v>0</v>
      </c>
      <c r="BH69" s="116">
        <f t="shared" si="49"/>
        <v>0</v>
      </c>
    </row>
    <row r="70" spans="1:60" ht="15" x14ac:dyDescent="0.25">
      <c r="A70" s="66" t="str">
        <f>IF(LARGE($A$11:A69,1)=$F$2,"",A69+1)</f>
        <v/>
      </c>
      <c r="B70" s="27" t="str">
        <f t="shared" si="3"/>
        <v/>
      </c>
      <c r="C70" s="28" t="str">
        <f t="shared" si="35"/>
        <v/>
      </c>
      <c r="D70" s="28" t="str">
        <f t="shared" si="4"/>
        <v/>
      </c>
      <c r="E70" s="28" t="str">
        <f t="shared" si="5"/>
        <v/>
      </c>
      <c r="F70" s="29" t="str">
        <f t="shared" si="6"/>
        <v/>
      </c>
      <c r="G70" s="29" t="str">
        <f t="shared" si="7"/>
        <v/>
      </c>
      <c r="H70" s="30" t="str">
        <f t="shared" si="8"/>
        <v/>
      </c>
      <c r="I70" s="30" t="str">
        <f t="shared" si="9"/>
        <v/>
      </c>
      <c r="J70" s="30" t="str">
        <f>IF(A70="","",H70+CUSTOS!B70)</f>
        <v/>
      </c>
      <c r="K70" s="30" t="str">
        <f t="shared" si="36"/>
        <v/>
      </c>
      <c r="L70" s="30" t="str">
        <f t="shared" si="37"/>
        <v/>
      </c>
      <c r="M70" s="30" t="str">
        <f t="shared" si="38"/>
        <v/>
      </c>
      <c r="N70" s="30" t="str">
        <f t="shared" si="10"/>
        <v/>
      </c>
      <c r="O70" s="31" t="str">
        <f t="shared" si="39"/>
        <v/>
      </c>
      <c r="P70" s="32"/>
      <c r="Q70" s="33" t="str">
        <f t="shared" si="11"/>
        <v/>
      </c>
      <c r="R70" s="33" t="str">
        <f t="shared" si="12"/>
        <v/>
      </c>
      <c r="S70" s="33" t="str">
        <f t="shared" si="13"/>
        <v/>
      </c>
      <c r="T70" s="33" t="str">
        <f t="shared" si="14"/>
        <v/>
      </c>
      <c r="U70" s="33" t="str">
        <f t="shared" si="15"/>
        <v/>
      </c>
      <c r="V70" s="33" t="str">
        <f t="shared" si="16"/>
        <v/>
      </c>
      <c r="X70" s="33" t="str">
        <f t="shared" si="17"/>
        <v/>
      </c>
      <c r="Y70" s="30" t="str">
        <f t="shared" si="18"/>
        <v/>
      </c>
      <c r="Z70" s="30" t="str">
        <f t="shared" si="19"/>
        <v/>
      </c>
      <c r="AA70" s="30" t="str">
        <f t="shared" si="20"/>
        <v/>
      </c>
      <c r="AB70" s="30" t="str">
        <f t="shared" si="21"/>
        <v/>
      </c>
      <c r="AD70" s="33" t="str">
        <f t="shared" si="22"/>
        <v/>
      </c>
      <c r="AE70" s="30" t="str">
        <f t="shared" si="23"/>
        <v/>
      </c>
      <c r="AF70" s="30" t="str">
        <f t="shared" si="24"/>
        <v/>
      </c>
      <c r="AG70" s="30" t="str">
        <f t="shared" si="25"/>
        <v/>
      </c>
      <c r="AH70" s="30" t="str">
        <f t="shared" si="26"/>
        <v/>
      </c>
      <c r="AJ70" s="85" t="str">
        <f t="shared" si="2"/>
        <v/>
      </c>
      <c r="AK70" s="86" t="str">
        <f t="shared" si="50"/>
        <v/>
      </c>
      <c r="AL70" s="86" t="str">
        <f t="shared" si="51"/>
        <v/>
      </c>
      <c r="AM70" s="86" t="str">
        <f t="shared" si="52"/>
        <v/>
      </c>
      <c r="AN70" s="86" t="str">
        <f t="shared" si="53"/>
        <v/>
      </c>
      <c r="AO70" s="86" t="str">
        <f t="shared" si="54"/>
        <v/>
      </c>
      <c r="AQ70" s="33" t="str">
        <f t="shared" si="31"/>
        <v/>
      </c>
      <c r="AR70" s="30" t="str">
        <f t="shared" si="32"/>
        <v/>
      </c>
      <c r="AU70" s="20">
        <f t="shared" si="33"/>
        <v>0</v>
      </c>
      <c r="AV70" s="20">
        <f t="shared" si="34"/>
        <v>0</v>
      </c>
      <c r="AW70" s="19">
        <f t="shared" si="41"/>
        <v>0</v>
      </c>
      <c r="AX70" s="19">
        <f t="shared" si="42"/>
        <v>0</v>
      </c>
      <c r="AY70" s="19">
        <f t="shared" si="43"/>
        <v>0</v>
      </c>
      <c r="AZ70" s="19">
        <f t="shared" si="44"/>
        <v>0</v>
      </c>
      <c r="BA70" s="19">
        <f t="shared" si="45"/>
        <v>0</v>
      </c>
      <c r="BB70" s="19">
        <f t="shared" si="46"/>
        <v>0</v>
      </c>
      <c r="BC70" s="19">
        <f t="shared" si="47"/>
        <v>0</v>
      </c>
      <c r="BD70" s="19">
        <f>-IF(CUSTOS!B70="",0,CUSTOS!B70)</f>
        <v>0</v>
      </c>
      <c r="BF70" s="20">
        <f t="shared" si="48"/>
        <v>0</v>
      </c>
      <c r="BG70" s="20">
        <f t="shared" si="49"/>
        <v>0</v>
      </c>
      <c r="BH70" s="116">
        <f t="shared" si="49"/>
        <v>0</v>
      </c>
    </row>
    <row r="71" spans="1:60" ht="15" x14ac:dyDescent="0.25">
      <c r="A71" s="66" t="str">
        <f>IF(LARGE($A$11:A70,1)=$F$2,"",A70+1)</f>
        <v/>
      </c>
      <c r="B71" s="27" t="str">
        <f t="shared" si="3"/>
        <v/>
      </c>
      <c r="C71" s="28" t="str">
        <f t="shared" si="35"/>
        <v/>
      </c>
      <c r="D71" s="28" t="str">
        <f t="shared" si="4"/>
        <v/>
      </c>
      <c r="E71" s="28" t="str">
        <f t="shared" si="5"/>
        <v/>
      </c>
      <c r="F71" s="29" t="str">
        <f t="shared" si="6"/>
        <v/>
      </c>
      <c r="G71" s="29" t="str">
        <f t="shared" si="7"/>
        <v/>
      </c>
      <c r="H71" s="30" t="str">
        <f t="shared" si="8"/>
        <v/>
      </c>
      <c r="I71" s="30" t="str">
        <f t="shared" si="9"/>
        <v/>
      </c>
      <c r="J71" s="30" t="str">
        <f>IF(A71="","",H71+CUSTOS!B71)</f>
        <v/>
      </c>
      <c r="K71" s="30" t="str">
        <f t="shared" si="36"/>
        <v/>
      </c>
      <c r="L71" s="30" t="str">
        <f t="shared" si="37"/>
        <v/>
      </c>
      <c r="M71" s="30" t="str">
        <f t="shared" si="38"/>
        <v/>
      </c>
      <c r="N71" s="30" t="str">
        <f t="shared" si="10"/>
        <v/>
      </c>
      <c r="O71" s="31" t="str">
        <f t="shared" si="39"/>
        <v/>
      </c>
      <c r="P71" s="32"/>
      <c r="Q71" s="33" t="str">
        <f t="shared" si="11"/>
        <v/>
      </c>
      <c r="R71" s="33" t="str">
        <f t="shared" si="12"/>
        <v/>
      </c>
      <c r="S71" s="33" t="str">
        <f t="shared" si="13"/>
        <v/>
      </c>
      <c r="T71" s="33" t="str">
        <f t="shared" si="14"/>
        <v/>
      </c>
      <c r="U71" s="33" t="str">
        <f t="shared" si="15"/>
        <v/>
      </c>
      <c r="V71" s="33" t="str">
        <f t="shared" si="16"/>
        <v/>
      </c>
      <c r="X71" s="33" t="str">
        <f t="shared" si="17"/>
        <v/>
      </c>
      <c r="Y71" s="30" t="str">
        <f t="shared" si="18"/>
        <v/>
      </c>
      <c r="Z71" s="30" t="str">
        <f t="shared" si="19"/>
        <v/>
      </c>
      <c r="AA71" s="30" t="str">
        <f t="shared" si="20"/>
        <v/>
      </c>
      <c r="AB71" s="30" t="str">
        <f t="shared" si="21"/>
        <v/>
      </c>
      <c r="AD71" s="33" t="str">
        <f t="shared" si="22"/>
        <v/>
      </c>
      <c r="AE71" s="30" t="str">
        <f t="shared" si="23"/>
        <v/>
      </c>
      <c r="AF71" s="30" t="str">
        <f t="shared" si="24"/>
        <v/>
      </c>
      <c r="AG71" s="30" t="str">
        <f t="shared" si="25"/>
        <v/>
      </c>
      <c r="AH71" s="30" t="str">
        <f t="shared" si="26"/>
        <v/>
      </c>
      <c r="AJ71" s="85" t="str">
        <f t="shared" si="2"/>
        <v/>
      </c>
      <c r="AK71" s="86" t="str">
        <f t="shared" si="50"/>
        <v/>
      </c>
      <c r="AL71" s="86" t="str">
        <f t="shared" si="51"/>
        <v/>
      </c>
      <c r="AM71" s="86" t="str">
        <f t="shared" si="52"/>
        <v/>
      </c>
      <c r="AN71" s="86" t="str">
        <f t="shared" si="53"/>
        <v/>
      </c>
      <c r="AO71" s="86" t="str">
        <f t="shared" si="54"/>
        <v/>
      </c>
      <c r="AQ71" s="33" t="str">
        <f t="shared" si="31"/>
        <v/>
      </c>
      <c r="AR71" s="30" t="str">
        <f t="shared" si="32"/>
        <v/>
      </c>
      <c r="AU71" s="20">
        <f t="shared" si="33"/>
        <v>0</v>
      </c>
      <c r="AV71" s="20">
        <f t="shared" si="34"/>
        <v>0</v>
      </c>
      <c r="AW71" s="19">
        <f t="shared" si="41"/>
        <v>0</v>
      </c>
      <c r="AX71" s="19">
        <f t="shared" si="42"/>
        <v>0</v>
      </c>
      <c r="AY71" s="19">
        <f t="shared" si="43"/>
        <v>0</v>
      </c>
      <c r="AZ71" s="19">
        <f t="shared" si="44"/>
        <v>0</v>
      </c>
      <c r="BA71" s="19">
        <f t="shared" si="45"/>
        <v>0</v>
      </c>
      <c r="BB71" s="19">
        <f t="shared" si="46"/>
        <v>0</v>
      </c>
      <c r="BC71" s="19">
        <f t="shared" si="47"/>
        <v>0</v>
      </c>
      <c r="BD71" s="19">
        <f>-IF(CUSTOS!B71="",0,CUSTOS!B71)</f>
        <v>0</v>
      </c>
      <c r="BF71" s="20">
        <f t="shared" si="48"/>
        <v>0</v>
      </c>
      <c r="BG71" s="20">
        <f t="shared" si="49"/>
        <v>0</v>
      </c>
      <c r="BH71" s="116">
        <f t="shared" si="49"/>
        <v>0</v>
      </c>
    </row>
    <row r="72" spans="1:60" ht="15" x14ac:dyDescent="0.25">
      <c r="A72" s="66" t="str">
        <f>IF(LARGE($A$11:A71,1)=$F$2,"",A71+1)</f>
        <v/>
      </c>
      <c r="B72" s="27" t="str">
        <f t="shared" si="3"/>
        <v/>
      </c>
      <c r="C72" s="28" t="str">
        <f t="shared" si="35"/>
        <v/>
      </c>
      <c r="D72" s="28" t="str">
        <f t="shared" si="4"/>
        <v/>
      </c>
      <c r="E72" s="28" t="str">
        <f t="shared" si="5"/>
        <v/>
      </c>
      <c r="F72" s="29" t="str">
        <f t="shared" si="6"/>
        <v/>
      </c>
      <c r="G72" s="29" t="str">
        <f t="shared" si="7"/>
        <v/>
      </c>
      <c r="H72" s="30" t="str">
        <f t="shared" si="8"/>
        <v/>
      </c>
      <c r="I72" s="30" t="str">
        <f t="shared" si="9"/>
        <v/>
      </c>
      <c r="J72" s="30" t="str">
        <f>IF(A72="","",H72+CUSTOS!B72)</f>
        <v/>
      </c>
      <c r="K72" s="30" t="str">
        <f t="shared" si="36"/>
        <v/>
      </c>
      <c r="L72" s="30" t="str">
        <f t="shared" si="37"/>
        <v/>
      </c>
      <c r="M72" s="30" t="str">
        <f t="shared" si="38"/>
        <v/>
      </c>
      <c r="N72" s="30" t="str">
        <f t="shared" si="10"/>
        <v/>
      </c>
      <c r="O72" s="31" t="str">
        <f t="shared" si="39"/>
        <v/>
      </c>
      <c r="P72" s="32"/>
      <c r="Q72" s="33" t="str">
        <f t="shared" si="11"/>
        <v/>
      </c>
      <c r="R72" s="33" t="str">
        <f t="shared" si="12"/>
        <v/>
      </c>
      <c r="S72" s="33" t="str">
        <f t="shared" si="13"/>
        <v/>
      </c>
      <c r="T72" s="33" t="str">
        <f t="shared" si="14"/>
        <v/>
      </c>
      <c r="U72" s="33" t="str">
        <f t="shared" si="15"/>
        <v/>
      </c>
      <c r="V72" s="33" t="str">
        <f t="shared" si="16"/>
        <v/>
      </c>
      <c r="X72" s="33" t="str">
        <f t="shared" si="17"/>
        <v/>
      </c>
      <c r="Y72" s="30" t="str">
        <f t="shared" si="18"/>
        <v/>
      </c>
      <c r="Z72" s="30" t="str">
        <f t="shared" si="19"/>
        <v/>
      </c>
      <c r="AA72" s="30" t="str">
        <f t="shared" si="20"/>
        <v/>
      </c>
      <c r="AB72" s="30" t="str">
        <f t="shared" si="21"/>
        <v/>
      </c>
      <c r="AD72" s="33" t="str">
        <f t="shared" si="22"/>
        <v/>
      </c>
      <c r="AE72" s="30" t="str">
        <f t="shared" si="23"/>
        <v/>
      </c>
      <c r="AF72" s="30" t="str">
        <f t="shared" si="24"/>
        <v/>
      </c>
      <c r="AG72" s="30" t="str">
        <f t="shared" si="25"/>
        <v/>
      </c>
      <c r="AH72" s="30" t="str">
        <f t="shared" si="26"/>
        <v/>
      </c>
      <c r="AJ72" s="85" t="str">
        <f t="shared" si="2"/>
        <v/>
      </c>
      <c r="AK72" s="86" t="str">
        <f t="shared" si="50"/>
        <v/>
      </c>
      <c r="AL72" s="86" t="str">
        <f t="shared" si="51"/>
        <v/>
      </c>
      <c r="AM72" s="86" t="str">
        <f t="shared" si="52"/>
        <v/>
      </c>
      <c r="AN72" s="86" t="str">
        <f t="shared" si="53"/>
        <v/>
      </c>
      <c r="AO72" s="86" t="str">
        <f t="shared" si="54"/>
        <v/>
      </c>
      <c r="AQ72" s="33" t="str">
        <f t="shared" si="31"/>
        <v/>
      </c>
      <c r="AR72" s="30" t="str">
        <f t="shared" si="32"/>
        <v/>
      </c>
      <c r="AU72" s="20">
        <f t="shared" si="33"/>
        <v>0</v>
      </c>
      <c r="AV72" s="20">
        <f t="shared" si="34"/>
        <v>0</v>
      </c>
      <c r="AW72" s="19">
        <f t="shared" si="41"/>
        <v>0</v>
      </c>
      <c r="AX72" s="19">
        <f t="shared" si="42"/>
        <v>0</v>
      </c>
      <c r="AY72" s="19">
        <f t="shared" si="43"/>
        <v>0</v>
      </c>
      <c r="AZ72" s="19">
        <f t="shared" si="44"/>
        <v>0</v>
      </c>
      <c r="BA72" s="19">
        <f t="shared" si="45"/>
        <v>0</v>
      </c>
      <c r="BB72" s="19">
        <f t="shared" si="46"/>
        <v>0</v>
      </c>
      <c r="BC72" s="19">
        <f t="shared" si="47"/>
        <v>0</v>
      </c>
      <c r="BD72" s="19">
        <f>-IF(CUSTOS!B72="",0,CUSTOS!B72)</f>
        <v>0</v>
      </c>
      <c r="BF72" s="20">
        <f t="shared" si="48"/>
        <v>0</v>
      </c>
      <c r="BG72" s="20">
        <f t="shared" si="49"/>
        <v>0</v>
      </c>
      <c r="BH72" s="116">
        <f t="shared" si="49"/>
        <v>0</v>
      </c>
    </row>
    <row r="73" spans="1:60" ht="15" x14ac:dyDescent="0.25">
      <c r="A73" s="66" t="str">
        <f>IF(LARGE($A$11:A72,1)=$F$2,"",A72+1)</f>
        <v/>
      </c>
      <c r="B73" s="27" t="str">
        <f t="shared" si="3"/>
        <v/>
      </c>
      <c r="C73" s="28" t="str">
        <f t="shared" si="35"/>
        <v/>
      </c>
      <c r="D73" s="28" t="str">
        <f t="shared" si="4"/>
        <v/>
      </c>
      <c r="E73" s="28" t="str">
        <f t="shared" si="5"/>
        <v/>
      </c>
      <c r="F73" s="29" t="str">
        <f t="shared" si="6"/>
        <v/>
      </c>
      <c r="G73" s="29" t="str">
        <f t="shared" si="7"/>
        <v/>
      </c>
      <c r="H73" s="30" t="str">
        <f t="shared" si="8"/>
        <v/>
      </c>
      <c r="I73" s="30" t="str">
        <f t="shared" si="9"/>
        <v/>
      </c>
      <c r="J73" s="30" t="str">
        <f>IF(A73="","",H73+CUSTOS!B73)</f>
        <v/>
      </c>
      <c r="K73" s="30" t="str">
        <f t="shared" si="36"/>
        <v/>
      </c>
      <c r="L73" s="30" t="str">
        <f t="shared" si="37"/>
        <v/>
      </c>
      <c r="M73" s="30" t="str">
        <f t="shared" si="38"/>
        <v/>
      </c>
      <c r="N73" s="30" t="str">
        <f t="shared" si="10"/>
        <v/>
      </c>
      <c r="O73" s="31" t="str">
        <f t="shared" si="39"/>
        <v/>
      </c>
      <c r="P73" s="32"/>
      <c r="Q73" s="33" t="str">
        <f t="shared" si="11"/>
        <v/>
      </c>
      <c r="R73" s="33" t="str">
        <f t="shared" si="12"/>
        <v/>
      </c>
      <c r="S73" s="33" t="str">
        <f t="shared" si="13"/>
        <v/>
      </c>
      <c r="T73" s="33" t="str">
        <f t="shared" si="14"/>
        <v/>
      </c>
      <c r="U73" s="33" t="str">
        <f t="shared" si="15"/>
        <v/>
      </c>
      <c r="V73" s="33" t="str">
        <f t="shared" si="16"/>
        <v/>
      </c>
      <c r="X73" s="33" t="str">
        <f t="shared" si="17"/>
        <v/>
      </c>
      <c r="Y73" s="30" t="str">
        <f t="shared" si="18"/>
        <v/>
      </c>
      <c r="Z73" s="30" t="str">
        <f t="shared" si="19"/>
        <v/>
      </c>
      <c r="AA73" s="30" t="str">
        <f t="shared" si="20"/>
        <v/>
      </c>
      <c r="AB73" s="30" t="str">
        <f t="shared" si="21"/>
        <v/>
      </c>
      <c r="AD73" s="33" t="str">
        <f t="shared" si="22"/>
        <v/>
      </c>
      <c r="AE73" s="30" t="str">
        <f t="shared" si="23"/>
        <v/>
      </c>
      <c r="AF73" s="30" t="str">
        <f t="shared" si="24"/>
        <v/>
      </c>
      <c r="AG73" s="30" t="str">
        <f t="shared" si="25"/>
        <v/>
      </c>
      <c r="AH73" s="30" t="str">
        <f t="shared" si="26"/>
        <v/>
      </c>
      <c r="AJ73" s="85" t="str">
        <f t="shared" si="2"/>
        <v/>
      </c>
      <c r="AK73" s="86" t="str">
        <f t="shared" si="50"/>
        <v/>
      </c>
      <c r="AL73" s="86" t="str">
        <f t="shared" si="51"/>
        <v/>
      </c>
      <c r="AM73" s="86" t="str">
        <f t="shared" si="52"/>
        <v/>
      </c>
      <c r="AN73" s="86" t="str">
        <f t="shared" si="53"/>
        <v/>
      </c>
      <c r="AO73" s="86" t="str">
        <f t="shared" si="54"/>
        <v/>
      </c>
      <c r="AQ73" s="33" t="str">
        <f t="shared" si="31"/>
        <v/>
      </c>
      <c r="AR73" s="30" t="str">
        <f t="shared" si="32"/>
        <v/>
      </c>
      <c r="AU73" s="20">
        <f t="shared" si="33"/>
        <v>0</v>
      </c>
      <c r="AV73" s="20">
        <f t="shared" si="34"/>
        <v>0</v>
      </c>
      <c r="AW73" s="19">
        <f t="shared" si="41"/>
        <v>0</v>
      </c>
      <c r="AX73" s="19">
        <f t="shared" si="42"/>
        <v>0</v>
      </c>
      <c r="AY73" s="19">
        <f t="shared" si="43"/>
        <v>0</v>
      </c>
      <c r="AZ73" s="19">
        <f t="shared" si="44"/>
        <v>0</v>
      </c>
      <c r="BA73" s="19">
        <f t="shared" si="45"/>
        <v>0</v>
      </c>
      <c r="BB73" s="19">
        <f t="shared" si="46"/>
        <v>0</v>
      </c>
      <c r="BC73" s="19">
        <f t="shared" si="47"/>
        <v>0</v>
      </c>
      <c r="BD73" s="19">
        <f>-IF(CUSTOS!B73="",0,CUSTOS!B73)</f>
        <v>0</v>
      </c>
      <c r="BF73" s="20">
        <f t="shared" si="48"/>
        <v>0</v>
      </c>
      <c r="BG73" s="20">
        <f t="shared" si="49"/>
        <v>0</v>
      </c>
      <c r="BH73" s="116">
        <f t="shared" si="49"/>
        <v>0</v>
      </c>
    </row>
    <row r="74" spans="1:60" ht="15" x14ac:dyDescent="0.25">
      <c r="A74" s="66" t="str">
        <f>IF(LARGE($A$11:A73,1)=$F$2,"",A73+1)</f>
        <v/>
      </c>
      <c r="B74" s="27" t="str">
        <f t="shared" si="3"/>
        <v/>
      </c>
      <c r="C74" s="28" t="str">
        <f t="shared" si="35"/>
        <v/>
      </c>
      <c r="D74" s="28" t="str">
        <f t="shared" si="4"/>
        <v/>
      </c>
      <c r="E74" s="28" t="str">
        <f t="shared" si="5"/>
        <v/>
      </c>
      <c r="F74" s="29" t="str">
        <f t="shared" si="6"/>
        <v/>
      </c>
      <c r="G74" s="29" t="str">
        <f t="shared" si="7"/>
        <v/>
      </c>
      <c r="H74" s="30" t="str">
        <f t="shared" si="8"/>
        <v/>
      </c>
      <c r="I74" s="30" t="str">
        <f t="shared" si="9"/>
        <v/>
      </c>
      <c r="J74" s="30" t="str">
        <f>IF(A74="","",H74+CUSTOS!B74)</f>
        <v/>
      </c>
      <c r="K74" s="30" t="str">
        <f t="shared" si="36"/>
        <v/>
      </c>
      <c r="L74" s="30" t="str">
        <f t="shared" si="37"/>
        <v/>
      </c>
      <c r="M74" s="30" t="str">
        <f t="shared" si="38"/>
        <v/>
      </c>
      <c r="N74" s="30" t="str">
        <f t="shared" si="10"/>
        <v/>
      </c>
      <c r="O74" s="31" t="str">
        <f t="shared" si="39"/>
        <v/>
      </c>
      <c r="P74" s="32"/>
      <c r="Q74" s="33" t="str">
        <f t="shared" si="11"/>
        <v/>
      </c>
      <c r="R74" s="33" t="str">
        <f t="shared" si="12"/>
        <v/>
      </c>
      <c r="S74" s="33" t="str">
        <f t="shared" si="13"/>
        <v/>
      </c>
      <c r="T74" s="33" t="str">
        <f t="shared" si="14"/>
        <v/>
      </c>
      <c r="U74" s="33" t="str">
        <f t="shared" si="15"/>
        <v/>
      </c>
      <c r="V74" s="33" t="str">
        <f t="shared" si="16"/>
        <v/>
      </c>
      <c r="X74" s="33" t="str">
        <f t="shared" si="17"/>
        <v/>
      </c>
      <c r="Y74" s="30" t="str">
        <f t="shared" si="18"/>
        <v/>
      </c>
      <c r="Z74" s="30" t="str">
        <f t="shared" si="19"/>
        <v/>
      </c>
      <c r="AA74" s="30" t="str">
        <f t="shared" si="20"/>
        <v/>
      </c>
      <c r="AB74" s="30" t="str">
        <f t="shared" si="21"/>
        <v/>
      </c>
      <c r="AD74" s="33" t="str">
        <f t="shared" si="22"/>
        <v/>
      </c>
      <c r="AE74" s="30" t="str">
        <f t="shared" si="23"/>
        <v/>
      </c>
      <c r="AF74" s="30" t="str">
        <f t="shared" si="24"/>
        <v/>
      </c>
      <c r="AG74" s="30" t="str">
        <f t="shared" si="25"/>
        <v/>
      </c>
      <c r="AH74" s="30" t="str">
        <f t="shared" si="26"/>
        <v/>
      </c>
      <c r="AJ74" s="85" t="str">
        <f t="shared" si="2"/>
        <v/>
      </c>
      <c r="AK74" s="86" t="str">
        <f t="shared" si="50"/>
        <v/>
      </c>
      <c r="AL74" s="86" t="str">
        <f t="shared" si="51"/>
        <v/>
      </c>
      <c r="AM74" s="86" t="str">
        <f t="shared" si="52"/>
        <v/>
      </c>
      <c r="AN74" s="86" t="str">
        <f t="shared" si="53"/>
        <v/>
      </c>
      <c r="AO74" s="86" t="str">
        <f t="shared" si="54"/>
        <v/>
      </c>
      <c r="AQ74" s="33" t="str">
        <f t="shared" si="31"/>
        <v/>
      </c>
      <c r="AR74" s="30" t="str">
        <f t="shared" si="32"/>
        <v/>
      </c>
      <c r="AU74" s="20">
        <f t="shared" si="33"/>
        <v>0</v>
      </c>
      <c r="AV74" s="20">
        <f t="shared" si="34"/>
        <v>0</v>
      </c>
      <c r="AW74" s="19">
        <f t="shared" si="41"/>
        <v>0</v>
      </c>
      <c r="AX74" s="19">
        <f t="shared" si="42"/>
        <v>0</v>
      </c>
      <c r="AY74" s="19">
        <f t="shared" si="43"/>
        <v>0</v>
      </c>
      <c r="AZ74" s="19">
        <f t="shared" si="44"/>
        <v>0</v>
      </c>
      <c r="BA74" s="19">
        <f t="shared" si="45"/>
        <v>0</v>
      </c>
      <c r="BB74" s="19">
        <f t="shared" si="46"/>
        <v>0</v>
      </c>
      <c r="BC74" s="19">
        <f t="shared" si="47"/>
        <v>0</v>
      </c>
      <c r="BD74" s="19">
        <f>-IF(CUSTOS!B74="",0,CUSTOS!B74)</f>
        <v>0</v>
      </c>
      <c r="BF74" s="20">
        <f t="shared" si="48"/>
        <v>0</v>
      </c>
      <c r="BG74" s="20">
        <f t="shared" si="49"/>
        <v>0</v>
      </c>
      <c r="BH74" s="116">
        <f t="shared" si="49"/>
        <v>0</v>
      </c>
    </row>
    <row r="75" spans="1:60" ht="15" x14ac:dyDescent="0.25">
      <c r="A75" s="66" t="str">
        <f>IF(LARGE($A$11:A74,1)=$F$2,"",A74+1)</f>
        <v/>
      </c>
      <c r="B75" s="27" t="str">
        <f t="shared" si="3"/>
        <v/>
      </c>
      <c r="C75" s="28" t="str">
        <f t="shared" si="35"/>
        <v/>
      </c>
      <c r="D75" s="28" t="str">
        <f t="shared" si="4"/>
        <v/>
      </c>
      <c r="E75" s="28" t="str">
        <f t="shared" si="5"/>
        <v/>
      </c>
      <c r="F75" s="29" t="str">
        <f t="shared" si="6"/>
        <v/>
      </c>
      <c r="G75" s="29" t="str">
        <f t="shared" si="7"/>
        <v/>
      </c>
      <c r="H75" s="30" t="str">
        <f t="shared" si="8"/>
        <v/>
      </c>
      <c r="I75" s="30" t="str">
        <f t="shared" si="9"/>
        <v/>
      </c>
      <c r="J75" s="30" t="str">
        <f>IF(A75="","",H75+CUSTOS!B75)</f>
        <v/>
      </c>
      <c r="K75" s="30" t="str">
        <f t="shared" si="36"/>
        <v/>
      </c>
      <c r="L75" s="30" t="str">
        <f t="shared" si="37"/>
        <v/>
      </c>
      <c r="M75" s="30" t="str">
        <f t="shared" si="38"/>
        <v/>
      </c>
      <c r="N75" s="30" t="str">
        <f t="shared" si="10"/>
        <v/>
      </c>
      <c r="O75" s="31" t="str">
        <f t="shared" si="39"/>
        <v/>
      </c>
      <c r="P75" s="32"/>
      <c r="Q75" s="33" t="str">
        <f t="shared" si="11"/>
        <v/>
      </c>
      <c r="R75" s="33" t="str">
        <f t="shared" si="12"/>
        <v/>
      </c>
      <c r="S75" s="33" t="str">
        <f t="shared" si="13"/>
        <v/>
      </c>
      <c r="T75" s="33" t="str">
        <f t="shared" si="14"/>
        <v/>
      </c>
      <c r="U75" s="33" t="str">
        <f t="shared" si="15"/>
        <v/>
      </c>
      <c r="V75" s="33" t="str">
        <f t="shared" si="16"/>
        <v/>
      </c>
      <c r="X75" s="33" t="str">
        <f t="shared" si="17"/>
        <v/>
      </c>
      <c r="Y75" s="30" t="str">
        <f t="shared" si="18"/>
        <v/>
      </c>
      <c r="Z75" s="30" t="str">
        <f t="shared" si="19"/>
        <v/>
      </c>
      <c r="AA75" s="30" t="str">
        <f t="shared" si="20"/>
        <v/>
      </c>
      <c r="AB75" s="30" t="str">
        <f t="shared" si="21"/>
        <v/>
      </c>
      <c r="AD75" s="33" t="str">
        <f t="shared" si="22"/>
        <v/>
      </c>
      <c r="AE75" s="30" t="str">
        <f t="shared" si="23"/>
        <v/>
      </c>
      <c r="AF75" s="30" t="str">
        <f t="shared" si="24"/>
        <v/>
      </c>
      <c r="AG75" s="30" t="str">
        <f t="shared" si="25"/>
        <v/>
      </c>
      <c r="AH75" s="30" t="str">
        <f t="shared" si="26"/>
        <v/>
      </c>
      <c r="AJ75" s="85" t="str">
        <f t="shared" ref="AJ75:AJ131" si="55">IF($A75="","",J75-IF(AD75="",0,AD75)-IF(Q75="",0,Q75)-IF(X75="",0,X75))</f>
        <v/>
      </c>
      <c r="AK75" s="86" t="str">
        <f t="shared" si="50"/>
        <v/>
      </c>
      <c r="AL75" s="86" t="str">
        <f t="shared" si="51"/>
        <v/>
      </c>
      <c r="AM75" s="86" t="str">
        <f t="shared" si="52"/>
        <v/>
      </c>
      <c r="AN75" s="86" t="str">
        <f t="shared" si="53"/>
        <v/>
      </c>
      <c r="AO75" s="86" t="str">
        <f t="shared" si="54"/>
        <v/>
      </c>
      <c r="AQ75" s="33" t="str">
        <f t="shared" si="31"/>
        <v/>
      </c>
      <c r="AR75" s="30" t="str">
        <f t="shared" si="32"/>
        <v/>
      </c>
      <c r="AU75" s="20">
        <f t="shared" si="33"/>
        <v>0</v>
      </c>
      <c r="AV75" s="20">
        <f t="shared" si="34"/>
        <v>0</v>
      </c>
      <c r="AW75" s="19">
        <f t="shared" si="41"/>
        <v>0</v>
      </c>
      <c r="AX75" s="19">
        <f t="shared" si="42"/>
        <v>0</v>
      </c>
      <c r="AY75" s="19">
        <f t="shared" si="43"/>
        <v>0</v>
      </c>
      <c r="AZ75" s="19">
        <f t="shared" si="44"/>
        <v>0</v>
      </c>
      <c r="BA75" s="19">
        <f t="shared" si="45"/>
        <v>0</v>
      </c>
      <c r="BB75" s="19">
        <f t="shared" si="46"/>
        <v>0</v>
      </c>
      <c r="BC75" s="19">
        <f t="shared" si="47"/>
        <v>0</v>
      </c>
      <c r="BD75" s="19">
        <f>-IF(CUSTOS!B75="",0,CUSTOS!B75)</f>
        <v>0</v>
      </c>
      <c r="BF75" s="20">
        <f t="shared" si="48"/>
        <v>0</v>
      </c>
      <c r="BG75" s="20">
        <f t="shared" si="49"/>
        <v>0</v>
      </c>
      <c r="BH75" s="116">
        <f t="shared" si="49"/>
        <v>0</v>
      </c>
    </row>
    <row r="76" spans="1:60" ht="15" x14ac:dyDescent="0.25">
      <c r="A76" s="66" t="str">
        <f>IF(LARGE($A$11:A75,1)=$F$2,"",A75+1)</f>
        <v/>
      </c>
      <c r="B76" s="27" t="str">
        <f t="shared" ref="B76:B139" si="56">IF($A76="","",DATE(YEAR(EDATE(C76,-def_fluxo)),MONTH(EDATE(C76,-def_fluxo)),1))</f>
        <v/>
      </c>
      <c r="C76" s="28" t="str">
        <f t="shared" si="35"/>
        <v/>
      </c>
      <c r="D76" s="28" t="str">
        <f t="shared" ref="D76:D139" si="57">IF($A76="","",WORKDAY(C76-1,1,holiday))</f>
        <v/>
      </c>
      <c r="E76" s="28" t="str">
        <f t="shared" ref="E76:E139" si="58">IF($A76="","",WORKDAY(D76,def_pgto,holiday))</f>
        <v/>
      </c>
      <c r="F76" s="29" t="str">
        <f t="shared" ref="F76:F139" si="59">IF(A76="","",IF(base_calc=252,NETWORKDAYS(D76,D76,holiday)-1,IF(base_calc=360,DAYS360(EDATE(C76,-1),C76,0),"")))</f>
        <v/>
      </c>
      <c r="G76" s="29" t="str">
        <f t="shared" ref="G76:G139" si="60">IF(A76="","",IF(base_calc=252,NETWORKDAYS($F$3,D76,holiday)-1,IF(base_calc=360,DAYS360($F$3,C76),"")))</f>
        <v/>
      </c>
      <c r="H76" s="30" t="str">
        <f t="shared" ref="H76:H139" si="61">IF($A76="","",IF(C76&gt;=$F$5,IF($C$5&gt;0,$C$5,PMT((1+tx_lastro)^(1/12)-1,prazo_op,-$C$6)),0))</f>
        <v/>
      </c>
      <c r="I76" s="30" t="str">
        <f t="shared" ref="I76:I139" si="62">IF(A76="","",H76/(1+tx_lastro)^(G76/base_calc))</f>
        <v/>
      </c>
      <c r="J76" s="30" t="str">
        <f>IF(A76="","",H76+CUSTOS!B76)</f>
        <v/>
      </c>
      <c r="K76" s="30" t="str">
        <f t="shared" si="36"/>
        <v/>
      </c>
      <c r="L76" s="30" t="str">
        <f t="shared" si="37"/>
        <v/>
      </c>
      <c r="M76" s="30" t="str">
        <f t="shared" si="38"/>
        <v/>
      </c>
      <c r="N76" s="30" t="str">
        <f t="shared" ref="N76:N139" si="63">IF(A76="","",J76/(1+tx_lastro)^(G76/base_calc))</f>
        <v/>
      </c>
      <c r="O76" s="31" t="str">
        <f t="shared" si="39"/>
        <v/>
      </c>
      <c r="P76" s="32"/>
      <c r="Q76" s="33" t="str">
        <f t="shared" ref="Q76:Q139" si="64">IF($A76="","",IF($A76&gt;prazo_se,"",IF($R$6="A + J",R76+S76,J76*pmt_se)))</f>
        <v/>
      </c>
      <c r="R76" s="33" t="str">
        <f t="shared" ref="R76:R139" si="65">IF($A76="","",IF($A76&gt;prazo_se,"",IF(OR(H76=0,A76&lt;=carência_se),-S76,IF($R$6="A + J",O76*T75,Q76-S76))))</f>
        <v/>
      </c>
      <c r="S76" s="33" t="str">
        <f t="shared" ref="S76:S139" si="66">IF($A76="","",IF($A76&gt;prazo_se,"",T75*((1+tx_se)^(IF(A76&gt;1,F76,G76)/base_calc)-1)))</f>
        <v/>
      </c>
      <c r="T76" s="33" t="str">
        <f t="shared" ref="T76:T139" si="67">IF($A76="","",IF($A76&gt;prazo_se,"",T75-R76))</f>
        <v/>
      </c>
      <c r="U76" s="33" t="str">
        <f t="shared" ref="U76:U139" si="68">IF($A76="","",IF($A76&gt;prazo_se,"",Q76/(1+tx_se)^(G76/base_calc)))</f>
        <v/>
      </c>
      <c r="V76" s="33" t="str">
        <f t="shared" ref="V76:V139" si="69">IF($A76="","",IF($A76&gt;prazo_se,"",Q76/(1+tx_se2)^(G76/base_calc)))</f>
        <v/>
      </c>
      <c r="X76" s="33" t="str">
        <f t="shared" ref="X76:X131" si="70">IF($A76="","",IF($A76&gt;prazo_subp,"",IF($Y$6="PMT [diferença]",J76-IF(Q76="",0,Q76),IF($Y$6="A + J",Y76+Z76,(J76-Q76)*pmt_subp))))</f>
        <v/>
      </c>
      <c r="Y76" s="30" t="str">
        <f t="shared" ref="Y76:Y139" si="71">IF($A76="","",IF($A76&gt;prazo_subp,"",IF(A76&lt;=carência_subp,-Z76,IF($Y$6="A + J",O76*AA75,X76-Z76))))</f>
        <v/>
      </c>
      <c r="Z76" s="30" t="str">
        <f t="shared" ref="Z76:Z139" si="72">IF($A76="","",IF($A76&gt;prazo_subp,"",AA75*((1+tx_subp)^(IF(A76&gt;1,F76,G76)/base_calc)-1)))</f>
        <v/>
      </c>
      <c r="AA76" s="30" t="str">
        <f t="shared" ref="AA76:AA139" si="73">IF($A76="","",IF($A76&gt;prazo_subp,"",AA75-Y76))</f>
        <v/>
      </c>
      <c r="AB76" s="30" t="str">
        <f t="shared" ref="AB76:AB139" si="74">IF($A76="","",IF($A76&gt;prazo_subp,"",X76/(1+tx_subp)^(G76/base_calc)))</f>
        <v/>
      </c>
      <c r="AD76" s="33" t="str">
        <f t="shared" ref="AD76:AD131" si="75">IF($A76="","",IF($A76&gt;prazo_sub,"",IF($AE$6="PMT [diferença]",J76-Q76-X76,(J76-Q76-X76)*pmt_sub)))</f>
        <v/>
      </c>
      <c r="AE76" s="30" t="str">
        <f t="shared" ref="AE76:AE139" si="76">IF($A76="","",IF($A76&gt;prazo_sub,"",IF(A76&lt;=carência_sub,-AF76,IF($AE$6="% PMT",O76*AG75,AD76-AF76))))</f>
        <v/>
      </c>
      <c r="AF76" s="30" t="str">
        <f t="shared" ref="AF76:AF139" si="77">IF($A76="","",IF($A76&gt;prazo_sub,"",AG75*((1+tx_sub)^(IF(A76&gt;1,F76,G76)/base_calc)-1)))</f>
        <v/>
      </c>
      <c r="AG76" s="30" t="str">
        <f t="shared" ref="AG76:AG139" si="78">IF($A76="","",IF($A76&gt;prazo_sub,"",AG75-AE76))</f>
        <v/>
      </c>
      <c r="AH76" s="30" t="str">
        <f t="shared" ref="AH76:AH139" si="79">IF($A76="","",IF($A76&gt;prazo_sub,"",AD76/(1+tx_sub)^(G76/base_calc)))</f>
        <v/>
      </c>
      <c r="AJ76" s="85" t="str">
        <f t="shared" si="55"/>
        <v/>
      </c>
      <c r="AK76" s="86" t="str">
        <f t="shared" si="50"/>
        <v/>
      </c>
      <c r="AL76" s="86" t="str">
        <f t="shared" si="51"/>
        <v/>
      </c>
      <c r="AM76" s="86" t="str">
        <f t="shared" si="52"/>
        <v/>
      </c>
      <c r="AN76" s="86" t="str">
        <f t="shared" si="53"/>
        <v/>
      </c>
      <c r="AO76" s="86" t="str">
        <f t="shared" si="54"/>
        <v/>
      </c>
      <c r="AQ76" s="33" t="str">
        <f t="shared" ref="AQ76:AQ139" si="80">IF(A76="","",IF(AJ76&lt;=0,AJ76,0))</f>
        <v/>
      </c>
      <c r="AR76" s="30" t="str">
        <f t="shared" ref="AR76:AR139" si="81">IF(A76="","",IF(AJ76&gt;0,AJ76,0))</f>
        <v/>
      </c>
      <c r="AU76" s="20">
        <f t="shared" ref="AU76:AU139" si="82">IF(H76="",0,H76)</f>
        <v>0</v>
      </c>
      <c r="AV76" s="20">
        <f t="shared" ref="AV76:AV139" si="83">IF(J76="",0,J76)</f>
        <v>0</v>
      </c>
      <c r="AW76" s="19">
        <f t="shared" si="41"/>
        <v>0</v>
      </c>
      <c r="AX76" s="19">
        <f t="shared" si="42"/>
        <v>0</v>
      </c>
      <c r="AY76" s="19">
        <f t="shared" si="43"/>
        <v>0</v>
      </c>
      <c r="AZ76" s="19">
        <f t="shared" si="44"/>
        <v>0</v>
      </c>
      <c r="BA76" s="19">
        <f t="shared" si="45"/>
        <v>0</v>
      </c>
      <c r="BB76" s="19">
        <f t="shared" si="46"/>
        <v>0</v>
      </c>
      <c r="BC76" s="19">
        <f t="shared" si="47"/>
        <v>0</v>
      </c>
      <c r="BD76" s="19">
        <f>-IF(CUSTOS!B76="",0,CUSTOS!B76)</f>
        <v>0</v>
      </c>
      <c r="BF76" s="20">
        <f t="shared" si="48"/>
        <v>0</v>
      </c>
      <c r="BG76" s="20">
        <f t="shared" si="49"/>
        <v>0</v>
      </c>
      <c r="BH76" s="116">
        <f t="shared" si="49"/>
        <v>0</v>
      </c>
    </row>
    <row r="77" spans="1:60" ht="15" x14ac:dyDescent="0.25">
      <c r="A77" s="66" t="str">
        <f>IF(LARGE($A$11:A76,1)=$F$2,"",A76+1)</f>
        <v/>
      </c>
      <c r="B77" s="27" t="str">
        <f t="shared" si="56"/>
        <v/>
      </c>
      <c r="C77" s="28" t="str">
        <f t="shared" ref="C77:C140" si="84">IF($A77="","",IF(OR(DAY($C$12)=30,DAY($C$12)=31),EOMONTH(EDATE(C76,1),0),EDATE(C76,1)))</f>
        <v/>
      </c>
      <c r="D77" s="28" t="str">
        <f t="shared" si="57"/>
        <v/>
      </c>
      <c r="E77" s="28" t="str">
        <f t="shared" si="58"/>
        <v/>
      </c>
      <c r="F77" s="29" t="str">
        <f t="shared" si="59"/>
        <v/>
      </c>
      <c r="G77" s="29" t="str">
        <f t="shared" si="60"/>
        <v/>
      </c>
      <c r="H77" s="30" t="str">
        <f t="shared" si="61"/>
        <v/>
      </c>
      <c r="I77" s="30" t="str">
        <f t="shared" si="62"/>
        <v/>
      </c>
      <c r="J77" s="30" t="str">
        <f>IF(A77="","",H77+CUSTOS!B77)</f>
        <v/>
      </c>
      <c r="K77" s="30" t="str">
        <f t="shared" ref="K77:K140" si="85">IF(A77="","",J77-L77)</f>
        <v/>
      </c>
      <c r="L77" s="30" t="str">
        <f t="shared" ref="L77:L140" si="86">IF(A77="","",M76*((1+tx_lastro)^(F77/base_calc)-1))</f>
        <v/>
      </c>
      <c r="M77" s="30" t="str">
        <f t="shared" ref="M77:M140" si="87">IF(A77="","",M76-K77)</f>
        <v/>
      </c>
      <c r="N77" s="30" t="str">
        <f t="shared" si="63"/>
        <v/>
      </c>
      <c r="O77" s="31" t="str">
        <f t="shared" ref="O77:O140" si="88">IF(A77="","",IFERROR(K77/M76,0))</f>
        <v/>
      </c>
      <c r="P77" s="32"/>
      <c r="Q77" s="33" t="str">
        <f t="shared" si="64"/>
        <v/>
      </c>
      <c r="R77" s="33" t="str">
        <f t="shared" si="65"/>
        <v/>
      </c>
      <c r="S77" s="33" t="str">
        <f t="shared" si="66"/>
        <v/>
      </c>
      <c r="T77" s="33" t="str">
        <f t="shared" si="67"/>
        <v/>
      </c>
      <c r="U77" s="33" t="str">
        <f t="shared" si="68"/>
        <v/>
      </c>
      <c r="V77" s="33" t="str">
        <f t="shared" si="69"/>
        <v/>
      </c>
      <c r="X77" s="33" t="str">
        <f t="shared" si="70"/>
        <v/>
      </c>
      <c r="Y77" s="30" t="str">
        <f t="shared" si="71"/>
        <v/>
      </c>
      <c r="Z77" s="30" t="str">
        <f t="shared" si="72"/>
        <v/>
      </c>
      <c r="AA77" s="30" t="str">
        <f t="shared" si="73"/>
        <v/>
      </c>
      <c r="AB77" s="30" t="str">
        <f t="shared" si="74"/>
        <v/>
      </c>
      <c r="AD77" s="33" t="str">
        <f t="shared" si="75"/>
        <v/>
      </c>
      <c r="AE77" s="30" t="str">
        <f t="shared" si="76"/>
        <v/>
      </c>
      <c r="AF77" s="30" t="str">
        <f t="shared" si="77"/>
        <v/>
      </c>
      <c r="AG77" s="30" t="str">
        <f t="shared" si="78"/>
        <v/>
      </c>
      <c r="AH77" s="30" t="str">
        <f t="shared" si="79"/>
        <v/>
      </c>
      <c r="AJ77" s="85" t="str">
        <f t="shared" si="55"/>
        <v/>
      </c>
      <c r="AK77" s="86" t="str">
        <f t="shared" si="50"/>
        <v/>
      </c>
      <c r="AL77" s="86" t="str">
        <f t="shared" si="51"/>
        <v/>
      </c>
      <c r="AM77" s="86" t="str">
        <f t="shared" si="52"/>
        <v/>
      </c>
      <c r="AN77" s="86" t="str">
        <f t="shared" si="53"/>
        <v/>
      </c>
      <c r="AO77" s="86" t="str">
        <f t="shared" si="54"/>
        <v/>
      </c>
      <c r="AQ77" s="33" t="str">
        <f t="shared" si="80"/>
        <v/>
      </c>
      <c r="AR77" s="30" t="str">
        <f t="shared" si="81"/>
        <v/>
      </c>
      <c r="AU77" s="20">
        <f t="shared" si="82"/>
        <v>0</v>
      </c>
      <c r="AV77" s="20">
        <f t="shared" si="83"/>
        <v>0</v>
      </c>
      <c r="AW77" s="19">
        <f t="shared" ref="AW77:AW140" si="89">IF(Q77="",0,Q77)</f>
        <v>0</v>
      </c>
      <c r="AX77" s="19">
        <f t="shared" ref="AX77:AX140" si="90">IF(X77="",0,X77)</f>
        <v>0</v>
      </c>
      <c r="AY77" s="19">
        <f t="shared" ref="AY77:AY140" si="91">IF(AD77="",0,AD77)</f>
        <v>0</v>
      </c>
      <c r="AZ77" s="19">
        <f t="shared" ref="AZ77:AZ140" si="92">IF(AJ77="",0,AJ77)</f>
        <v>0</v>
      </c>
      <c r="BA77" s="19">
        <f t="shared" ref="BA77:BA140" si="93">AX77</f>
        <v>0</v>
      </c>
      <c r="BB77" s="19">
        <f t="shared" ref="BB77:BB140" si="94">AY77</f>
        <v>0</v>
      </c>
      <c r="BC77" s="19">
        <f t="shared" ref="BC77:BC140" si="95">AZ77</f>
        <v>0</v>
      </c>
      <c r="BD77" s="19">
        <f>-IF(CUSTOS!B77="",0,CUSTOS!B77)</f>
        <v>0</v>
      </c>
      <c r="BF77" s="20">
        <f t="shared" ref="BF77:BF140" si="96">AW77+AX77+AY77+BD77</f>
        <v>0</v>
      </c>
      <c r="BG77" s="20">
        <f t="shared" ref="BG77:BH140" si="97">BF77</f>
        <v>0</v>
      </c>
      <c r="BH77" s="116">
        <f t="shared" si="97"/>
        <v>0</v>
      </c>
    </row>
    <row r="78" spans="1:60" ht="15" x14ac:dyDescent="0.25">
      <c r="A78" s="66" t="str">
        <f>IF(LARGE($A$11:A77,1)=$F$2,"",A77+1)</f>
        <v/>
      </c>
      <c r="B78" s="27" t="str">
        <f t="shared" si="56"/>
        <v/>
      </c>
      <c r="C78" s="28" t="str">
        <f t="shared" si="84"/>
        <v/>
      </c>
      <c r="D78" s="28" t="str">
        <f t="shared" si="57"/>
        <v/>
      </c>
      <c r="E78" s="28" t="str">
        <f t="shared" si="58"/>
        <v/>
      </c>
      <c r="F78" s="29" t="str">
        <f t="shared" si="59"/>
        <v/>
      </c>
      <c r="G78" s="29" t="str">
        <f t="shared" si="60"/>
        <v/>
      </c>
      <c r="H78" s="30" t="str">
        <f t="shared" si="61"/>
        <v/>
      </c>
      <c r="I78" s="30" t="str">
        <f t="shared" si="62"/>
        <v/>
      </c>
      <c r="J78" s="30" t="str">
        <f>IF(A78="","",H78+CUSTOS!B78)</f>
        <v/>
      </c>
      <c r="K78" s="30" t="str">
        <f t="shared" si="85"/>
        <v/>
      </c>
      <c r="L78" s="30" t="str">
        <f t="shared" si="86"/>
        <v/>
      </c>
      <c r="M78" s="30" t="str">
        <f t="shared" si="87"/>
        <v/>
      </c>
      <c r="N78" s="30" t="str">
        <f t="shared" si="63"/>
        <v/>
      </c>
      <c r="O78" s="31" t="str">
        <f t="shared" si="88"/>
        <v/>
      </c>
      <c r="P78" s="32"/>
      <c r="Q78" s="33" t="str">
        <f t="shared" si="64"/>
        <v/>
      </c>
      <c r="R78" s="33" t="str">
        <f t="shared" si="65"/>
        <v/>
      </c>
      <c r="S78" s="33" t="str">
        <f t="shared" si="66"/>
        <v/>
      </c>
      <c r="T78" s="33" t="str">
        <f t="shared" si="67"/>
        <v/>
      </c>
      <c r="U78" s="33" t="str">
        <f t="shared" si="68"/>
        <v/>
      </c>
      <c r="V78" s="33" t="str">
        <f t="shared" si="69"/>
        <v/>
      </c>
      <c r="X78" s="33" t="str">
        <f t="shared" si="70"/>
        <v/>
      </c>
      <c r="Y78" s="30" t="str">
        <f t="shared" si="71"/>
        <v/>
      </c>
      <c r="Z78" s="30" t="str">
        <f t="shared" si="72"/>
        <v/>
      </c>
      <c r="AA78" s="30" t="str">
        <f t="shared" si="73"/>
        <v/>
      </c>
      <c r="AB78" s="30" t="str">
        <f t="shared" si="74"/>
        <v/>
      </c>
      <c r="AD78" s="33" t="str">
        <f t="shared" si="75"/>
        <v/>
      </c>
      <c r="AE78" s="30" t="str">
        <f t="shared" si="76"/>
        <v/>
      </c>
      <c r="AF78" s="30" t="str">
        <f t="shared" si="77"/>
        <v/>
      </c>
      <c r="AG78" s="30" t="str">
        <f t="shared" si="78"/>
        <v/>
      </c>
      <c r="AH78" s="30" t="str">
        <f t="shared" si="79"/>
        <v/>
      </c>
      <c r="AJ78" s="85" t="str">
        <f t="shared" si="55"/>
        <v/>
      </c>
      <c r="AK78" s="86" t="str">
        <f t="shared" ref="AK78:AK141" si="98">IF($A78="","",AJ78-AL78)</f>
        <v/>
      </c>
      <c r="AL78" s="86" t="str">
        <f t="shared" ref="AL78:AL141" si="99">IF(A78="","",AM77*((1+tx_over)^(IF(A78&gt;1,F78,G78)/base_calc)-1))</f>
        <v/>
      </c>
      <c r="AM78" s="86" t="str">
        <f t="shared" ref="AM78:AM141" si="100">IF(A78="","",AM77-AK78)</f>
        <v/>
      </c>
      <c r="AN78" s="86" t="str">
        <f t="shared" ref="AN78:AN141" si="101">IF($A78="","",AJ78/(1+tx_over)^(G78/base_calc))</f>
        <v/>
      </c>
      <c r="AO78" s="86" t="str">
        <f t="shared" ref="AO78:AO141" si="102">IF($A78="","",AJ78/(1+tx_lastro)^(G78/base_calc))</f>
        <v/>
      </c>
      <c r="AQ78" s="33" t="str">
        <f t="shared" si="80"/>
        <v/>
      </c>
      <c r="AR78" s="30" t="str">
        <f t="shared" si="81"/>
        <v/>
      </c>
      <c r="AU78" s="20">
        <f t="shared" si="82"/>
        <v>0</v>
      </c>
      <c r="AV78" s="20">
        <f t="shared" si="83"/>
        <v>0</v>
      </c>
      <c r="AW78" s="19">
        <f t="shared" si="89"/>
        <v>0</v>
      </c>
      <c r="AX78" s="19">
        <f t="shared" si="90"/>
        <v>0</v>
      </c>
      <c r="AY78" s="19">
        <f t="shared" si="91"/>
        <v>0</v>
      </c>
      <c r="AZ78" s="19">
        <f t="shared" si="92"/>
        <v>0</v>
      </c>
      <c r="BA78" s="19">
        <f t="shared" si="93"/>
        <v>0</v>
      </c>
      <c r="BB78" s="19">
        <f t="shared" si="94"/>
        <v>0</v>
      </c>
      <c r="BC78" s="19">
        <f t="shared" si="95"/>
        <v>0</v>
      </c>
      <c r="BD78" s="19">
        <f>-IF(CUSTOS!B78="",0,CUSTOS!B78)</f>
        <v>0</v>
      </c>
      <c r="BF78" s="20">
        <f t="shared" si="96"/>
        <v>0</v>
      </c>
      <c r="BG78" s="20">
        <f t="shared" si="97"/>
        <v>0</v>
      </c>
      <c r="BH78" s="116">
        <f t="shared" si="97"/>
        <v>0</v>
      </c>
    </row>
    <row r="79" spans="1:60" ht="15" x14ac:dyDescent="0.25">
      <c r="A79" s="66" t="str">
        <f>IF(LARGE($A$11:A78,1)=$F$2,"",A78+1)</f>
        <v/>
      </c>
      <c r="B79" s="27" t="str">
        <f t="shared" si="56"/>
        <v/>
      </c>
      <c r="C79" s="28" t="str">
        <f t="shared" si="84"/>
        <v/>
      </c>
      <c r="D79" s="28" t="str">
        <f t="shared" si="57"/>
        <v/>
      </c>
      <c r="E79" s="28" t="str">
        <f t="shared" si="58"/>
        <v/>
      </c>
      <c r="F79" s="29" t="str">
        <f t="shared" si="59"/>
        <v/>
      </c>
      <c r="G79" s="29" t="str">
        <f t="shared" si="60"/>
        <v/>
      </c>
      <c r="H79" s="30" t="str">
        <f t="shared" si="61"/>
        <v/>
      </c>
      <c r="I79" s="30" t="str">
        <f t="shared" si="62"/>
        <v/>
      </c>
      <c r="J79" s="30" t="str">
        <f>IF(A79="","",H79+CUSTOS!B79)</f>
        <v/>
      </c>
      <c r="K79" s="30" t="str">
        <f t="shared" si="85"/>
        <v/>
      </c>
      <c r="L79" s="30" t="str">
        <f t="shared" si="86"/>
        <v/>
      </c>
      <c r="M79" s="30" t="str">
        <f t="shared" si="87"/>
        <v/>
      </c>
      <c r="N79" s="30" t="str">
        <f t="shared" si="63"/>
        <v/>
      </c>
      <c r="O79" s="31" t="str">
        <f t="shared" si="88"/>
        <v/>
      </c>
      <c r="P79" s="32"/>
      <c r="Q79" s="33" t="str">
        <f t="shared" si="64"/>
        <v/>
      </c>
      <c r="R79" s="33" t="str">
        <f t="shared" si="65"/>
        <v/>
      </c>
      <c r="S79" s="33" t="str">
        <f t="shared" si="66"/>
        <v/>
      </c>
      <c r="T79" s="33" t="str">
        <f t="shared" si="67"/>
        <v/>
      </c>
      <c r="U79" s="33" t="str">
        <f t="shared" si="68"/>
        <v/>
      </c>
      <c r="V79" s="33" t="str">
        <f t="shared" si="69"/>
        <v/>
      </c>
      <c r="X79" s="33" t="str">
        <f t="shared" si="70"/>
        <v/>
      </c>
      <c r="Y79" s="30" t="str">
        <f t="shared" si="71"/>
        <v/>
      </c>
      <c r="Z79" s="30" t="str">
        <f t="shared" si="72"/>
        <v/>
      </c>
      <c r="AA79" s="30" t="str">
        <f t="shared" si="73"/>
        <v/>
      </c>
      <c r="AB79" s="30" t="str">
        <f t="shared" si="74"/>
        <v/>
      </c>
      <c r="AD79" s="33" t="str">
        <f t="shared" si="75"/>
        <v/>
      </c>
      <c r="AE79" s="30" t="str">
        <f t="shared" si="76"/>
        <v/>
      </c>
      <c r="AF79" s="30" t="str">
        <f t="shared" si="77"/>
        <v/>
      </c>
      <c r="AG79" s="30" t="str">
        <f t="shared" si="78"/>
        <v/>
      </c>
      <c r="AH79" s="30" t="str">
        <f t="shared" si="79"/>
        <v/>
      </c>
      <c r="AJ79" s="85" t="str">
        <f t="shared" si="55"/>
        <v/>
      </c>
      <c r="AK79" s="86" t="str">
        <f t="shared" si="98"/>
        <v/>
      </c>
      <c r="AL79" s="86" t="str">
        <f t="shared" si="99"/>
        <v/>
      </c>
      <c r="AM79" s="86" t="str">
        <f t="shared" si="100"/>
        <v/>
      </c>
      <c r="AN79" s="86" t="str">
        <f t="shared" si="101"/>
        <v/>
      </c>
      <c r="AO79" s="86" t="str">
        <f t="shared" si="102"/>
        <v/>
      </c>
      <c r="AQ79" s="33" t="str">
        <f t="shared" si="80"/>
        <v/>
      </c>
      <c r="AR79" s="30" t="str">
        <f t="shared" si="81"/>
        <v/>
      </c>
      <c r="AU79" s="20">
        <f t="shared" si="82"/>
        <v>0</v>
      </c>
      <c r="AV79" s="20">
        <f t="shared" si="83"/>
        <v>0</v>
      </c>
      <c r="AW79" s="19">
        <f t="shared" si="89"/>
        <v>0</v>
      </c>
      <c r="AX79" s="19">
        <f t="shared" si="90"/>
        <v>0</v>
      </c>
      <c r="AY79" s="19">
        <f t="shared" si="91"/>
        <v>0</v>
      </c>
      <c r="AZ79" s="19">
        <f t="shared" si="92"/>
        <v>0</v>
      </c>
      <c r="BA79" s="19">
        <f t="shared" si="93"/>
        <v>0</v>
      </c>
      <c r="BB79" s="19">
        <f t="shared" si="94"/>
        <v>0</v>
      </c>
      <c r="BC79" s="19">
        <f t="shared" si="95"/>
        <v>0</v>
      </c>
      <c r="BD79" s="19">
        <f>-IF(CUSTOS!B79="",0,CUSTOS!B79)</f>
        <v>0</v>
      </c>
      <c r="BF79" s="20">
        <f t="shared" si="96"/>
        <v>0</v>
      </c>
      <c r="BG79" s="20">
        <f t="shared" si="97"/>
        <v>0</v>
      </c>
      <c r="BH79" s="116">
        <f t="shared" si="97"/>
        <v>0</v>
      </c>
    </row>
    <row r="80" spans="1:60" ht="15" x14ac:dyDescent="0.25">
      <c r="A80" s="66" t="str">
        <f>IF(LARGE($A$11:A79,1)=$F$2,"",A79+1)</f>
        <v/>
      </c>
      <c r="B80" s="27" t="str">
        <f t="shared" si="56"/>
        <v/>
      </c>
      <c r="C80" s="28" t="str">
        <f t="shared" si="84"/>
        <v/>
      </c>
      <c r="D80" s="28" t="str">
        <f t="shared" si="57"/>
        <v/>
      </c>
      <c r="E80" s="28" t="str">
        <f t="shared" si="58"/>
        <v/>
      </c>
      <c r="F80" s="29" t="str">
        <f t="shared" si="59"/>
        <v/>
      </c>
      <c r="G80" s="29" t="str">
        <f t="shared" si="60"/>
        <v/>
      </c>
      <c r="H80" s="30" t="str">
        <f t="shared" si="61"/>
        <v/>
      </c>
      <c r="I80" s="30" t="str">
        <f t="shared" si="62"/>
        <v/>
      </c>
      <c r="J80" s="30" t="str">
        <f>IF(A80="","",H80+CUSTOS!B80)</f>
        <v/>
      </c>
      <c r="K80" s="30" t="str">
        <f t="shared" si="85"/>
        <v/>
      </c>
      <c r="L80" s="30" t="str">
        <f t="shared" si="86"/>
        <v/>
      </c>
      <c r="M80" s="30" t="str">
        <f t="shared" si="87"/>
        <v/>
      </c>
      <c r="N80" s="30" t="str">
        <f t="shared" si="63"/>
        <v/>
      </c>
      <c r="O80" s="31" t="str">
        <f t="shared" si="88"/>
        <v/>
      </c>
      <c r="P80" s="32"/>
      <c r="Q80" s="33" t="str">
        <f t="shared" si="64"/>
        <v/>
      </c>
      <c r="R80" s="33" t="str">
        <f t="shared" si="65"/>
        <v/>
      </c>
      <c r="S80" s="33" t="str">
        <f t="shared" si="66"/>
        <v/>
      </c>
      <c r="T80" s="33" t="str">
        <f t="shared" si="67"/>
        <v/>
      </c>
      <c r="U80" s="33" t="str">
        <f t="shared" si="68"/>
        <v/>
      </c>
      <c r="V80" s="33" t="str">
        <f t="shared" si="69"/>
        <v/>
      </c>
      <c r="X80" s="33" t="str">
        <f t="shared" si="70"/>
        <v/>
      </c>
      <c r="Y80" s="30" t="str">
        <f t="shared" si="71"/>
        <v/>
      </c>
      <c r="Z80" s="30" t="str">
        <f t="shared" si="72"/>
        <v/>
      </c>
      <c r="AA80" s="30" t="str">
        <f t="shared" si="73"/>
        <v/>
      </c>
      <c r="AB80" s="30" t="str">
        <f t="shared" si="74"/>
        <v/>
      </c>
      <c r="AD80" s="33" t="str">
        <f t="shared" si="75"/>
        <v/>
      </c>
      <c r="AE80" s="30" t="str">
        <f t="shared" si="76"/>
        <v/>
      </c>
      <c r="AF80" s="30" t="str">
        <f t="shared" si="77"/>
        <v/>
      </c>
      <c r="AG80" s="30" t="str">
        <f t="shared" si="78"/>
        <v/>
      </c>
      <c r="AH80" s="30" t="str">
        <f t="shared" si="79"/>
        <v/>
      </c>
      <c r="AJ80" s="85" t="str">
        <f t="shared" si="55"/>
        <v/>
      </c>
      <c r="AK80" s="86" t="str">
        <f t="shared" si="98"/>
        <v/>
      </c>
      <c r="AL80" s="86" t="str">
        <f t="shared" si="99"/>
        <v/>
      </c>
      <c r="AM80" s="86" t="str">
        <f t="shared" si="100"/>
        <v/>
      </c>
      <c r="AN80" s="86" t="str">
        <f t="shared" si="101"/>
        <v/>
      </c>
      <c r="AO80" s="86" t="str">
        <f t="shared" si="102"/>
        <v/>
      </c>
      <c r="AQ80" s="33" t="str">
        <f t="shared" si="80"/>
        <v/>
      </c>
      <c r="AR80" s="30" t="str">
        <f t="shared" si="81"/>
        <v/>
      </c>
      <c r="AU80" s="20">
        <f t="shared" si="82"/>
        <v>0</v>
      </c>
      <c r="AV80" s="20">
        <f t="shared" si="83"/>
        <v>0</v>
      </c>
      <c r="AW80" s="19">
        <f t="shared" si="89"/>
        <v>0</v>
      </c>
      <c r="AX80" s="19">
        <f t="shared" si="90"/>
        <v>0</v>
      </c>
      <c r="AY80" s="19">
        <f t="shared" si="91"/>
        <v>0</v>
      </c>
      <c r="AZ80" s="19">
        <f t="shared" si="92"/>
        <v>0</v>
      </c>
      <c r="BA80" s="19">
        <f t="shared" si="93"/>
        <v>0</v>
      </c>
      <c r="BB80" s="19">
        <f t="shared" si="94"/>
        <v>0</v>
      </c>
      <c r="BC80" s="19">
        <f t="shared" si="95"/>
        <v>0</v>
      </c>
      <c r="BD80" s="19">
        <f>-IF(CUSTOS!B80="",0,CUSTOS!B80)</f>
        <v>0</v>
      </c>
      <c r="BF80" s="20">
        <f t="shared" si="96"/>
        <v>0</v>
      </c>
      <c r="BG80" s="20">
        <f t="shared" si="97"/>
        <v>0</v>
      </c>
      <c r="BH80" s="116">
        <f t="shared" si="97"/>
        <v>0</v>
      </c>
    </row>
    <row r="81" spans="1:60" ht="15" x14ac:dyDescent="0.25">
      <c r="A81" s="66" t="str">
        <f>IF(LARGE($A$11:A80,1)=$F$2,"",A80+1)</f>
        <v/>
      </c>
      <c r="B81" s="27" t="str">
        <f t="shared" si="56"/>
        <v/>
      </c>
      <c r="C81" s="28" t="str">
        <f t="shared" si="84"/>
        <v/>
      </c>
      <c r="D81" s="28" t="str">
        <f t="shared" si="57"/>
        <v/>
      </c>
      <c r="E81" s="28" t="str">
        <f t="shared" si="58"/>
        <v/>
      </c>
      <c r="F81" s="29" t="str">
        <f t="shared" si="59"/>
        <v/>
      </c>
      <c r="G81" s="29" t="str">
        <f t="shared" si="60"/>
        <v/>
      </c>
      <c r="H81" s="30" t="str">
        <f t="shared" si="61"/>
        <v/>
      </c>
      <c r="I81" s="30" t="str">
        <f t="shared" si="62"/>
        <v/>
      </c>
      <c r="J81" s="30" t="str">
        <f>IF(A81="","",H81+CUSTOS!B81)</f>
        <v/>
      </c>
      <c r="K81" s="30" t="str">
        <f t="shared" si="85"/>
        <v/>
      </c>
      <c r="L81" s="30" t="str">
        <f t="shared" si="86"/>
        <v/>
      </c>
      <c r="M81" s="30" t="str">
        <f t="shared" si="87"/>
        <v/>
      </c>
      <c r="N81" s="30" t="str">
        <f t="shared" si="63"/>
        <v/>
      </c>
      <c r="O81" s="31" t="str">
        <f t="shared" si="88"/>
        <v/>
      </c>
      <c r="P81" s="32"/>
      <c r="Q81" s="33" t="str">
        <f t="shared" si="64"/>
        <v/>
      </c>
      <c r="R81" s="33" t="str">
        <f t="shared" si="65"/>
        <v/>
      </c>
      <c r="S81" s="33" t="str">
        <f t="shared" si="66"/>
        <v/>
      </c>
      <c r="T81" s="33" t="str">
        <f t="shared" si="67"/>
        <v/>
      </c>
      <c r="U81" s="33" t="str">
        <f t="shared" si="68"/>
        <v/>
      </c>
      <c r="V81" s="33" t="str">
        <f t="shared" si="69"/>
        <v/>
      </c>
      <c r="X81" s="33" t="str">
        <f t="shared" si="70"/>
        <v/>
      </c>
      <c r="Y81" s="30" t="str">
        <f t="shared" si="71"/>
        <v/>
      </c>
      <c r="Z81" s="30" t="str">
        <f t="shared" si="72"/>
        <v/>
      </c>
      <c r="AA81" s="30" t="str">
        <f t="shared" si="73"/>
        <v/>
      </c>
      <c r="AB81" s="30" t="str">
        <f t="shared" si="74"/>
        <v/>
      </c>
      <c r="AD81" s="33" t="str">
        <f t="shared" si="75"/>
        <v/>
      </c>
      <c r="AE81" s="30" t="str">
        <f t="shared" si="76"/>
        <v/>
      </c>
      <c r="AF81" s="30" t="str">
        <f t="shared" si="77"/>
        <v/>
      </c>
      <c r="AG81" s="30" t="str">
        <f t="shared" si="78"/>
        <v/>
      </c>
      <c r="AH81" s="30" t="str">
        <f t="shared" si="79"/>
        <v/>
      </c>
      <c r="AJ81" s="85" t="str">
        <f t="shared" si="55"/>
        <v/>
      </c>
      <c r="AK81" s="86" t="str">
        <f t="shared" si="98"/>
        <v/>
      </c>
      <c r="AL81" s="86" t="str">
        <f t="shared" si="99"/>
        <v/>
      </c>
      <c r="AM81" s="86" t="str">
        <f t="shared" si="100"/>
        <v/>
      </c>
      <c r="AN81" s="86" t="str">
        <f t="shared" si="101"/>
        <v/>
      </c>
      <c r="AO81" s="86" t="str">
        <f t="shared" si="102"/>
        <v/>
      </c>
      <c r="AQ81" s="33" t="str">
        <f t="shared" si="80"/>
        <v/>
      </c>
      <c r="AR81" s="30" t="str">
        <f t="shared" si="81"/>
        <v/>
      </c>
      <c r="AU81" s="20">
        <f t="shared" si="82"/>
        <v>0</v>
      </c>
      <c r="AV81" s="20">
        <f t="shared" si="83"/>
        <v>0</v>
      </c>
      <c r="AW81" s="19">
        <f t="shared" si="89"/>
        <v>0</v>
      </c>
      <c r="AX81" s="19">
        <f t="shared" si="90"/>
        <v>0</v>
      </c>
      <c r="AY81" s="19">
        <f t="shared" si="91"/>
        <v>0</v>
      </c>
      <c r="AZ81" s="19">
        <f t="shared" si="92"/>
        <v>0</v>
      </c>
      <c r="BA81" s="19">
        <f t="shared" si="93"/>
        <v>0</v>
      </c>
      <c r="BB81" s="19">
        <f t="shared" si="94"/>
        <v>0</v>
      </c>
      <c r="BC81" s="19">
        <f t="shared" si="95"/>
        <v>0</v>
      </c>
      <c r="BD81" s="19">
        <f>-IF(CUSTOS!B81="",0,CUSTOS!B81)</f>
        <v>0</v>
      </c>
      <c r="BF81" s="20">
        <f t="shared" si="96"/>
        <v>0</v>
      </c>
      <c r="BG81" s="20">
        <f t="shared" si="97"/>
        <v>0</v>
      </c>
      <c r="BH81" s="116">
        <f t="shared" si="97"/>
        <v>0</v>
      </c>
    </row>
    <row r="82" spans="1:60" ht="15" x14ac:dyDescent="0.25">
      <c r="A82" s="66" t="str">
        <f>IF(LARGE($A$11:A81,1)=$F$2,"",A81+1)</f>
        <v/>
      </c>
      <c r="B82" s="27" t="str">
        <f t="shared" si="56"/>
        <v/>
      </c>
      <c r="C82" s="28" t="str">
        <f t="shared" si="84"/>
        <v/>
      </c>
      <c r="D82" s="28" t="str">
        <f t="shared" si="57"/>
        <v/>
      </c>
      <c r="E82" s="28" t="str">
        <f t="shared" si="58"/>
        <v/>
      </c>
      <c r="F82" s="29" t="str">
        <f t="shared" si="59"/>
        <v/>
      </c>
      <c r="G82" s="29" t="str">
        <f t="shared" si="60"/>
        <v/>
      </c>
      <c r="H82" s="30" t="str">
        <f t="shared" si="61"/>
        <v/>
      </c>
      <c r="I82" s="30" t="str">
        <f t="shared" si="62"/>
        <v/>
      </c>
      <c r="J82" s="30" t="str">
        <f>IF(A82="","",H82+CUSTOS!B82)</f>
        <v/>
      </c>
      <c r="K82" s="30" t="str">
        <f t="shared" si="85"/>
        <v/>
      </c>
      <c r="L82" s="30" t="str">
        <f t="shared" si="86"/>
        <v/>
      </c>
      <c r="M82" s="30" t="str">
        <f t="shared" si="87"/>
        <v/>
      </c>
      <c r="N82" s="30" t="str">
        <f t="shared" si="63"/>
        <v/>
      </c>
      <c r="O82" s="31" t="str">
        <f t="shared" si="88"/>
        <v/>
      </c>
      <c r="P82" s="32"/>
      <c r="Q82" s="33" t="str">
        <f t="shared" si="64"/>
        <v/>
      </c>
      <c r="R82" s="33" t="str">
        <f t="shared" si="65"/>
        <v/>
      </c>
      <c r="S82" s="33" t="str">
        <f t="shared" si="66"/>
        <v/>
      </c>
      <c r="T82" s="33" t="str">
        <f t="shared" si="67"/>
        <v/>
      </c>
      <c r="U82" s="33" t="str">
        <f t="shared" si="68"/>
        <v/>
      </c>
      <c r="V82" s="33" t="str">
        <f t="shared" si="69"/>
        <v/>
      </c>
      <c r="X82" s="33" t="str">
        <f t="shared" si="70"/>
        <v/>
      </c>
      <c r="Y82" s="30" t="str">
        <f t="shared" si="71"/>
        <v/>
      </c>
      <c r="Z82" s="30" t="str">
        <f t="shared" si="72"/>
        <v/>
      </c>
      <c r="AA82" s="30" t="str">
        <f t="shared" si="73"/>
        <v/>
      </c>
      <c r="AB82" s="30" t="str">
        <f t="shared" si="74"/>
        <v/>
      </c>
      <c r="AD82" s="33" t="str">
        <f t="shared" si="75"/>
        <v/>
      </c>
      <c r="AE82" s="30" t="str">
        <f t="shared" si="76"/>
        <v/>
      </c>
      <c r="AF82" s="30" t="str">
        <f t="shared" si="77"/>
        <v/>
      </c>
      <c r="AG82" s="30" t="str">
        <f t="shared" si="78"/>
        <v/>
      </c>
      <c r="AH82" s="30" t="str">
        <f t="shared" si="79"/>
        <v/>
      </c>
      <c r="AJ82" s="85" t="str">
        <f t="shared" si="55"/>
        <v/>
      </c>
      <c r="AK82" s="86" t="str">
        <f t="shared" si="98"/>
        <v/>
      </c>
      <c r="AL82" s="86" t="str">
        <f t="shared" si="99"/>
        <v/>
      </c>
      <c r="AM82" s="86" t="str">
        <f t="shared" si="100"/>
        <v/>
      </c>
      <c r="AN82" s="86" t="str">
        <f t="shared" si="101"/>
        <v/>
      </c>
      <c r="AO82" s="86" t="str">
        <f t="shared" si="102"/>
        <v/>
      </c>
      <c r="AQ82" s="33" t="str">
        <f t="shared" si="80"/>
        <v/>
      </c>
      <c r="AR82" s="30" t="str">
        <f t="shared" si="81"/>
        <v/>
      </c>
      <c r="AU82" s="20">
        <f t="shared" si="82"/>
        <v>0</v>
      </c>
      <c r="AV82" s="20">
        <f t="shared" si="83"/>
        <v>0</v>
      </c>
      <c r="AW82" s="19">
        <f t="shared" si="89"/>
        <v>0</v>
      </c>
      <c r="AX82" s="19">
        <f t="shared" si="90"/>
        <v>0</v>
      </c>
      <c r="AY82" s="19">
        <f t="shared" si="91"/>
        <v>0</v>
      </c>
      <c r="AZ82" s="19">
        <f t="shared" si="92"/>
        <v>0</v>
      </c>
      <c r="BA82" s="19">
        <f t="shared" si="93"/>
        <v>0</v>
      </c>
      <c r="BB82" s="19">
        <f t="shared" si="94"/>
        <v>0</v>
      </c>
      <c r="BC82" s="19">
        <f t="shared" si="95"/>
        <v>0</v>
      </c>
      <c r="BD82" s="19">
        <f>-IF(CUSTOS!B82="",0,CUSTOS!B82)</f>
        <v>0</v>
      </c>
      <c r="BF82" s="20">
        <f t="shared" si="96"/>
        <v>0</v>
      </c>
      <c r="BG82" s="20">
        <f t="shared" si="97"/>
        <v>0</v>
      </c>
      <c r="BH82" s="116">
        <f t="shared" si="97"/>
        <v>0</v>
      </c>
    </row>
    <row r="83" spans="1:60" ht="15" x14ac:dyDescent="0.25">
      <c r="A83" s="66" t="str">
        <f>IF(LARGE($A$11:A82,1)=$F$2,"",A82+1)</f>
        <v/>
      </c>
      <c r="B83" s="27" t="str">
        <f t="shared" si="56"/>
        <v/>
      </c>
      <c r="C83" s="28" t="str">
        <f t="shared" si="84"/>
        <v/>
      </c>
      <c r="D83" s="28" t="str">
        <f t="shared" si="57"/>
        <v/>
      </c>
      <c r="E83" s="28" t="str">
        <f t="shared" si="58"/>
        <v/>
      </c>
      <c r="F83" s="29" t="str">
        <f t="shared" si="59"/>
        <v/>
      </c>
      <c r="G83" s="29" t="str">
        <f t="shared" si="60"/>
        <v/>
      </c>
      <c r="H83" s="30" t="str">
        <f t="shared" si="61"/>
        <v/>
      </c>
      <c r="I83" s="30" t="str">
        <f t="shared" si="62"/>
        <v/>
      </c>
      <c r="J83" s="30" t="str">
        <f>IF(A83="","",H83+CUSTOS!B83)</f>
        <v/>
      </c>
      <c r="K83" s="30" t="str">
        <f t="shared" si="85"/>
        <v/>
      </c>
      <c r="L83" s="30" t="str">
        <f t="shared" si="86"/>
        <v/>
      </c>
      <c r="M83" s="30" t="str">
        <f t="shared" si="87"/>
        <v/>
      </c>
      <c r="N83" s="30" t="str">
        <f t="shared" si="63"/>
        <v/>
      </c>
      <c r="O83" s="31" t="str">
        <f t="shared" si="88"/>
        <v/>
      </c>
      <c r="P83" s="32"/>
      <c r="Q83" s="33" t="str">
        <f t="shared" si="64"/>
        <v/>
      </c>
      <c r="R83" s="33" t="str">
        <f t="shared" si="65"/>
        <v/>
      </c>
      <c r="S83" s="33" t="str">
        <f t="shared" si="66"/>
        <v/>
      </c>
      <c r="T83" s="33" t="str">
        <f t="shared" si="67"/>
        <v/>
      </c>
      <c r="U83" s="33" t="str">
        <f t="shared" si="68"/>
        <v/>
      </c>
      <c r="V83" s="33" t="str">
        <f t="shared" si="69"/>
        <v/>
      </c>
      <c r="X83" s="33" t="str">
        <f t="shared" si="70"/>
        <v/>
      </c>
      <c r="Y83" s="30" t="str">
        <f t="shared" si="71"/>
        <v/>
      </c>
      <c r="Z83" s="30" t="str">
        <f t="shared" si="72"/>
        <v/>
      </c>
      <c r="AA83" s="30" t="str">
        <f t="shared" si="73"/>
        <v/>
      </c>
      <c r="AB83" s="30" t="str">
        <f t="shared" si="74"/>
        <v/>
      </c>
      <c r="AD83" s="33" t="str">
        <f t="shared" si="75"/>
        <v/>
      </c>
      <c r="AE83" s="30" t="str">
        <f t="shared" si="76"/>
        <v/>
      </c>
      <c r="AF83" s="30" t="str">
        <f t="shared" si="77"/>
        <v/>
      </c>
      <c r="AG83" s="30" t="str">
        <f t="shared" si="78"/>
        <v/>
      </c>
      <c r="AH83" s="30" t="str">
        <f t="shared" si="79"/>
        <v/>
      </c>
      <c r="AJ83" s="85" t="str">
        <f t="shared" si="55"/>
        <v/>
      </c>
      <c r="AK83" s="86" t="str">
        <f t="shared" si="98"/>
        <v/>
      </c>
      <c r="AL83" s="86" t="str">
        <f t="shared" si="99"/>
        <v/>
      </c>
      <c r="AM83" s="86" t="str">
        <f t="shared" si="100"/>
        <v/>
      </c>
      <c r="AN83" s="86" t="str">
        <f t="shared" si="101"/>
        <v/>
      </c>
      <c r="AO83" s="86" t="str">
        <f t="shared" si="102"/>
        <v/>
      </c>
      <c r="AQ83" s="33" t="str">
        <f t="shared" si="80"/>
        <v/>
      </c>
      <c r="AR83" s="30" t="str">
        <f t="shared" si="81"/>
        <v/>
      </c>
      <c r="AU83" s="20">
        <f t="shared" si="82"/>
        <v>0</v>
      </c>
      <c r="AV83" s="20">
        <f t="shared" si="83"/>
        <v>0</v>
      </c>
      <c r="AW83" s="19">
        <f t="shared" si="89"/>
        <v>0</v>
      </c>
      <c r="AX83" s="19">
        <f t="shared" si="90"/>
        <v>0</v>
      </c>
      <c r="AY83" s="19">
        <f t="shared" si="91"/>
        <v>0</v>
      </c>
      <c r="AZ83" s="19">
        <f t="shared" si="92"/>
        <v>0</v>
      </c>
      <c r="BA83" s="19">
        <f t="shared" si="93"/>
        <v>0</v>
      </c>
      <c r="BB83" s="19">
        <f t="shared" si="94"/>
        <v>0</v>
      </c>
      <c r="BC83" s="19">
        <f t="shared" si="95"/>
        <v>0</v>
      </c>
      <c r="BD83" s="19">
        <f>-IF(CUSTOS!B83="",0,CUSTOS!B83)</f>
        <v>0</v>
      </c>
      <c r="BF83" s="20">
        <f t="shared" si="96"/>
        <v>0</v>
      </c>
      <c r="BG83" s="20">
        <f t="shared" si="97"/>
        <v>0</v>
      </c>
      <c r="BH83" s="116">
        <f t="shared" si="97"/>
        <v>0</v>
      </c>
    </row>
    <row r="84" spans="1:60" ht="15" x14ac:dyDescent="0.25">
      <c r="A84" s="66" t="str">
        <f>IF(LARGE($A$11:A83,1)=$F$2,"",A83+1)</f>
        <v/>
      </c>
      <c r="B84" s="27" t="str">
        <f t="shared" si="56"/>
        <v/>
      </c>
      <c r="C84" s="28" t="str">
        <f t="shared" si="84"/>
        <v/>
      </c>
      <c r="D84" s="28" t="str">
        <f t="shared" si="57"/>
        <v/>
      </c>
      <c r="E84" s="28" t="str">
        <f t="shared" si="58"/>
        <v/>
      </c>
      <c r="F84" s="29" t="str">
        <f t="shared" si="59"/>
        <v/>
      </c>
      <c r="G84" s="29" t="str">
        <f t="shared" si="60"/>
        <v/>
      </c>
      <c r="H84" s="30" t="str">
        <f t="shared" si="61"/>
        <v/>
      </c>
      <c r="I84" s="30" t="str">
        <f t="shared" si="62"/>
        <v/>
      </c>
      <c r="J84" s="30" t="str">
        <f>IF(A84="","",H84+CUSTOS!B84)</f>
        <v/>
      </c>
      <c r="K84" s="30" t="str">
        <f t="shared" si="85"/>
        <v/>
      </c>
      <c r="L84" s="30" t="str">
        <f t="shared" si="86"/>
        <v/>
      </c>
      <c r="M84" s="30" t="str">
        <f t="shared" si="87"/>
        <v/>
      </c>
      <c r="N84" s="30" t="str">
        <f t="shared" si="63"/>
        <v/>
      </c>
      <c r="O84" s="31" t="str">
        <f t="shared" si="88"/>
        <v/>
      </c>
      <c r="P84" s="32"/>
      <c r="Q84" s="33" t="str">
        <f t="shared" si="64"/>
        <v/>
      </c>
      <c r="R84" s="33" t="str">
        <f t="shared" si="65"/>
        <v/>
      </c>
      <c r="S84" s="33" t="str">
        <f t="shared" si="66"/>
        <v/>
      </c>
      <c r="T84" s="33" t="str">
        <f t="shared" si="67"/>
        <v/>
      </c>
      <c r="U84" s="33" t="str">
        <f t="shared" si="68"/>
        <v/>
      </c>
      <c r="V84" s="33" t="str">
        <f t="shared" si="69"/>
        <v/>
      </c>
      <c r="X84" s="33" t="str">
        <f t="shared" si="70"/>
        <v/>
      </c>
      <c r="Y84" s="30" t="str">
        <f t="shared" si="71"/>
        <v/>
      </c>
      <c r="Z84" s="30" t="str">
        <f t="shared" si="72"/>
        <v/>
      </c>
      <c r="AA84" s="30" t="str">
        <f t="shared" si="73"/>
        <v/>
      </c>
      <c r="AB84" s="30" t="str">
        <f t="shared" si="74"/>
        <v/>
      </c>
      <c r="AD84" s="33" t="str">
        <f t="shared" si="75"/>
        <v/>
      </c>
      <c r="AE84" s="30" t="str">
        <f t="shared" si="76"/>
        <v/>
      </c>
      <c r="AF84" s="30" t="str">
        <f t="shared" si="77"/>
        <v/>
      </c>
      <c r="AG84" s="30" t="str">
        <f t="shared" si="78"/>
        <v/>
      </c>
      <c r="AH84" s="30" t="str">
        <f t="shared" si="79"/>
        <v/>
      </c>
      <c r="AJ84" s="85" t="str">
        <f t="shared" si="55"/>
        <v/>
      </c>
      <c r="AK84" s="86" t="str">
        <f t="shared" si="98"/>
        <v/>
      </c>
      <c r="AL84" s="86" t="str">
        <f t="shared" si="99"/>
        <v/>
      </c>
      <c r="AM84" s="86" t="str">
        <f t="shared" si="100"/>
        <v/>
      </c>
      <c r="AN84" s="86" t="str">
        <f t="shared" si="101"/>
        <v/>
      </c>
      <c r="AO84" s="86" t="str">
        <f t="shared" si="102"/>
        <v/>
      </c>
      <c r="AQ84" s="33" t="str">
        <f t="shared" si="80"/>
        <v/>
      </c>
      <c r="AR84" s="30" t="str">
        <f t="shared" si="81"/>
        <v/>
      </c>
      <c r="AU84" s="20">
        <f t="shared" si="82"/>
        <v>0</v>
      </c>
      <c r="AV84" s="20">
        <f t="shared" si="83"/>
        <v>0</v>
      </c>
      <c r="AW84" s="19">
        <f t="shared" si="89"/>
        <v>0</v>
      </c>
      <c r="AX84" s="19">
        <f t="shared" si="90"/>
        <v>0</v>
      </c>
      <c r="AY84" s="19">
        <f t="shared" si="91"/>
        <v>0</v>
      </c>
      <c r="AZ84" s="19">
        <f t="shared" si="92"/>
        <v>0</v>
      </c>
      <c r="BA84" s="19">
        <f t="shared" si="93"/>
        <v>0</v>
      </c>
      <c r="BB84" s="19">
        <f t="shared" si="94"/>
        <v>0</v>
      </c>
      <c r="BC84" s="19">
        <f t="shared" si="95"/>
        <v>0</v>
      </c>
      <c r="BD84" s="19">
        <f>-IF(CUSTOS!B84="",0,CUSTOS!B84)</f>
        <v>0</v>
      </c>
      <c r="BF84" s="20">
        <f t="shared" si="96"/>
        <v>0</v>
      </c>
      <c r="BG84" s="20">
        <f t="shared" si="97"/>
        <v>0</v>
      </c>
      <c r="BH84" s="116">
        <f t="shared" si="97"/>
        <v>0</v>
      </c>
    </row>
    <row r="85" spans="1:60" ht="15" x14ac:dyDescent="0.25">
      <c r="A85" s="66" t="str">
        <f>IF(LARGE($A$11:A84,1)=$F$2,"",A84+1)</f>
        <v/>
      </c>
      <c r="B85" s="27" t="str">
        <f t="shared" si="56"/>
        <v/>
      </c>
      <c r="C85" s="28" t="str">
        <f t="shared" si="84"/>
        <v/>
      </c>
      <c r="D85" s="28" t="str">
        <f t="shared" si="57"/>
        <v/>
      </c>
      <c r="E85" s="28" t="str">
        <f t="shared" si="58"/>
        <v/>
      </c>
      <c r="F85" s="29" t="str">
        <f t="shared" si="59"/>
        <v/>
      </c>
      <c r="G85" s="29" t="str">
        <f t="shared" si="60"/>
        <v/>
      </c>
      <c r="H85" s="30" t="str">
        <f t="shared" si="61"/>
        <v/>
      </c>
      <c r="I85" s="30" t="str">
        <f t="shared" si="62"/>
        <v/>
      </c>
      <c r="J85" s="30" t="str">
        <f>IF(A85="","",H85+CUSTOS!B85)</f>
        <v/>
      </c>
      <c r="K85" s="30" t="str">
        <f t="shared" si="85"/>
        <v/>
      </c>
      <c r="L85" s="30" t="str">
        <f t="shared" si="86"/>
        <v/>
      </c>
      <c r="M85" s="30" t="str">
        <f t="shared" si="87"/>
        <v/>
      </c>
      <c r="N85" s="30" t="str">
        <f t="shared" si="63"/>
        <v/>
      </c>
      <c r="O85" s="31" t="str">
        <f t="shared" si="88"/>
        <v/>
      </c>
      <c r="P85" s="32"/>
      <c r="Q85" s="33" t="str">
        <f t="shared" si="64"/>
        <v/>
      </c>
      <c r="R85" s="33" t="str">
        <f t="shared" si="65"/>
        <v/>
      </c>
      <c r="S85" s="33" t="str">
        <f t="shared" si="66"/>
        <v/>
      </c>
      <c r="T85" s="33" t="str">
        <f t="shared" si="67"/>
        <v/>
      </c>
      <c r="U85" s="33" t="str">
        <f t="shared" si="68"/>
        <v/>
      </c>
      <c r="V85" s="33" t="str">
        <f t="shared" si="69"/>
        <v/>
      </c>
      <c r="X85" s="33" t="str">
        <f t="shared" si="70"/>
        <v/>
      </c>
      <c r="Y85" s="30" t="str">
        <f t="shared" si="71"/>
        <v/>
      </c>
      <c r="Z85" s="30" t="str">
        <f t="shared" si="72"/>
        <v/>
      </c>
      <c r="AA85" s="30" t="str">
        <f t="shared" si="73"/>
        <v/>
      </c>
      <c r="AB85" s="30" t="str">
        <f t="shared" si="74"/>
        <v/>
      </c>
      <c r="AD85" s="33" t="str">
        <f t="shared" si="75"/>
        <v/>
      </c>
      <c r="AE85" s="30" t="str">
        <f t="shared" si="76"/>
        <v/>
      </c>
      <c r="AF85" s="30" t="str">
        <f t="shared" si="77"/>
        <v/>
      </c>
      <c r="AG85" s="30" t="str">
        <f t="shared" si="78"/>
        <v/>
      </c>
      <c r="AH85" s="30" t="str">
        <f t="shared" si="79"/>
        <v/>
      </c>
      <c r="AJ85" s="85" t="str">
        <f t="shared" si="55"/>
        <v/>
      </c>
      <c r="AK85" s="86" t="str">
        <f t="shared" si="98"/>
        <v/>
      </c>
      <c r="AL85" s="86" t="str">
        <f t="shared" si="99"/>
        <v/>
      </c>
      <c r="AM85" s="86" t="str">
        <f t="shared" si="100"/>
        <v/>
      </c>
      <c r="AN85" s="86" t="str">
        <f t="shared" si="101"/>
        <v/>
      </c>
      <c r="AO85" s="86" t="str">
        <f t="shared" si="102"/>
        <v/>
      </c>
      <c r="AQ85" s="33" t="str">
        <f t="shared" si="80"/>
        <v/>
      </c>
      <c r="AR85" s="30" t="str">
        <f t="shared" si="81"/>
        <v/>
      </c>
      <c r="AU85" s="20">
        <f t="shared" si="82"/>
        <v>0</v>
      </c>
      <c r="AV85" s="20">
        <f t="shared" si="83"/>
        <v>0</v>
      </c>
      <c r="AW85" s="19">
        <f t="shared" si="89"/>
        <v>0</v>
      </c>
      <c r="AX85" s="19">
        <f t="shared" si="90"/>
        <v>0</v>
      </c>
      <c r="AY85" s="19">
        <f t="shared" si="91"/>
        <v>0</v>
      </c>
      <c r="AZ85" s="19">
        <f t="shared" si="92"/>
        <v>0</v>
      </c>
      <c r="BA85" s="19">
        <f t="shared" si="93"/>
        <v>0</v>
      </c>
      <c r="BB85" s="19">
        <f t="shared" si="94"/>
        <v>0</v>
      </c>
      <c r="BC85" s="19">
        <f t="shared" si="95"/>
        <v>0</v>
      </c>
      <c r="BD85" s="19">
        <f>-IF(CUSTOS!B85="",0,CUSTOS!B85)</f>
        <v>0</v>
      </c>
      <c r="BF85" s="20">
        <f t="shared" si="96"/>
        <v>0</v>
      </c>
      <c r="BG85" s="20">
        <f t="shared" si="97"/>
        <v>0</v>
      </c>
      <c r="BH85" s="116">
        <f t="shared" si="97"/>
        <v>0</v>
      </c>
    </row>
    <row r="86" spans="1:60" ht="15" x14ac:dyDescent="0.25">
      <c r="A86" s="66" t="str">
        <f>IF(LARGE($A$11:A85,1)=$F$2,"",A85+1)</f>
        <v/>
      </c>
      <c r="B86" s="27" t="str">
        <f t="shared" si="56"/>
        <v/>
      </c>
      <c r="C86" s="28" t="str">
        <f t="shared" si="84"/>
        <v/>
      </c>
      <c r="D86" s="28" t="str">
        <f t="shared" si="57"/>
        <v/>
      </c>
      <c r="E86" s="28" t="str">
        <f t="shared" si="58"/>
        <v/>
      </c>
      <c r="F86" s="29" t="str">
        <f t="shared" si="59"/>
        <v/>
      </c>
      <c r="G86" s="29" t="str">
        <f t="shared" si="60"/>
        <v/>
      </c>
      <c r="H86" s="30" t="str">
        <f t="shared" si="61"/>
        <v/>
      </c>
      <c r="I86" s="30" t="str">
        <f t="shared" si="62"/>
        <v/>
      </c>
      <c r="J86" s="30" t="str">
        <f>IF(A86="","",H86+CUSTOS!B86)</f>
        <v/>
      </c>
      <c r="K86" s="30" t="str">
        <f t="shared" si="85"/>
        <v/>
      </c>
      <c r="L86" s="30" t="str">
        <f t="shared" si="86"/>
        <v/>
      </c>
      <c r="M86" s="30" t="str">
        <f t="shared" si="87"/>
        <v/>
      </c>
      <c r="N86" s="30" t="str">
        <f t="shared" si="63"/>
        <v/>
      </c>
      <c r="O86" s="31" t="str">
        <f t="shared" si="88"/>
        <v/>
      </c>
      <c r="P86" s="32"/>
      <c r="Q86" s="33" t="str">
        <f t="shared" si="64"/>
        <v/>
      </c>
      <c r="R86" s="33" t="str">
        <f t="shared" si="65"/>
        <v/>
      </c>
      <c r="S86" s="33" t="str">
        <f t="shared" si="66"/>
        <v/>
      </c>
      <c r="T86" s="33" t="str">
        <f t="shared" si="67"/>
        <v/>
      </c>
      <c r="U86" s="33" t="str">
        <f t="shared" si="68"/>
        <v/>
      </c>
      <c r="V86" s="33" t="str">
        <f t="shared" si="69"/>
        <v/>
      </c>
      <c r="X86" s="33" t="str">
        <f t="shared" si="70"/>
        <v/>
      </c>
      <c r="Y86" s="30" t="str">
        <f t="shared" si="71"/>
        <v/>
      </c>
      <c r="Z86" s="30" t="str">
        <f t="shared" si="72"/>
        <v/>
      </c>
      <c r="AA86" s="30" t="str">
        <f t="shared" si="73"/>
        <v/>
      </c>
      <c r="AB86" s="30" t="str">
        <f t="shared" si="74"/>
        <v/>
      </c>
      <c r="AD86" s="33" t="str">
        <f t="shared" si="75"/>
        <v/>
      </c>
      <c r="AE86" s="30" t="str">
        <f t="shared" si="76"/>
        <v/>
      </c>
      <c r="AF86" s="30" t="str">
        <f t="shared" si="77"/>
        <v/>
      </c>
      <c r="AG86" s="30" t="str">
        <f t="shared" si="78"/>
        <v/>
      </c>
      <c r="AH86" s="30" t="str">
        <f t="shared" si="79"/>
        <v/>
      </c>
      <c r="AJ86" s="85" t="str">
        <f t="shared" si="55"/>
        <v/>
      </c>
      <c r="AK86" s="86" t="str">
        <f t="shared" si="98"/>
        <v/>
      </c>
      <c r="AL86" s="86" t="str">
        <f t="shared" si="99"/>
        <v/>
      </c>
      <c r="AM86" s="86" t="str">
        <f t="shared" si="100"/>
        <v/>
      </c>
      <c r="AN86" s="86" t="str">
        <f t="shared" si="101"/>
        <v/>
      </c>
      <c r="AO86" s="86" t="str">
        <f t="shared" si="102"/>
        <v/>
      </c>
      <c r="AQ86" s="33" t="str">
        <f t="shared" si="80"/>
        <v/>
      </c>
      <c r="AR86" s="30" t="str">
        <f t="shared" si="81"/>
        <v/>
      </c>
      <c r="AU86" s="20">
        <f t="shared" si="82"/>
        <v>0</v>
      </c>
      <c r="AV86" s="20">
        <f t="shared" si="83"/>
        <v>0</v>
      </c>
      <c r="AW86" s="19">
        <f t="shared" si="89"/>
        <v>0</v>
      </c>
      <c r="AX86" s="19">
        <f t="shared" si="90"/>
        <v>0</v>
      </c>
      <c r="AY86" s="19">
        <f t="shared" si="91"/>
        <v>0</v>
      </c>
      <c r="AZ86" s="19">
        <f t="shared" si="92"/>
        <v>0</v>
      </c>
      <c r="BA86" s="19">
        <f t="shared" si="93"/>
        <v>0</v>
      </c>
      <c r="BB86" s="19">
        <f t="shared" si="94"/>
        <v>0</v>
      </c>
      <c r="BC86" s="19">
        <f t="shared" si="95"/>
        <v>0</v>
      </c>
      <c r="BD86" s="19">
        <f>-IF(CUSTOS!B86="",0,CUSTOS!B86)</f>
        <v>0</v>
      </c>
      <c r="BF86" s="20">
        <f t="shared" si="96"/>
        <v>0</v>
      </c>
      <c r="BG86" s="20">
        <f t="shared" si="97"/>
        <v>0</v>
      </c>
      <c r="BH86" s="116">
        <f t="shared" si="97"/>
        <v>0</v>
      </c>
    </row>
    <row r="87" spans="1:60" ht="15" x14ac:dyDescent="0.25">
      <c r="A87" s="66" t="str">
        <f>IF(LARGE($A$11:A86,1)=$F$2,"",A86+1)</f>
        <v/>
      </c>
      <c r="B87" s="27" t="str">
        <f t="shared" si="56"/>
        <v/>
      </c>
      <c r="C87" s="28" t="str">
        <f t="shared" si="84"/>
        <v/>
      </c>
      <c r="D87" s="28" t="str">
        <f t="shared" si="57"/>
        <v/>
      </c>
      <c r="E87" s="28" t="str">
        <f t="shared" si="58"/>
        <v/>
      </c>
      <c r="F87" s="29" t="str">
        <f t="shared" si="59"/>
        <v/>
      </c>
      <c r="G87" s="29" t="str">
        <f t="shared" si="60"/>
        <v/>
      </c>
      <c r="H87" s="30" t="str">
        <f t="shared" si="61"/>
        <v/>
      </c>
      <c r="I87" s="30" t="str">
        <f t="shared" si="62"/>
        <v/>
      </c>
      <c r="J87" s="30" t="str">
        <f>IF(A87="","",H87+CUSTOS!B87)</f>
        <v/>
      </c>
      <c r="K87" s="30" t="str">
        <f t="shared" si="85"/>
        <v/>
      </c>
      <c r="L87" s="30" t="str">
        <f t="shared" si="86"/>
        <v/>
      </c>
      <c r="M87" s="30" t="str">
        <f t="shared" si="87"/>
        <v/>
      </c>
      <c r="N87" s="30" t="str">
        <f t="shared" si="63"/>
        <v/>
      </c>
      <c r="O87" s="31" t="str">
        <f t="shared" si="88"/>
        <v/>
      </c>
      <c r="P87" s="32"/>
      <c r="Q87" s="33" t="str">
        <f t="shared" si="64"/>
        <v/>
      </c>
      <c r="R87" s="33" t="str">
        <f t="shared" si="65"/>
        <v/>
      </c>
      <c r="S87" s="33" t="str">
        <f t="shared" si="66"/>
        <v/>
      </c>
      <c r="T87" s="33" t="str">
        <f t="shared" si="67"/>
        <v/>
      </c>
      <c r="U87" s="33" t="str">
        <f t="shared" si="68"/>
        <v/>
      </c>
      <c r="V87" s="33" t="str">
        <f t="shared" si="69"/>
        <v/>
      </c>
      <c r="X87" s="33" t="str">
        <f t="shared" si="70"/>
        <v/>
      </c>
      <c r="Y87" s="30" t="str">
        <f t="shared" si="71"/>
        <v/>
      </c>
      <c r="Z87" s="30" t="str">
        <f t="shared" si="72"/>
        <v/>
      </c>
      <c r="AA87" s="30" t="str">
        <f t="shared" si="73"/>
        <v/>
      </c>
      <c r="AB87" s="30" t="str">
        <f t="shared" si="74"/>
        <v/>
      </c>
      <c r="AD87" s="33" t="str">
        <f t="shared" si="75"/>
        <v/>
      </c>
      <c r="AE87" s="30" t="str">
        <f t="shared" si="76"/>
        <v/>
      </c>
      <c r="AF87" s="30" t="str">
        <f t="shared" si="77"/>
        <v/>
      </c>
      <c r="AG87" s="30" t="str">
        <f t="shared" si="78"/>
        <v/>
      </c>
      <c r="AH87" s="30" t="str">
        <f t="shared" si="79"/>
        <v/>
      </c>
      <c r="AJ87" s="85" t="str">
        <f t="shared" si="55"/>
        <v/>
      </c>
      <c r="AK87" s="86" t="str">
        <f t="shared" si="98"/>
        <v/>
      </c>
      <c r="AL87" s="86" t="str">
        <f t="shared" si="99"/>
        <v/>
      </c>
      <c r="AM87" s="86" t="str">
        <f t="shared" si="100"/>
        <v/>
      </c>
      <c r="AN87" s="86" t="str">
        <f t="shared" si="101"/>
        <v/>
      </c>
      <c r="AO87" s="86" t="str">
        <f t="shared" si="102"/>
        <v/>
      </c>
      <c r="AQ87" s="33" t="str">
        <f t="shared" si="80"/>
        <v/>
      </c>
      <c r="AR87" s="30" t="str">
        <f t="shared" si="81"/>
        <v/>
      </c>
      <c r="AU87" s="20">
        <f t="shared" si="82"/>
        <v>0</v>
      </c>
      <c r="AV87" s="20">
        <f t="shared" si="83"/>
        <v>0</v>
      </c>
      <c r="AW87" s="19">
        <f t="shared" si="89"/>
        <v>0</v>
      </c>
      <c r="AX87" s="19">
        <f t="shared" si="90"/>
        <v>0</v>
      </c>
      <c r="AY87" s="19">
        <f t="shared" si="91"/>
        <v>0</v>
      </c>
      <c r="AZ87" s="19">
        <f t="shared" si="92"/>
        <v>0</v>
      </c>
      <c r="BA87" s="19">
        <f t="shared" si="93"/>
        <v>0</v>
      </c>
      <c r="BB87" s="19">
        <f t="shared" si="94"/>
        <v>0</v>
      </c>
      <c r="BC87" s="19">
        <f t="shared" si="95"/>
        <v>0</v>
      </c>
      <c r="BD87" s="19">
        <f>-IF(CUSTOS!B87="",0,CUSTOS!B87)</f>
        <v>0</v>
      </c>
      <c r="BF87" s="20">
        <f t="shared" si="96"/>
        <v>0</v>
      </c>
      <c r="BG87" s="20">
        <f t="shared" si="97"/>
        <v>0</v>
      </c>
      <c r="BH87" s="116">
        <f t="shared" si="97"/>
        <v>0</v>
      </c>
    </row>
    <row r="88" spans="1:60" ht="15" x14ac:dyDescent="0.25">
      <c r="A88" s="66" t="str">
        <f>IF(LARGE($A$11:A87,1)=$F$2,"",A87+1)</f>
        <v/>
      </c>
      <c r="B88" s="27" t="str">
        <f t="shared" si="56"/>
        <v/>
      </c>
      <c r="C88" s="28" t="str">
        <f t="shared" si="84"/>
        <v/>
      </c>
      <c r="D88" s="28" t="str">
        <f t="shared" si="57"/>
        <v/>
      </c>
      <c r="E88" s="28" t="str">
        <f t="shared" si="58"/>
        <v/>
      </c>
      <c r="F88" s="29" t="str">
        <f t="shared" si="59"/>
        <v/>
      </c>
      <c r="G88" s="29" t="str">
        <f t="shared" si="60"/>
        <v/>
      </c>
      <c r="H88" s="30" t="str">
        <f t="shared" si="61"/>
        <v/>
      </c>
      <c r="I88" s="30" t="str">
        <f t="shared" si="62"/>
        <v/>
      </c>
      <c r="J88" s="30" t="str">
        <f>IF(A88="","",H88+CUSTOS!B88)</f>
        <v/>
      </c>
      <c r="K88" s="30" t="str">
        <f t="shared" si="85"/>
        <v/>
      </c>
      <c r="L88" s="30" t="str">
        <f t="shared" si="86"/>
        <v/>
      </c>
      <c r="M88" s="30" t="str">
        <f t="shared" si="87"/>
        <v/>
      </c>
      <c r="N88" s="30" t="str">
        <f t="shared" si="63"/>
        <v/>
      </c>
      <c r="O88" s="31" t="str">
        <f t="shared" si="88"/>
        <v/>
      </c>
      <c r="P88" s="32"/>
      <c r="Q88" s="33" t="str">
        <f t="shared" si="64"/>
        <v/>
      </c>
      <c r="R88" s="33" t="str">
        <f t="shared" si="65"/>
        <v/>
      </c>
      <c r="S88" s="33" t="str">
        <f t="shared" si="66"/>
        <v/>
      </c>
      <c r="T88" s="33" t="str">
        <f t="shared" si="67"/>
        <v/>
      </c>
      <c r="U88" s="33" t="str">
        <f t="shared" si="68"/>
        <v/>
      </c>
      <c r="V88" s="33" t="str">
        <f t="shared" si="69"/>
        <v/>
      </c>
      <c r="X88" s="33" t="str">
        <f t="shared" si="70"/>
        <v/>
      </c>
      <c r="Y88" s="30" t="str">
        <f t="shared" si="71"/>
        <v/>
      </c>
      <c r="Z88" s="30" t="str">
        <f t="shared" si="72"/>
        <v/>
      </c>
      <c r="AA88" s="30" t="str">
        <f t="shared" si="73"/>
        <v/>
      </c>
      <c r="AB88" s="30" t="str">
        <f t="shared" si="74"/>
        <v/>
      </c>
      <c r="AD88" s="33" t="str">
        <f t="shared" si="75"/>
        <v/>
      </c>
      <c r="AE88" s="30" t="str">
        <f t="shared" si="76"/>
        <v/>
      </c>
      <c r="AF88" s="30" t="str">
        <f t="shared" si="77"/>
        <v/>
      </c>
      <c r="AG88" s="30" t="str">
        <f t="shared" si="78"/>
        <v/>
      </c>
      <c r="AH88" s="30" t="str">
        <f t="shared" si="79"/>
        <v/>
      </c>
      <c r="AJ88" s="85" t="str">
        <f t="shared" si="55"/>
        <v/>
      </c>
      <c r="AK88" s="86" t="str">
        <f t="shared" si="98"/>
        <v/>
      </c>
      <c r="AL88" s="86" t="str">
        <f t="shared" si="99"/>
        <v/>
      </c>
      <c r="AM88" s="86" t="str">
        <f t="shared" si="100"/>
        <v/>
      </c>
      <c r="AN88" s="86" t="str">
        <f t="shared" si="101"/>
        <v/>
      </c>
      <c r="AO88" s="86" t="str">
        <f t="shared" si="102"/>
        <v/>
      </c>
      <c r="AQ88" s="33" t="str">
        <f t="shared" si="80"/>
        <v/>
      </c>
      <c r="AR88" s="30" t="str">
        <f t="shared" si="81"/>
        <v/>
      </c>
      <c r="AU88" s="20">
        <f t="shared" si="82"/>
        <v>0</v>
      </c>
      <c r="AV88" s="20">
        <f t="shared" si="83"/>
        <v>0</v>
      </c>
      <c r="AW88" s="19">
        <f t="shared" si="89"/>
        <v>0</v>
      </c>
      <c r="AX88" s="19">
        <f t="shared" si="90"/>
        <v>0</v>
      </c>
      <c r="AY88" s="19">
        <f t="shared" si="91"/>
        <v>0</v>
      </c>
      <c r="AZ88" s="19">
        <f t="shared" si="92"/>
        <v>0</v>
      </c>
      <c r="BA88" s="19">
        <f t="shared" si="93"/>
        <v>0</v>
      </c>
      <c r="BB88" s="19">
        <f t="shared" si="94"/>
        <v>0</v>
      </c>
      <c r="BC88" s="19">
        <f t="shared" si="95"/>
        <v>0</v>
      </c>
      <c r="BD88" s="19">
        <f>-IF(CUSTOS!B88="",0,CUSTOS!B88)</f>
        <v>0</v>
      </c>
      <c r="BF88" s="20">
        <f t="shared" si="96"/>
        <v>0</v>
      </c>
      <c r="BG88" s="20">
        <f t="shared" si="97"/>
        <v>0</v>
      </c>
      <c r="BH88" s="116">
        <f t="shared" si="97"/>
        <v>0</v>
      </c>
    </row>
    <row r="89" spans="1:60" ht="15" x14ac:dyDescent="0.25">
      <c r="A89" s="66" t="str">
        <f>IF(LARGE($A$11:A88,1)=$F$2,"",A88+1)</f>
        <v/>
      </c>
      <c r="B89" s="27" t="str">
        <f t="shared" si="56"/>
        <v/>
      </c>
      <c r="C89" s="28" t="str">
        <f t="shared" si="84"/>
        <v/>
      </c>
      <c r="D89" s="28" t="str">
        <f t="shared" si="57"/>
        <v/>
      </c>
      <c r="E89" s="28" t="str">
        <f t="shared" si="58"/>
        <v/>
      </c>
      <c r="F89" s="29" t="str">
        <f t="shared" si="59"/>
        <v/>
      </c>
      <c r="G89" s="29" t="str">
        <f t="shared" si="60"/>
        <v/>
      </c>
      <c r="H89" s="30" t="str">
        <f t="shared" si="61"/>
        <v/>
      </c>
      <c r="I89" s="30" t="str">
        <f t="shared" si="62"/>
        <v/>
      </c>
      <c r="J89" s="30" t="str">
        <f>IF(A89="","",H89+CUSTOS!B89)</f>
        <v/>
      </c>
      <c r="K89" s="30" t="str">
        <f t="shared" si="85"/>
        <v/>
      </c>
      <c r="L89" s="30" t="str">
        <f t="shared" si="86"/>
        <v/>
      </c>
      <c r="M89" s="30" t="str">
        <f t="shared" si="87"/>
        <v/>
      </c>
      <c r="N89" s="30" t="str">
        <f t="shared" si="63"/>
        <v/>
      </c>
      <c r="O89" s="31" t="str">
        <f t="shared" si="88"/>
        <v/>
      </c>
      <c r="P89" s="32"/>
      <c r="Q89" s="33" t="str">
        <f t="shared" si="64"/>
        <v/>
      </c>
      <c r="R89" s="33" t="str">
        <f t="shared" si="65"/>
        <v/>
      </c>
      <c r="S89" s="33" t="str">
        <f t="shared" si="66"/>
        <v/>
      </c>
      <c r="T89" s="33" t="str">
        <f t="shared" si="67"/>
        <v/>
      </c>
      <c r="U89" s="33" t="str">
        <f t="shared" si="68"/>
        <v/>
      </c>
      <c r="V89" s="33" t="str">
        <f t="shared" si="69"/>
        <v/>
      </c>
      <c r="X89" s="33" t="str">
        <f t="shared" si="70"/>
        <v/>
      </c>
      <c r="Y89" s="30" t="str">
        <f t="shared" si="71"/>
        <v/>
      </c>
      <c r="Z89" s="30" t="str">
        <f t="shared" si="72"/>
        <v/>
      </c>
      <c r="AA89" s="30" t="str">
        <f t="shared" si="73"/>
        <v/>
      </c>
      <c r="AB89" s="30" t="str">
        <f t="shared" si="74"/>
        <v/>
      </c>
      <c r="AD89" s="33" t="str">
        <f t="shared" si="75"/>
        <v/>
      </c>
      <c r="AE89" s="30" t="str">
        <f t="shared" si="76"/>
        <v/>
      </c>
      <c r="AF89" s="30" t="str">
        <f t="shared" si="77"/>
        <v/>
      </c>
      <c r="AG89" s="30" t="str">
        <f t="shared" si="78"/>
        <v/>
      </c>
      <c r="AH89" s="30" t="str">
        <f t="shared" si="79"/>
        <v/>
      </c>
      <c r="AJ89" s="85" t="str">
        <f t="shared" si="55"/>
        <v/>
      </c>
      <c r="AK89" s="86" t="str">
        <f t="shared" si="98"/>
        <v/>
      </c>
      <c r="AL89" s="86" t="str">
        <f t="shared" si="99"/>
        <v/>
      </c>
      <c r="AM89" s="86" t="str">
        <f t="shared" si="100"/>
        <v/>
      </c>
      <c r="AN89" s="86" t="str">
        <f t="shared" si="101"/>
        <v/>
      </c>
      <c r="AO89" s="86" t="str">
        <f t="shared" si="102"/>
        <v/>
      </c>
      <c r="AQ89" s="33" t="str">
        <f t="shared" si="80"/>
        <v/>
      </c>
      <c r="AR89" s="30" t="str">
        <f t="shared" si="81"/>
        <v/>
      </c>
      <c r="AU89" s="20">
        <f t="shared" si="82"/>
        <v>0</v>
      </c>
      <c r="AV89" s="20">
        <f t="shared" si="83"/>
        <v>0</v>
      </c>
      <c r="AW89" s="19">
        <f t="shared" si="89"/>
        <v>0</v>
      </c>
      <c r="AX89" s="19">
        <f t="shared" si="90"/>
        <v>0</v>
      </c>
      <c r="AY89" s="19">
        <f t="shared" si="91"/>
        <v>0</v>
      </c>
      <c r="AZ89" s="19">
        <f t="shared" si="92"/>
        <v>0</v>
      </c>
      <c r="BA89" s="19">
        <f t="shared" si="93"/>
        <v>0</v>
      </c>
      <c r="BB89" s="19">
        <f t="shared" si="94"/>
        <v>0</v>
      </c>
      <c r="BC89" s="19">
        <f t="shared" si="95"/>
        <v>0</v>
      </c>
      <c r="BD89" s="19">
        <f>-IF(CUSTOS!B89="",0,CUSTOS!B89)</f>
        <v>0</v>
      </c>
      <c r="BF89" s="20">
        <f t="shared" si="96"/>
        <v>0</v>
      </c>
      <c r="BG89" s="20">
        <f t="shared" si="97"/>
        <v>0</v>
      </c>
      <c r="BH89" s="116">
        <f t="shared" si="97"/>
        <v>0</v>
      </c>
    </row>
    <row r="90" spans="1:60" ht="15" x14ac:dyDescent="0.25">
      <c r="A90" s="66" t="str">
        <f>IF(LARGE($A$11:A89,1)=$F$2,"",A89+1)</f>
        <v/>
      </c>
      <c r="B90" s="27" t="str">
        <f t="shared" si="56"/>
        <v/>
      </c>
      <c r="C90" s="28" t="str">
        <f t="shared" si="84"/>
        <v/>
      </c>
      <c r="D90" s="28" t="str">
        <f t="shared" si="57"/>
        <v/>
      </c>
      <c r="E90" s="28" t="str">
        <f t="shared" si="58"/>
        <v/>
      </c>
      <c r="F90" s="29" t="str">
        <f t="shared" si="59"/>
        <v/>
      </c>
      <c r="G90" s="29" t="str">
        <f t="shared" si="60"/>
        <v/>
      </c>
      <c r="H90" s="30" t="str">
        <f t="shared" si="61"/>
        <v/>
      </c>
      <c r="I90" s="30" t="str">
        <f t="shared" si="62"/>
        <v/>
      </c>
      <c r="J90" s="30" t="str">
        <f>IF(A90="","",H90+CUSTOS!B90)</f>
        <v/>
      </c>
      <c r="K90" s="30" t="str">
        <f t="shared" si="85"/>
        <v/>
      </c>
      <c r="L90" s="30" t="str">
        <f t="shared" si="86"/>
        <v/>
      </c>
      <c r="M90" s="30" t="str">
        <f t="shared" si="87"/>
        <v/>
      </c>
      <c r="N90" s="30" t="str">
        <f t="shared" si="63"/>
        <v/>
      </c>
      <c r="O90" s="31" t="str">
        <f t="shared" si="88"/>
        <v/>
      </c>
      <c r="P90" s="32"/>
      <c r="Q90" s="33" t="str">
        <f t="shared" si="64"/>
        <v/>
      </c>
      <c r="R90" s="33" t="str">
        <f t="shared" si="65"/>
        <v/>
      </c>
      <c r="S90" s="33" t="str">
        <f t="shared" si="66"/>
        <v/>
      </c>
      <c r="T90" s="33" t="str">
        <f t="shared" si="67"/>
        <v/>
      </c>
      <c r="U90" s="33" t="str">
        <f t="shared" si="68"/>
        <v/>
      </c>
      <c r="V90" s="33" t="str">
        <f t="shared" si="69"/>
        <v/>
      </c>
      <c r="X90" s="33" t="str">
        <f t="shared" si="70"/>
        <v/>
      </c>
      <c r="Y90" s="30" t="str">
        <f t="shared" si="71"/>
        <v/>
      </c>
      <c r="Z90" s="30" t="str">
        <f t="shared" si="72"/>
        <v/>
      </c>
      <c r="AA90" s="30" t="str">
        <f t="shared" si="73"/>
        <v/>
      </c>
      <c r="AB90" s="30" t="str">
        <f t="shared" si="74"/>
        <v/>
      </c>
      <c r="AD90" s="33" t="str">
        <f t="shared" si="75"/>
        <v/>
      </c>
      <c r="AE90" s="30" t="str">
        <f t="shared" si="76"/>
        <v/>
      </c>
      <c r="AF90" s="30" t="str">
        <f t="shared" si="77"/>
        <v/>
      </c>
      <c r="AG90" s="30" t="str">
        <f t="shared" si="78"/>
        <v/>
      </c>
      <c r="AH90" s="30" t="str">
        <f t="shared" si="79"/>
        <v/>
      </c>
      <c r="AJ90" s="85" t="str">
        <f t="shared" si="55"/>
        <v/>
      </c>
      <c r="AK90" s="86" t="str">
        <f t="shared" si="98"/>
        <v/>
      </c>
      <c r="AL90" s="86" t="str">
        <f t="shared" si="99"/>
        <v/>
      </c>
      <c r="AM90" s="86" t="str">
        <f t="shared" si="100"/>
        <v/>
      </c>
      <c r="AN90" s="86" t="str">
        <f t="shared" si="101"/>
        <v/>
      </c>
      <c r="AO90" s="86" t="str">
        <f t="shared" si="102"/>
        <v/>
      </c>
      <c r="AQ90" s="33" t="str">
        <f t="shared" si="80"/>
        <v/>
      </c>
      <c r="AR90" s="30" t="str">
        <f t="shared" si="81"/>
        <v/>
      </c>
      <c r="AU90" s="20">
        <f t="shared" si="82"/>
        <v>0</v>
      </c>
      <c r="AV90" s="20">
        <f t="shared" si="83"/>
        <v>0</v>
      </c>
      <c r="AW90" s="19">
        <f t="shared" si="89"/>
        <v>0</v>
      </c>
      <c r="AX90" s="19">
        <f t="shared" si="90"/>
        <v>0</v>
      </c>
      <c r="AY90" s="19">
        <f t="shared" si="91"/>
        <v>0</v>
      </c>
      <c r="AZ90" s="19">
        <f t="shared" si="92"/>
        <v>0</v>
      </c>
      <c r="BA90" s="19">
        <f t="shared" si="93"/>
        <v>0</v>
      </c>
      <c r="BB90" s="19">
        <f t="shared" si="94"/>
        <v>0</v>
      </c>
      <c r="BC90" s="19">
        <f t="shared" si="95"/>
        <v>0</v>
      </c>
      <c r="BD90" s="19">
        <f>-IF(CUSTOS!B90="",0,CUSTOS!B90)</f>
        <v>0</v>
      </c>
      <c r="BF90" s="20">
        <f t="shared" si="96"/>
        <v>0</v>
      </c>
      <c r="BG90" s="20">
        <f t="shared" si="97"/>
        <v>0</v>
      </c>
      <c r="BH90" s="116">
        <f t="shared" si="97"/>
        <v>0</v>
      </c>
    </row>
    <row r="91" spans="1:60" ht="15" x14ac:dyDescent="0.25">
      <c r="A91" s="66" t="str">
        <f>IF(LARGE($A$11:A90,1)=$F$2,"",A90+1)</f>
        <v/>
      </c>
      <c r="B91" s="27" t="str">
        <f t="shared" si="56"/>
        <v/>
      </c>
      <c r="C91" s="28" t="str">
        <f t="shared" si="84"/>
        <v/>
      </c>
      <c r="D91" s="28" t="str">
        <f t="shared" si="57"/>
        <v/>
      </c>
      <c r="E91" s="28" t="str">
        <f t="shared" si="58"/>
        <v/>
      </c>
      <c r="F91" s="29" t="str">
        <f t="shared" si="59"/>
        <v/>
      </c>
      <c r="G91" s="29" t="str">
        <f t="shared" si="60"/>
        <v/>
      </c>
      <c r="H91" s="30" t="str">
        <f t="shared" si="61"/>
        <v/>
      </c>
      <c r="I91" s="30" t="str">
        <f t="shared" si="62"/>
        <v/>
      </c>
      <c r="J91" s="30" t="str">
        <f>IF(A91="","",H91+CUSTOS!B91)</f>
        <v/>
      </c>
      <c r="K91" s="30" t="str">
        <f t="shared" si="85"/>
        <v/>
      </c>
      <c r="L91" s="30" t="str">
        <f t="shared" si="86"/>
        <v/>
      </c>
      <c r="M91" s="30" t="str">
        <f t="shared" si="87"/>
        <v/>
      </c>
      <c r="N91" s="30" t="str">
        <f t="shared" si="63"/>
        <v/>
      </c>
      <c r="O91" s="31" t="str">
        <f t="shared" si="88"/>
        <v/>
      </c>
      <c r="P91" s="32"/>
      <c r="Q91" s="33" t="str">
        <f t="shared" si="64"/>
        <v/>
      </c>
      <c r="R91" s="33" t="str">
        <f t="shared" si="65"/>
        <v/>
      </c>
      <c r="S91" s="33" t="str">
        <f t="shared" si="66"/>
        <v/>
      </c>
      <c r="T91" s="33" t="str">
        <f t="shared" si="67"/>
        <v/>
      </c>
      <c r="U91" s="33" t="str">
        <f t="shared" si="68"/>
        <v/>
      </c>
      <c r="V91" s="33" t="str">
        <f t="shared" si="69"/>
        <v/>
      </c>
      <c r="X91" s="33" t="str">
        <f t="shared" si="70"/>
        <v/>
      </c>
      <c r="Y91" s="30" t="str">
        <f t="shared" si="71"/>
        <v/>
      </c>
      <c r="Z91" s="30" t="str">
        <f t="shared" si="72"/>
        <v/>
      </c>
      <c r="AA91" s="30" t="str">
        <f t="shared" si="73"/>
        <v/>
      </c>
      <c r="AB91" s="30" t="str">
        <f t="shared" si="74"/>
        <v/>
      </c>
      <c r="AD91" s="33" t="str">
        <f t="shared" si="75"/>
        <v/>
      </c>
      <c r="AE91" s="30" t="str">
        <f t="shared" si="76"/>
        <v/>
      </c>
      <c r="AF91" s="30" t="str">
        <f t="shared" si="77"/>
        <v/>
      </c>
      <c r="AG91" s="30" t="str">
        <f t="shared" si="78"/>
        <v/>
      </c>
      <c r="AH91" s="30" t="str">
        <f t="shared" si="79"/>
        <v/>
      </c>
      <c r="AJ91" s="85" t="str">
        <f t="shared" si="55"/>
        <v/>
      </c>
      <c r="AK91" s="86" t="str">
        <f t="shared" si="98"/>
        <v/>
      </c>
      <c r="AL91" s="86" t="str">
        <f t="shared" si="99"/>
        <v/>
      </c>
      <c r="AM91" s="86" t="str">
        <f t="shared" si="100"/>
        <v/>
      </c>
      <c r="AN91" s="86" t="str">
        <f t="shared" si="101"/>
        <v/>
      </c>
      <c r="AO91" s="86" t="str">
        <f t="shared" si="102"/>
        <v/>
      </c>
      <c r="AQ91" s="33" t="str">
        <f t="shared" si="80"/>
        <v/>
      </c>
      <c r="AR91" s="30" t="str">
        <f t="shared" si="81"/>
        <v/>
      </c>
      <c r="AU91" s="20">
        <f t="shared" si="82"/>
        <v>0</v>
      </c>
      <c r="AV91" s="20">
        <f t="shared" si="83"/>
        <v>0</v>
      </c>
      <c r="AW91" s="19">
        <f t="shared" si="89"/>
        <v>0</v>
      </c>
      <c r="AX91" s="19">
        <f t="shared" si="90"/>
        <v>0</v>
      </c>
      <c r="AY91" s="19">
        <f t="shared" si="91"/>
        <v>0</v>
      </c>
      <c r="AZ91" s="19">
        <f t="shared" si="92"/>
        <v>0</v>
      </c>
      <c r="BA91" s="19">
        <f t="shared" si="93"/>
        <v>0</v>
      </c>
      <c r="BB91" s="19">
        <f t="shared" si="94"/>
        <v>0</v>
      </c>
      <c r="BC91" s="19">
        <f t="shared" si="95"/>
        <v>0</v>
      </c>
      <c r="BD91" s="19">
        <f>-IF(CUSTOS!B91="",0,CUSTOS!B91)</f>
        <v>0</v>
      </c>
      <c r="BF91" s="20">
        <f t="shared" si="96"/>
        <v>0</v>
      </c>
      <c r="BG91" s="20">
        <f t="shared" si="97"/>
        <v>0</v>
      </c>
      <c r="BH91" s="116">
        <f t="shared" si="97"/>
        <v>0</v>
      </c>
    </row>
    <row r="92" spans="1:60" ht="15" x14ac:dyDescent="0.25">
      <c r="A92" s="66" t="str">
        <f>IF(LARGE($A$11:A91,1)=$F$2,"",A91+1)</f>
        <v/>
      </c>
      <c r="B92" s="27" t="str">
        <f t="shared" si="56"/>
        <v/>
      </c>
      <c r="C92" s="28" t="str">
        <f t="shared" si="84"/>
        <v/>
      </c>
      <c r="D92" s="28" t="str">
        <f t="shared" si="57"/>
        <v/>
      </c>
      <c r="E92" s="28" t="str">
        <f t="shared" si="58"/>
        <v/>
      </c>
      <c r="F92" s="29" t="str">
        <f t="shared" si="59"/>
        <v/>
      </c>
      <c r="G92" s="29" t="str">
        <f t="shared" si="60"/>
        <v/>
      </c>
      <c r="H92" s="30" t="str">
        <f t="shared" si="61"/>
        <v/>
      </c>
      <c r="I92" s="30" t="str">
        <f t="shared" si="62"/>
        <v/>
      </c>
      <c r="J92" s="30" t="str">
        <f>IF(A92="","",H92+CUSTOS!B92)</f>
        <v/>
      </c>
      <c r="K92" s="30" t="str">
        <f t="shared" si="85"/>
        <v/>
      </c>
      <c r="L92" s="30" t="str">
        <f t="shared" si="86"/>
        <v/>
      </c>
      <c r="M92" s="30" t="str">
        <f t="shared" si="87"/>
        <v/>
      </c>
      <c r="N92" s="30" t="str">
        <f t="shared" si="63"/>
        <v/>
      </c>
      <c r="O92" s="31" t="str">
        <f t="shared" si="88"/>
        <v/>
      </c>
      <c r="P92" s="32"/>
      <c r="Q92" s="33" t="str">
        <f t="shared" si="64"/>
        <v/>
      </c>
      <c r="R92" s="33" t="str">
        <f t="shared" si="65"/>
        <v/>
      </c>
      <c r="S92" s="33" t="str">
        <f t="shared" si="66"/>
        <v/>
      </c>
      <c r="T92" s="33" t="str">
        <f t="shared" si="67"/>
        <v/>
      </c>
      <c r="U92" s="33" t="str">
        <f t="shared" si="68"/>
        <v/>
      </c>
      <c r="V92" s="33" t="str">
        <f t="shared" si="69"/>
        <v/>
      </c>
      <c r="X92" s="33" t="str">
        <f t="shared" si="70"/>
        <v/>
      </c>
      <c r="Y92" s="30" t="str">
        <f t="shared" si="71"/>
        <v/>
      </c>
      <c r="Z92" s="30" t="str">
        <f t="shared" si="72"/>
        <v/>
      </c>
      <c r="AA92" s="30" t="str">
        <f t="shared" si="73"/>
        <v/>
      </c>
      <c r="AB92" s="30" t="str">
        <f t="shared" si="74"/>
        <v/>
      </c>
      <c r="AD92" s="33" t="str">
        <f t="shared" si="75"/>
        <v/>
      </c>
      <c r="AE92" s="30" t="str">
        <f t="shared" si="76"/>
        <v/>
      </c>
      <c r="AF92" s="30" t="str">
        <f t="shared" si="77"/>
        <v/>
      </c>
      <c r="AG92" s="30" t="str">
        <f t="shared" si="78"/>
        <v/>
      </c>
      <c r="AH92" s="30" t="str">
        <f t="shared" si="79"/>
        <v/>
      </c>
      <c r="AJ92" s="85" t="str">
        <f t="shared" si="55"/>
        <v/>
      </c>
      <c r="AK92" s="86" t="str">
        <f t="shared" si="98"/>
        <v/>
      </c>
      <c r="AL92" s="86" t="str">
        <f t="shared" si="99"/>
        <v/>
      </c>
      <c r="AM92" s="86" t="str">
        <f t="shared" si="100"/>
        <v/>
      </c>
      <c r="AN92" s="86" t="str">
        <f t="shared" si="101"/>
        <v/>
      </c>
      <c r="AO92" s="86" t="str">
        <f t="shared" si="102"/>
        <v/>
      </c>
      <c r="AQ92" s="33" t="str">
        <f t="shared" si="80"/>
        <v/>
      </c>
      <c r="AR92" s="30" t="str">
        <f t="shared" si="81"/>
        <v/>
      </c>
      <c r="AU92" s="20">
        <f t="shared" si="82"/>
        <v>0</v>
      </c>
      <c r="AV92" s="20">
        <f t="shared" si="83"/>
        <v>0</v>
      </c>
      <c r="AW92" s="19">
        <f t="shared" si="89"/>
        <v>0</v>
      </c>
      <c r="AX92" s="19">
        <f t="shared" si="90"/>
        <v>0</v>
      </c>
      <c r="AY92" s="19">
        <f t="shared" si="91"/>
        <v>0</v>
      </c>
      <c r="AZ92" s="19">
        <f t="shared" si="92"/>
        <v>0</v>
      </c>
      <c r="BA92" s="19">
        <f t="shared" si="93"/>
        <v>0</v>
      </c>
      <c r="BB92" s="19">
        <f t="shared" si="94"/>
        <v>0</v>
      </c>
      <c r="BC92" s="19">
        <f t="shared" si="95"/>
        <v>0</v>
      </c>
      <c r="BD92" s="19">
        <f>-IF(CUSTOS!B92="",0,CUSTOS!B92)</f>
        <v>0</v>
      </c>
      <c r="BF92" s="20">
        <f t="shared" si="96"/>
        <v>0</v>
      </c>
      <c r="BG92" s="20">
        <f t="shared" si="97"/>
        <v>0</v>
      </c>
      <c r="BH92" s="116">
        <f t="shared" si="97"/>
        <v>0</v>
      </c>
    </row>
    <row r="93" spans="1:60" ht="15" x14ac:dyDescent="0.25">
      <c r="A93" s="66" t="str">
        <f>IF(LARGE($A$11:A92,1)=$F$2,"",A92+1)</f>
        <v/>
      </c>
      <c r="B93" s="27" t="str">
        <f t="shared" si="56"/>
        <v/>
      </c>
      <c r="C93" s="28" t="str">
        <f t="shared" si="84"/>
        <v/>
      </c>
      <c r="D93" s="28" t="str">
        <f t="shared" si="57"/>
        <v/>
      </c>
      <c r="E93" s="28" t="str">
        <f t="shared" si="58"/>
        <v/>
      </c>
      <c r="F93" s="29" t="str">
        <f t="shared" si="59"/>
        <v/>
      </c>
      <c r="G93" s="29" t="str">
        <f t="shared" si="60"/>
        <v/>
      </c>
      <c r="H93" s="30" t="str">
        <f t="shared" si="61"/>
        <v/>
      </c>
      <c r="I93" s="30" t="str">
        <f t="shared" si="62"/>
        <v/>
      </c>
      <c r="J93" s="30" t="str">
        <f>IF(A93="","",H93+CUSTOS!B93)</f>
        <v/>
      </c>
      <c r="K93" s="30" t="str">
        <f t="shared" si="85"/>
        <v/>
      </c>
      <c r="L93" s="30" t="str">
        <f t="shared" si="86"/>
        <v/>
      </c>
      <c r="M93" s="30" t="str">
        <f t="shared" si="87"/>
        <v/>
      </c>
      <c r="N93" s="30" t="str">
        <f t="shared" si="63"/>
        <v/>
      </c>
      <c r="O93" s="31" t="str">
        <f t="shared" si="88"/>
        <v/>
      </c>
      <c r="P93" s="32"/>
      <c r="Q93" s="33" t="str">
        <f t="shared" si="64"/>
        <v/>
      </c>
      <c r="R93" s="33" t="str">
        <f t="shared" si="65"/>
        <v/>
      </c>
      <c r="S93" s="33" t="str">
        <f t="shared" si="66"/>
        <v/>
      </c>
      <c r="T93" s="33" t="str">
        <f t="shared" si="67"/>
        <v/>
      </c>
      <c r="U93" s="33" t="str">
        <f t="shared" si="68"/>
        <v/>
      </c>
      <c r="V93" s="33" t="str">
        <f t="shared" si="69"/>
        <v/>
      </c>
      <c r="X93" s="33" t="str">
        <f t="shared" si="70"/>
        <v/>
      </c>
      <c r="Y93" s="30" t="str">
        <f t="shared" si="71"/>
        <v/>
      </c>
      <c r="Z93" s="30" t="str">
        <f t="shared" si="72"/>
        <v/>
      </c>
      <c r="AA93" s="30" t="str">
        <f t="shared" si="73"/>
        <v/>
      </c>
      <c r="AB93" s="30" t="str">
        <f t="shared" si="74"/>
        <v/>
      </c>
      <c r="AD93" s="33" t="str">
        <f t="shared" si="75"/>
        <v/>
      </c>
      <c r="AE93" s="30" t="str">
        <f t="shared" si="76"/>
        <v/>
      </c>
      <c r="AF93" s="30" t="str">
        <f t="shared" si="77"/>
        <v/>
      </c>
      <c r="AG93" s="30" t="str">
        <f t="shared" si="78"/>
        <v/>
      </c>
      <c r="AH93" s="30" t="str">
        <f t="shared" si="79"/>
        <v/>
      </c>
      <c r="AJ93" s="85" t="str">
        <f t="shared" si="55"/>
        <v/>
      </c>
      <c r="AK93" s="86" t="str">
        <f t="shared" si="98"/>
        <v/>
      </c>
      <c r="AL93" s="86" t="str">
        <f t="shared" si="99"/>
        <v/>
      </c>
      <c r="AM93" s="86" t="str">
        <f t="shared" si="100"/>
        <v/>
      </c>
      <c r="AN93" s="86" t="str">
        <f t="shared" si="101"/>
        <v/>
      </c>
      <c r="AO93" s="86" t="str">
        <f t="shared" si="102"/>
        <v/>
      </c>
      <c r="AQ93" s="33" t="str">
        <f t="shared" si="80"/>
        <v/>
      </c>
      <c r="AR93" s="30" t="str">
        <f t="shared" si="81"/>
        <v/>
      </c>
      <c r="AU93" s="20">
        <f t="shared" si="82"/>
        <v>0</v>
      </c>
      <c r="AV93" s="20">
        <f t="shared" si="83"/>
        <v>0</v>
      </c>
      <c r="AW93" s="19">
        <f t="shared" si="89"/>
        <v>0</v>
      </c>
      <c r="AX93" s="19">
        <f t="shared" si="90"/>
        <v>0</v>
      </c>
      <c r="AY93" s="19">
        <f t="shared" si="91"/>
        <v>0</v>
      </c>
      <c r="AZ93" s="19">
        <f t="shared" si="92"/>
        <v>0</v>
      </c>
      <c r="BA93" s="19">
        <f t="shared" si="93"/>
        <v>0</v>
      </c>
      <c r="BB93" s="19">
        <f t="shared" si="94"/>
        <v>0</v>
      </c>
      <c r="BC93" s="19">
        <f t="shared" si="95"/>
        <v>0</v>
      </c>
      <c r="BD93" s="19">
        <f>-IF(CUSTOS!B93="",0,CUSTOS!B93)</f>
        <v>0</v>
      </c>
      <c r="BF93" s="20">
        <f t="shared" si="96"/>
        <v>0</v>
      </c>
      <c r="BG93" s="20">
        <f t="shared" si="97"/>
        <v>0</v>
      </c>
      <c r="BH93" s="116">
        <f t="shared" si="97"/>
        <v>0</v>
      </c>
    </row>
    <row r="94" spans="1:60" ht="15" x14ac:dyDescent="0.25">
      <c r="A94" s="66" t="str">
        <f>IF(LARGE($A$11:A93,1)=$F$2,"",A93+1)</f>
        <v/>
      </c>
      <c r="B94" s="27" t="str">
        <f t="shared" si="56"/>
        <v/>
      </c>
      <c r="C94" s="28" t="str">
        <f t="shared" si="84"/>
        <v/>
      </c>
      <c r="D94" s="28" t="str">
        <f t="shared" si="57"/>
        <v/>
      </c>
      <c r="E94" s="28" t="str">
        <f t="shared" si="58"/>
        <v/>
      </c>
      <c r="F94" s="29" t="str">
        <f t="shared" si="59"/>
        <v/>
      </c>
      <c r="G94" s="29" t="str">
        <f t="shared" si="60"/>
        <v/>
      </c>
      <c r="H94" s="30" t="str">
        <f t="shared" si="61"/>
        <v/>
      </c>
      <c r="I94" s="30" t="str">
        <f t="shared" si="62"/>
        <v/>
      </c>
      <c r="J94" s="30" t="str">
        <f>IF(A94="","",H94+CUSTOS!B94)</f>
        <v/>
      </c>
      <c r="K94" s="30" t="str">
        <f t="shared" si="85"/>
        <v/>
      </c>
      <c r="L94" s="30" t="str">
        <f t="shared" si="86"/>
        <v/>
      </c>
      <c r="M94" s="30" t="str">
        <f t="shared" si="87"/>
        <v/>
      </c>
      <c r="N94" s="30" t="str">
        <f t="shared" si="63"/>
        <v/>
      </c>
      <c r="O94" s="31" t="str">
        <f t="shared" si="88"/>
        <v/>
      </c>
      <c r="P94" s="32"/>
      <c r="Q94" s="33" t="str">
        <f t="shared" si="64"/>
        <v/>
      </c>
      <c r="R94" s="33" t="str">
        <f t="shared" si="65"/>
        <v/>
      </c>
      <c r="S94" s="33" t="str">
        <f t="shared" si="66"/>
        <v/>
      </c>
      <c r="T94" s="33" t="str">
        <f t="shared" si="67"/>
        <v/>
      </c>
      <c r="U94" s="33" t="str">
        <f t="shared" si="68"/>
        <v/>
      </c>
      <c r="V94" s="33" t="str">
        <f t="shared" si="69"/>
        <v/>
      </c>
      <c r="X94" s="33" t="str">
        <f t="shared" si="70"/>
        <v/>
      </c>
      <c r="Y94" s="30" t="str">
        <f t="shared" si="71"/>
        <v/>
      </c>
      <c r="Z94" s="30" t="str">
        <f t="shared" si="72"/>
        <v/>
      </c>
      <c r="AA94" s="30" t="str">
        <f t="shared" si="73"/>
        <v/>
      </c>
      <c r="AB94" s="30" t="str">
        <f t="shared" si="74"/>
        <v/>
      </c>
      <c r="AD94" s="33" t="str">
        <f t="shared" si="75"/>
        <v/>
      </c>
      <c r="AE94" s="30" t="str">
        <f t="shared" si="76"/>
        <v/>
      </c>
      <c r="AF94" s="30" t="str">
        <f t="shared" si="77"/>
        <v/>
      </c>
      <c r="AG94" s="30" t="str">
        <f t="shared" si="78"/>
        <v/>
      </c>
      <c r="AH94" s="30" t="str">
        <f t="shared" si="79"/>
        <v/>
      </c>
      <c r="AJ94" s="85" t="str">
        <f t="shared" si="55"/>
        <v/>
      </c>
      <c r="AK94" s="86" t="str">
        <f t="shared" si="98"/>
        <v/>
      </c>
      <c r="AL94" s="86" t="str">
        <f t="shared" si="99"/>
        <v/>
      </c>
      <c r="AM94" s="86" t="str">
        <f t="shared" si="100"/>
        <v/>
      </c>
      <c r="AN94" s="86" t="str">
        <f t="shared" si="101"/>
        <v/>
      </c>
      <c r="AO94" s="86" t="str">
        <f t="shared" si="102"/>
        <v/>
      </c>
      <c r="AQ94" s="33" t="str">
        <f t="shared" si="80"/>
        <v/>
      </c>
      <c r="AR94" s="30" t="str">
        <f t="shared" si="81"/>
        <v/>
      </c>
      <c r="AU94" s="20">
        <f t="shared" si="82"/>
        <v>0</v>
      </c>
      <c r="AV94" s="20">
        <f t="shared" si="83"/>
        <v>0</v>
      </c>
      <c r="AW94" s="19">
        <f t="shared" si="89"/>
        <v>0</v>
      </c>
      <c r="AX94" s="19">
        <f t="shared" si="90"/>
        <v>0</v>
      </c>
      <c r="AY94" s="19">
        <f t="shared" si="91"/>
        <v>0</v>
      </c>
      <c r="AZ94" s="19">
        <f t="shared" si="92"/>
        <v>0</v>
      </c>
      <c r="BA94" s="19">
        <f t="shared" si="93"/>
        <v>0</v>
      </c>
      <c r="BB94" s="19">
        <f t="shared" si="94"/>
        <v>0</v>
      </c>
      <c r="BC94" s="19">
        <f t="shared" si="95"/>
        <v>0</v>
      </c>
      <c r="BD94" s="19">
        <f>-IF(CUSTOS!B94="",0,CUSTOS!B94)</f>
        <v>0</v>
      </c>
      <c r="BF94" s="20">
        <f t="shared" si="96"/>
        <v>0</v>
      </c>
      <c r="BG94" s="20">
        <f t="shared" si="97"/>
        <v>0</v>
      </c>
      <c r="BH94" s="116">
        <f t="shared" si="97"/>
        <v>0</v>
      </c>
    </row>
    <row r="95" spans="1:60" ht="15" x14ac:dyDescent="0.25">
      <c r="A95" s="66" t="str">
        <f>IF(LARGE($A$11:A94,1)=$F$2,"",A94+1)</f>
        <v/>
      </c>
      <c r="B95" s="27" t="str">
        <f t="shared" si="56"/>
        <v/>
      </c>
      <c r="C95" s="28" t="str">
        <f t="shared" si="84"/>
        <v/>
      </c>
      <c r="D95" s="28" t="str">
        <f t="shared" si="57"/>
        <v/>
      </c>
      <c r="E95" s="28" t="str">
        <f t="shared" si="58"/>
        <v/>
      </c>
      <c r="F95" s="29" t="str">
        <f t="shared" si="59"/>
        <v/>
      </c>
      <c r="G95" s="29" t="str">
        <f t="shared" si="60"/>
        <v/>
      </c>
      <c r="H95" s="30" t="str">
        <f t="shared" si="61"/>
        <v/>
      </c>
      <c r="I95" s="30" t="str">
        <f t="shared" si="62"/>
        <v/>
      </c>
      <c r="J95" s="30" t="str">
        <f>IF(A95="","",H95+CUSTOS!B95)</f>
        <v/>
      </c>
      <c r="K95" s="30" t="str">
        <f t="shared" si="85"/>
        <v/>
      </c>
      <c r="L95" s="30" t="str">
        <f t="shared" si="86"/>
        <v/>
      </c>
      <c r="M95" s="30" t="str">
        <f t="shared" si="87"/>
        <v/>
      </c>
      <c r="N95" s="30" t="str">
        <f t="shared" si="63"/>
        <v/>
      </c>
      <c r="O95" s="31" t="str">
        <f t="shared" si="88"/>
        <v/>
      </c>
      <c r="P95" s="32"/>
      <c r="Q95" s="33" t="str">
        <f t="shared" si="64"/>
        <v/>
      </c>
      <c r="R95" s="33" t="str">
        <f t="shared" si="65"/>
        <v/>
      </c>
      <c r="S95" s="33" t="str">
        <f t="shared" si="66"/>
        <v/>
      </c>
      <c r="T95" s="33" t="str">
        <f t="shared" si="67"/>
        <v/>
      </c>
      <c r="U95" s="33" t="str">
        <f t="shared" si="68"/>
        <v/>
      </c>
      <c r="V95" s="33" t="str">
        <f t="shared" si="69"/>
        <v/>
      </c>
      <c r="X95" s="33" t="str">
        <f t="shared" si="70"/>
        <v/>
      </c>
      <c r="Y95" s="30" t="str">
        <f t="shared" si="71"/>
        <v/>
      </c>
      <c r="Z95" s="30" t="str">
        <f t="shared" si="72"/>
        <v/>
      </c>
      <c r="AA95" s="30" t="str">
        <f t="shared" si="73"/>
        <v/>
      </c>
      <c r="AB95" s="30" t="str">
        <f t="shared" si="74"/>
        <v/>
      </c>
      <c r="AD95" s="33" t="str">
        <f t="shared" si="75"/>
        <v/>
      </c>
      <c r="AE95" s="30" t="str">
        <f t="shared" si="76"/>
        <v/>
      </c>
      <c r="AF95" s="30" t="str">
        <f t="shared" si="77"/>
        <v/>
      </c>
      <c r="AG95" s="30" t="str">
        <f t="shared" si="78"/>
        <v/>
      </c>
      <c r="AH95" s="30" t="str">
        <f t="shared" si="79"/>
        <v/>
      </c>
      <c r="AJ95" s="85" t="str">
        <f t="shared" si="55"/>
        <v/>
      </c>
      <c r="AK95" s="86" t="str">
        <f t="shared" si="98"/>
        <v/>
      </c>
      <c r="AL95" s="86" t="str">
        <f t="shared" si="99"/>
        <v/>
      </c>
      <c r="AM95" s="86" t="str">
        <f t="shared" si="100"/>
        <v/>
      </c>
      <c r="AN95" s="86" t="str">
        <f t="shared" si="101"/>
        <v/>
      </c>
      <c r="AO95" s="86" t="str">
        <f t="shared" si="102"/>
        <v/>
      </c>
      <c r="AQ95" s="33" t="str">
        <f t="shared" si="80"/>
        <v/>
      </c>
      <c r="AR95" s="30" t="str">
        <f t="shared" si="81"/>
        <v/>
      </c>
      <c r="AU95" s="20">
        <f t="shared" si="82"/>
        <v>0</v>
      </c>
      <c r="AV95" s="20">
        <f t="shared" si="83"/>
        <v>0</v>
      </c>
      <c r="AW95" s="19">
        <f t="shared" si="89"/>
        <v>0</v>
      </c>
      <c r="AX95" s="19">
        <f t="shared" si="90"/>
        <v>0</v>
      </c>
      <c r="AY95" s="19">
        <f t="shared" si="91"/>
        <v>0</v>
      </c>
      <c r="AZ95" s="19">
        <f t="shared" si="92"/>
        <v>0</v>
      </c>
      <c r="BA95" s="19">
        <f t="shared" si="93"/>
        <v>0</v>
      </c>
      <c r="BB95" s="19">
        <f t="shared" si="94"/>
        <v>0</v>
      </c>
      <c r="BC95" s="19">
        <f t="shared" si="95"/>
        <v>0</v>
      </c>
      <c r="BD95" s="19">
        <f>-IF(CUSTOS!B95="",0,CUSTOS!B95)</f>
        <v>0</v>
      </c>
      <c r="BF95" s="20">
        <f t="shared" si="96"/>
        <v>0</v>
      </c>
      <c r="BG95" s="20">
        <f t="shared" si="97"/>
        <v>0</v>
      </c>
      <c r="BH95" s="116">
        <f t="shared" si="97"/>
        <v>0</v>
      </c>
    </row>
    <row r="96" spans="1:60" ht="15" x14ac:dyDescent="0.25">
      <c r="A96" s="66" t="str">
        <f>IF(LARGE($A$11:A95,1)=$F$2,"",A95+1)</f>
        <v/>
      </c>
      <c r="B96" s="27" t="str">
        <f t="shared" si="56"/>
        <v/>
      </c>
      <c r="C96" s="28" t="str">
        <f t="shared" si="84"/>
        <v/>
      </c>
      <c r="D96" s="28" t="str">
        <f t="shared" si="57"/>
        <v/>
      </c>
      <c r="E96" s="28" t="str">
        <f t="shared" si="58"/>
        <v/>
      </c>
      <c r="F96" s="29" t="str">
        <f t="shared" si="59"/>
        <v/>
      </c>
      <c r="G96" s="29" t="str">
        <f t="shared" si="60"/>
        <v/>
      </c>
      <c r="H96" s="30" t="str">
        <f t="shared" si="61"/>
        <v/>
      </c>
      <c r="I96" s="30" t="str">
        <f t="shared" si="62"/>
        <v/>
      </c>
      <c r="J96" s="30" t="str">
        <f>IF(A96="","",H96+CUSTOS!B96)</f>
        <v/>
      </c>
      <c r="K96" s="30" t="str">
        <f t="shared" si="85"/>
        <v/>
      </c>
      <c r="L96" s="30" t="str">
        <f t="shared" si="86"/>
        <v/>
      </c>
      <c r="M96" s="30" t="str">
        <f t="shared" si="87"/>
        <v/>
      </c>
      <c r="N96" s="30" t="str">
        <f t="shared" si="63"/>
        <v/>
      </c>
      <c r="O96" s="31" t="str">
        <f t="shared" si="88"/>
        <v/>
      </c>
      <c r="P96" s="32"/>
      <c r="Q96" s="33" t="str">
        <f t="shared" si="64"/>
        <v/>
      </c>
      <c r="R96" s="33" t="str">
        <f t="shared" si="65"/>
        <v/>
      </c>
      <c r="S96" s="33" t="str">
        <f t="shared" si="66"/>
        <v/>
      </c>
      <c r="T96" s="33" t="str">
        <f t="shared" si="67"/>
        <v/>
      </c>
      <c r="U96" s="33" t="str">
        <f t="shared" si="68"/>
        <v/>
      </c>
      <c r="V96" s="33" t="str">
        <f t="shared" si="69"/>
        <v/>
      </c>
      <c r="X96" s="33" t="str">
        <f t="shared" si="70"/>
        <v/>
      </c>
      <c r="Y96" s="30" t="str">
        <f t="shared" si="71"/>
        <v/>
      </c>
      <c r="Z96" s="30" t="str">
        <f t="shared" si="72"/>
        <v/>
      </c>
      <c r="AA96" s="30" t="str">
        <f t="shared" si="73"/>
        <v/>
      </c>
      <c r="AB96" s="30" t="str">
        <f t="shared" si="74"/>
        <v/>
      </c>
      <c r="AD96" s="33" t="str">
        <f t="shared" si="75"/>
        <v/>
      </c>
      <c r="AE96" s="30" t="str">
        <f t="shared" si="76"/>
        <v/>
      </c>
      <c r="AF96" s="30" t="str">
        <f t="shared" si="77"/>
        <v/>
      </c>
      <c r="AG96" s="30" t="str">
        <f t="shared" si="78"/>
        <v/>
      </c>
      <c r="AH96" s="30" t="str">
        <f t="shared" si="79"/>
        <v/>
      </c>
      <c r="AJ96" s="85" t="str">
        <f t="shared" si="55"/>
        <v/>
      </c>
      <c r="AK96" s="86" t="str">
        <f t="shared" si="98"/>
        <v/>
      </c>
      <c r="AL96" s="86" t="str">
        <f t="shared" si="99"/>
        <v/>
      </c>
      <c r="AM96" s="86" t="str">
        <f t="shared" si="100"/>
        <v/>
      </c>
      <c r="AN96" s="86" t="str">
        <f t="shared" si="101"/>
        <v/>
      </c>
      <c r="AO96" s="86" t="str">
        <f t="shared" si="102"/>
        <v/>
      </c>
      <c r="AQ96" s="33" t="str">
        <f t="shared" si="80"/>
        <v/>
      </c>
      <c r="AR96" s="30" t="str">
        <f t="shared" si="81"/>
        <v/>
      </c>
      <c r="AU96" s="20">
        <f t="shared" si="82"/>
        <v>0</v>
      </c>
      <c r="AV96" s="20">
        <f t="shared" si="83"/>
        <v>0</v>
      </c>
      <c r="AW96" s="19">
        <f t="shared" si="89"/>
        <v>0</v>
      </c>
      <c r="AX96" s="19">
        <f t="shared" si="90"/>
        <v>0</v>
      </c>
      <c r="AY96" s="19">
        <f t="shared" si="91"/>
        <v>0</v>
      </c>
      <c r="AZ96" s="19">
        <f t="shared" si="92"/>
        <v>0</v>
      </c>
      <c r="BA96" s="19">
        <f t="shared" si="93"/>
        <v>0</v>
      </c>
      <c r="BB96" s="19">
        <f t="shared" si="94"/>
        <v>0</v>
      </c>
      <c r="BC96" s="19">
        <f t="shared" si="95"/>
        <v>0</v>
      </c>
      <c r="BD96" s="19">
        <f>-IF(CUSTOS!B96="",0,CUSTOS!B96)</f>
        <v>0</v>
      </c>
      <c r="BF96" s="20">
        <f t="shared" si="96"/>
        <v>0</v>
      </c>
      <c r="BG96" s="20">
        <f t="shared" si="97"/>
        <v>0</v>
      </c>
      <c r="BH96" s="116">
        <f t="shared" si="97"/>
        <v>0</v>
      </c>
    </row>
    <row r="97" spans="1:60" ht="15" x14ac:dyDescent="0.25">
      <c r="A97" s="66" t="str">
        <f>IF(LARGE($A$11:A96,1)=$F$2,"",A96+1)</f>
        <v/>
      </c>
      <c r="B97" s="27" t="str">
        <f t="shared" si="56"/>
        <v/>
      </c>
      <c r="C97" s="28" t="str">
        <f t="shared" si="84"/>
        <v/>
      </c>
      <c r="D97" s="28" t="str">
        <f t="shared" si="57"/>
        <v/>
      </c>
      <c r="E97" s="28" t="str">
        <f t="shared" si="58"/>
        <v/>
      </c>
      <c r="F97" s="29" t="str">
        <f t="shared" si="59"/>
        <v/>
      </c>
      <c r="G97" s="29" t="str">
        <f t="shared" si="60"/>
        <v/>
      </c>
      <c r="H97" s="30" t="str">
        <f t="shared" si="61"/>
        <v/>
      </c>
      <c r="I97" s="30" t="str">
        <f t="shared" si="62"/>
        <v/>
      </c>
      <c r="J97" s="30" t="str">
        <f>IF(A97="","",H97+CUSTOS!B97)</f>
        <v/>
      </c>
      <c r="K97" s="30" t="str">
        <f t="shared" si="85"/>
        <v/>
      </c>
      <c r="L97" s="30" t="str">
        <f t="shared" si="86"/>
        <v/>
      </c>
      <c r="M97" s="30" t="str">
        <f t="shared" si="87"/>
        <v/>
      </c>
      <c r="N97" s="30" t="str">
        <f t="shared" si="63"/>
        <v/>
      </c>
      <c r="O97" s="31" t="str">
        <f t="shared" si="88"/>
        <v/>
      </c>
      <c r="P97" s="32"/>
      <c r="Q97" s="33" t="str">
        <f t="shared" si="64"/>
        <v/>
      </c>
      <c r="R97" s="33" t="str">
        <f t="shared" si="65"/>
        <v/>
      </c>
      <c r="S97" s="33" t="str">
        <f t="shared" si="66"/>
        <v/>
      </c>
      <c r="T97" s="33" t="str">
        <f t="shared" si="67"/>
        <v/>
      </c>
      <c r="U97" s="33" t="str">
        <f t="shared" si="68"/>
        <v/>
      </c>
      <c r="V97" s="33" t="str">
        <f t="shared" si="69"/>
        <v/>
      </c>
      <c r="X97" s="33" t="str">
        <f t="shared" si="70"/>
        <v/>
      </c>
      <c r="Y97" s="30" t="str">
        <f t="shared" si="71"/>
        <v/>
      </c>
      <c r="Z97" s="30" t="str">
        <f t="shared" si="72"/>
        <v/>
      </c>
      <c r="AA97" s="30" t="str">
        <f t="shared" si="73"/>
        <v/>
      </c>
      <c r="AB97" s="30" t="str">
        <f t="shared" si="74"/>
        <v/>
      </c>
      <c r="AD97" s="33" t="str">
        <f t="shared" si="75"/>
        <v/>
      </c>
      <c r="AE97" s="30" t="str">
        <f t="shared" si="76"/>
        <v/>
      </c>
      <c r="AF97" s="30" t="str">
        <f t="shared" si="77"/>
        <v/>
      </c>
      <c r="AG97" s="30" t="str">
        <f t="shared" si="78"/>
        <v/>
      </c>
      <c r="AH97" s="30" t="str">
        <f t="shared" si="79"/>
        <v/>
      </c>
      <c r="AJ97" s="85" t="str">
        <f t="shared" si="55"/>
        <v/>
      </c>
      <c r="AK97" s="86" t="str">
        <f t="shared" si="98"/>
        <v/>
      </c>
      <c r="AL97" s="86" t="str">
        <f t="shared" si="99"/>
        <v/>
      </c>
      <c r="AM97" s="86" t="str">
        <f t="shared" si="100"/>
        <v/>
      </c>
      <c r="AN97" s="86" t="str">
        <f t="shared" si="101"/>
        <v/>
      </c>
      <c r="AO97" s="86" t="str">
        <f t="shared" si="102"/>
        <v/>
      </c>
      <c r="AQ97" s="33" t="str">
        <f t="shared" si="80"/>
        <v/>
      </c>
      <c r="AR97" s="30" t="str">
        <f t="shared" si="81"/>
        <v/>
      </c>
      <c r="AU97" s="20">
        <f t="shared" si="82"/>
        <v>0</v>
      </c>
      <c r="AV97" s="20">
        <f t="shared" si="83"/>
        <v>0</v>
      </c>
      <c r="AW97" s="19">
        <f t="shared" si="89"/>
        <v>0</v>
      </c>
      <c r="AX97" s="19">
        <f t="shared" si="90"/>
        <v>0</v>
      </c>
      <c r="AY97" s="19">
        <f t="shared" si="91"/>
        <v>0</v>
      </c>
      <c r="AZ97" s="19">
        <f t="shared" si="92"/>
        <v>0</v>
      </c>
      <c r="BA97" s="19">
        <f t="shared" si="93"/>
        <v>0</v>
      </c>
      <c r="BB97" s="19">
        <f t="shared" si="94"/>
        <v>0</v>
      </c>
      <c r="BC97" s="19">
        <f t="shared" si="95"/>
        <v>0</v>
      </c>
      <c r="BD97" s="19">
        <f>-IF(CUSTOS!B97="",0,CUSTOS!B97)</f>
        <v>0</v>
      </c>
      <c r="BF97" s="20">
        <f t="shared" si="96"/>
        <v>0</v>
      </c>
      <c r="BG97" s="20">
        <f t="shared" si="97"/>
        <v>0</v>
      </c>
      <c r="BH97" s="116">
        <f t="shared" si="97"/>
        <v>0</v>
      </c>
    </row>
    <row r="98" spans="1:60" ht="15" x14ac:dyDescent="0.25">
      <c r="A98" s="66" t="str">
        <f>IF(LARGE($A$11:A97,1)=$F$2,"",A97+1)</f>
        <v/>
      </c>
      <c r="B98" s="27" t="str">
        <f t="shared" si="56"/>
        <v/>
      </c>
      <c r="C98" s="28" t="str">
        <f t="shared" si="84"/>
        <v/>
      </c>
      <c r="D98" s="28" t="str">
        <f t="shared" si="57"/>
        <v/>
      </c>
      <c r="E98" s="28" t="str">
        <f t="shared" si="58"/>
        <v/>
      </c>
      <c r="F98" s="29" t="str">
        <f t="shared" si="59"/>
        <v/>
      </c>
      <c r="G98" s="29" t="str">
        <f t="shared" si="60"/>
        <v/>
      </c>
      <c r="H98" s="30" t="str">
        <f t="shared" si="61"/>
        <v/>
      </c>
      <c r="I98" s="30" t="str">
        <f t="shared" si="62"/>
        <v/>
      </c>
      <c r="J98" s="30" t="str">
        <f>IF(A98="","",H98+CUSTOS!B98)</f>
        <v/>
      </c>
      <c r="K98" s="30" t="str">
        <f t="shared" si="85"/>
        <v/>
      </c>
      <c r="L98" s="30" t="str">
        <f t="shared" si="86"/>
        <v/>
      </c>
      <c r="M98" s="30" t="str">
        <f t="shared" si="87"/>
        <v/>
      </c>
      <c r="N98" s="30" t="str">
        <f t="shared" si="63"/>
        <v/>
      </c>
      <c r="O98" s="31" t="str">
        <f t="shared" si="88"/>
        <v/>
      </c>
      <c r="P98" s="32"/>
      <c r="Q98" s="33" t="str">
        <f t="shared" si="64"/>
        <v/>
      </c>
      <c r="R98" s="33" t="str">
        <f t="shared" si="65"/>
        <v/>
      </c>
      <c r="S98" s="33" t="str">
        <f t="shared" si="66"/>
        <v/>
      </c>
      <c r="T98" s="33" t="str">
        <f t="shared" si="67"/>
        <v/>
      </c>
      <c r="U98" s="33" t="str">
        <f t="shared" si="68"/>
        <v/>
      </c>
      <c r="V98" s="33" t="str">
        <f t="shared" si="69"/>
        <v/>
      </c>
      <c r="X98" s="33" t="str">
        <f t="shared" si="70"/>
        <v/>
      </c>
      <c r="Y98" s="30" t="str">
        <f t="shared" si="71"/>
        <v/>
      </c>
      <c r="Z98" s="30" t="str">
        <f t="shared" si="72"/>
        <v/>
      </c>
      <c r="AA98" s="30" t="str">
        <f t="shared" si="73"/>
        <v/>
      </c>
      <c r="AB98" s="30" t="str">
        <f t="shared" si="74"/>
        <v/>
      </c>
      <c r="AD98" s="33" t="str">
        <f t="shared" si="75"/>
        <v/>
      </c>
      <c r="AE98" s="30" t="str">
        <f t="shared" si="76"/>
        <v/>
      </c>
      <c r="AF98" s="30" t="str">
        <f t="shared" si="77"/>
        <v/>
      </c>
      <c r="AG98" s="30" t="str">
        <f t="shared" si="78"/>
        <v/>
      </c>
      <c r="AH98" s="30" t="str">
        <f t="shared" si="79"/>
        <v/>
      </c>
      <c r="AJ98" s="85" t="str">
        <f t="shared" si="55"/>
        <v/>
      </c>
      <c r="AK98" s="86" t="str">
        <f t="shared" si="98"/>
        <v/>
      </c>
      <c r="AL98" s="86" t="str">
        <f t="shared" si="99"/>
        <v/>
      </c>
      <c r="AM98" s="86" t="str">
        <f t="shared" si="100"/>
        <v/>
      </c>
      <c r="AN98" s="86" t="str">
        <f t="shared" si="101"/>
        <v/>
      </c>
      <c r="AO98" s="86" t="str">
        <f t="shared" si="102"/>
        <v/>
      </c>
      <c r="AQ98" s="33" t="str">
        <f t="shared" si="80"/>
        <v/>
      </c>
      <c r="AR98" s="30" t="str">
        <f t="shared" si="81"/>
        <v/>
      </c>
      <c r="AU98" s="20">
        <f t="shared" si="82"/>
        <v>0</v>
      </c>
      <c r="AV98" s="20">
        <f t="shared" si="83"/>
        <v>0</v>
      </c>
      <c r="AW98" s="19">
        <f t="shared" si="89"/>
        <v>0</v>
      </c>
      <c r="AX98" s="19">
        <f t="shared" si="90"/>
        <v>0</v>
      </c>
      <c r="AY98" s="19">
        <f t="shared" si="91"/>
        <v>0</v>
      </c>
      <c r="AZ98" s="19">
        <f t="shared" si="92"/>
        <v>0</v>
      </c>
      <c r="BA98" s="19">
        <f t="shared" si="93"/>
        <v>0</v>
      </c>
      <c r="BB98" s="19">
        <f t="shared" si="94"/>
        <v>0</v>
      </c>
      <c r="BC98" s="19">
        <f t="shared" si="95"/>
        <v>0</v>
      </c>
      <c r="BD98" s="19">
        <f>-IF(CUSTOS!B98="",0,CUSTOS!B98)</f>
        <v>0</v>
      </c>
      <c r="BF98" s="20">
        <f t="shared" si="96"/>
        <v>0</v>
      </c>
      <c r="BG98" s="20">
        <f t="shared" si="97"/>
        <v>0</v>
      </c>
      <c r="BH98" s="116">
        <f t="shared" si="97"/>
        <v>0</v>
      </c>
    </row>
    <row r="99" spans="1:60" ht="15" x14ac:dyDescent="0.25">
      <c r="A99" s="66" t="str">
        <f>IF(LARGE($A$11:A98,1)=$F$2,"",A98+1)</f>
        <v/>
      </c>
      <c r="B99" s="27" t="str">
        <f t="shared" si="56"/>
        <v/>
      </c>
      <c r="C99" s="28" t="str">
        <f t="shared" si="84"/>
        <v/>
      </c>
      <c r="D99" s="28" t="str">
        <f t="shared" si="57"/>
        <v/>
      </c>
      <c r="E99" s="28" t="str">
        <f t="shared" si="58"/>
        <v/>
      </c>
      <c r="F99" s="29" t="str">
        <f t="shared" si="59"/>
        <v/>
      </c>
      <c r="G99" s="29" t="str">
        <f t="shared" si="60"/>
        <v/>
      </c>
      <c r="H99" s="30" t="str">
        <f t="shared" si="61"/>
        <v/>
      </c>
      <c r="I99" s="30" t="str">
        <f t="shared" si="62"/>
        <v/>
      </c>
      <c r="J99" s="30" t="str">
        <f>IF(A99="","",H99+CUSTOS!B99)</f>
        <v/>
      </c>
      <c r="K99" s="30" t="str">
        <f t="shared" si="85"/>
        <v/>
      </c>
      <c r="L99" s="30" t="str">
        <f t="shared" si="86"/>
        <v/>
      </c>
      <c r="M99" s="30" t="str">
        <f t="shared" si="87"/>
        <v/>
      </c>
      <c r="N99" s="30" t="str">
        <f t="shared" si="63"/>
        <v/>
      </c>
      <c r="O99" s="31" t="str">
        <f t="shared" si="88"/>
        <v/>
      </c>
      <c r="P99" s="32"/>
      <c r="Q99" s="33" t="str">
        <f t="shared" si="64"/>
        <v/>
      </c>
      <c r="R99" s="33" t="str">
        <f t="shared" si="65"/>
        <v/>
      </c>
      <c r="S99" s="33" t="str">
        <f t="shared" si="66"/>
        <v/>
      </c>
      <c r="T99" s="33" t="str">
        <f t="shared" si="67"/>
        <v/>
      </c>
      <c r="U99" s="33" t="str">
        <f t="shared" si="68"/>
        <v/>
      </c>
      <c r="V99" s="33" t="str">
        <f t="shared" si="69"/>
        <v/>
      </c>
      <c r="X99" s="33" t="str">
        <f t="shared" si="70"/>
        <v/>
      </c>
      <c r="Y99" s="30" t="str">
        <f t="shared" si="71"/>
        <v/>
      </c>
      <c r="Z99" s="30" t="str">
        <f t="shared" si="72"/>
        <v/>
      </c>
      <c r="AA99" s="30" t="str">
        <f t="shared" si="73"/>
        <v/>
      </c>
      <c r="AB99" s="30" t="str">
        <f t="shared" si="74"/>
        <v/>
      </c>
      <c r="AD99" s="33" t="str">
        <f t="shared" si="75"/>
        <v/>
      </c>
      <c r="AE99" s="30" t="str">
        <f t="shared" si="76"/>
        <v/>
      </c>
      <c r="AF99" s="30" t="str">
        <f t="shared" si="77"/>
        <v/>
      </c>
      <c r="AG99" s="30" t="str">
        <f t="shared" si="78"/>
        <v/>
      </c>
      <c r="AH99" s="30" t="str">
        <f t="shared" si="79"/>
        <v/>
      </c>
      <c r="AJ99" s="85" t="str">
        <f t="shared" si="55"/>
        <v/>
      </c>
      <c r="AK99" s="86" t="str">
        <f t="shared" si="98"/>
        <v/>
      </c>
      <c r="AL99" s="86" t="str">
        <f t="shared" si="99"/>
        <v/>
      </c>
      <c r="AM99" s="86" t="str">
        <f t="shared" si="100"/>
        <v/>
      </c>
      <c r="AN99" s="86" t="str">
        <f t="shared" si="101"/>
        <v/>
      </c>
      <c r="AO99" s="86" t="str">
        <f t="shared" si="102"/>
        <v/>
      </c>
      <c r="AQ99" s="33" t="str">
        <f t="shared" si="80"/>
        <v/>
      </c>
      <c r="AR99" s="30" t="str">
        <f t="shared" si="81"/>
        <v/>
      </c>
      <c r="AU99" s="20">
        <f t="shared" si="82"/>
        <v>0</v>
      </c>
      <c r="AV99" s="20">
        <f t="shared" si="83"/>
        <v>0</v>
      </c>
      <c r="AW99" s="19">
        <f t="shared" si="89"/>
        <v>0</v>
      </c>
      <c r="AX99" s="19">
        <f t="shared" si="90"/>
        <v>0</v>
      </c>
      <c r="AY99" s="19">
        <f t="shared" si="91"/>
        <v>0</v>
      </c>
      <c r="AZ99" s="19">
        <f t="shared" si="92"/>
        <v>0</v>
      </c>
      <c r="BA99" s="19">
        <f t="shared" si="93"/>
        <v>0</v>
      </c>
      <c r="BB99" s="19">
        <f t="shared" si="94"/>
        <v>0</v>
      </c>
      <c r="BC99" s="19">
        <f t="shared" si="95"/>
        <v>0</v>
      </c>
      <c r="BD99" s="19">
        <f>-IF(CUSTOS!B99="",0,CUSTOS!B99)</f>
        <v>0</v>
      </c>
      <c r="BF99" s="20">
        <f t="shared" si="96"/>
        <v>0</v>
      </c>
      <c r="BG99" s="20">
        <f t="shared" si="97"/>
        <v>0</v>
      </c>
      <c r="BH99" s="116">
        <f t="shared" si="97"/>
        <v>0</v>
      </c>
    </row>
    <row r="100" spans="1:60" ht="15" x14ac:dyDescent="0.25">
      <c r="A100" s="66" t="str">
        <f>IF(LARGE($A$11:A99,1)=$F$2,"",A99+1)</f>
        <v/>
      </c>
      <c r="B100" s="27" t="str">
        <f t="shared" si="56"/>
        <v/>
      </c>
      <c r="C100" s="28" t="str">
        <f t="shared" si="84"/>
        <v/>
      </c>
      <c r="D100" s="28" t="str">
        <f t="shared" si="57"/>
        <v/>
      </c>
      <c r="E100" s="28" t="str">
        <f t="shared" si="58"/>
        <v/>
      </c>
      <c r="F100" s="29" t="str">
        <f t="shared" si="59"/>
        <v/>
      </c>
      <c r="G100" s="29" t="str">
        <f t="shared" si="60"/>
        <v/>
      </c>
      <c r="H100" s="30" t="str">
        <f t="shared" si="61"/>
        <v/>
      </c>
      <c r="I100" s="30" t="str">
        <f t="shared" si="62"/>
        <v/>
      </c>
      <c r="J100" s="30" t="str">
        <f>IF(A100="","",H100+CUSTOS!B100)</f>
        <v/>
      </c>
      <c r="K100" s="30" t="str">
        <f t="shared" si="85"/>
        <v/>
      </c>
      <c r="L100" s="30" t="str">
        <f t="shared" si="86"/>
        <v/>
      </c>
      <c r="M100" s="30" t="str">
        <f t="shared" si="87"/>
        <v/>
      </c>
      <c r="N100" s="30" t="str">
        <f t="shared" si="63"/>
        <v/>
      </c>
      <c r="O100" s="31" t="str">
        <f t="shared" si="88"/>
        <v/>
      </c>
      <c r="P100" s="32"/>
      <c r="Q100" s="33" t="str">
        <f t="shared" si="64"/>
        <v/>
      </c>
      <c r="R100" s="33" t="str">
        <f t="shared" si="65"/>
        <v/>
      </c>
      <c r="S100" s="33" t="str">
        <f t="shared" si="66"/>
        <v/>
      </c>
      <c r="T100" s="33" t="str">
        <f t="shared" si="67"/>
        <v/>
      </c>
      <c r="U100" s="33" t="str">
        <f t="shared" si="68"/>
        <v/>
      </c>
      <c r="V100" s="33" t="str">
        <f t="shared" si="69"/>
        <v/>
      </c>
      <c r="X100" s="33" t="str">
        <f t="shared" si="70"/>
        <v/>
      </c>
      <c r="Y100" s="30" t="str">
        <f t="shared" si="71"/>
        <v/>
      </c>
      <c r="Z100" s="30" t="str">
        <f t="shared" si="72"/>
        <v/>
      </c>
      <c r="AA100" s="30" t="str">
        <f t="shared" si="73"/>
        <v/>
      </c>
      <c r="AB100" s="30" t="str">
        <f t="shared" si="74"/>
        <v/>
      </c>
      <c r="AD100" s="33" t="str">
        <f t="shared" si="75"/>
        <v/>
      </c>
      <c r="AE100" s="30" t="str">
        <f t="shared" si="76"/>
        <v/>
      </c>
      <c r="AF100" s="30" t="str">
        <f t="shared" si="77"/>
        <v/>
      </c>
      <c r="AG100" s="30" t="str">
        <f t="shared" si="78"/>
        <v/>
      </c>
      <c r="AH100" s="30" t="str">
        <f t="shared" si="79"/>
        <v/>
      </c>
      <c r="AJ100" s="85" t="str">
        <f t="shared" si="55"/>
        <v/>
      </c>
      <c r="AK100" s="86" t="str">
        <f t="shared" si="98"/>
        <v/>
      </c>
      <c r="AL100" s="86" t="str">
        <f t="shared" si="99"/>
        <v/>
      </c>
      <c r="AM100" s="86" t="str">
        <f t="shared" si="100"/>
        <v/>
      </c>
      <c r="AN100" s="86" t="str">
        <f t="shared" si="101"/>
        <v/>
      </c>
      <c r="AO100" s="86" t="str">
        <f t="shared" si="102"/>
        <v/>
      </c>
      <c r="AQ100" s="33" t="str">
        <f t="shared" si="80"/>
        <v/>
      </c>
      <c r="AR100" s="30" t="str">
        <f t="shared" si="81"/>
        <v/>
      </c>
      <c r="AU100" s="20">
        <f t="shared" si="82"/>
        <v>0</v>
      </c>
      <c r="AV100" s="20">
        <f t="shared" si="83"/>
        <v>0</v>
      </c>
      <c r="AW100" s="19">
        <f t="shared" si="89"/>
        <v>0</v>
      </c>
      <c r="AX100" s="19">
        <f t="shared" si="90"/>
        <v>0</v>
      </c>
      <c r="AY100" s="19">
        <f t="shared" si="91"/>
        <v>0</v>
      </c>
      <c r="AZ100" s="19">
        <f t="shared" si="92"/>
        <v>0</v>
      </c>
      <c r="BA100" s="19">
        <f t="shared" si="93"/>
        <v>0</v>
      </c>
      <c r="BB100" s="19">
        <f t="shared" si="94"/>
        <v>0</v>
      </c>
      <c r="BC100" s="19">
        <f t="shared" si="95"/>
        <v>0</v>
      </c>
      <c r="BD100" s="19">
        <f>-IF(CUSTOS!B100="",0,CUSTOS!B100)</f>
        <v>0</v>
      </c>
      <c r="BF100" s="20">
        <f t="shared" si="96"/>
        <v>0</v>
      </c>
      <c r="BG100" s="20">
        <f t="shared" si="97"/>
        <v>0</v>
      </c>
      <c r="BH100" s="116">
        <f t="shared" si="97"/>
        <v>0</v>
      </c>
    </row>
    <row r="101" spans="1:60" ht="15" x14ac:dyDescent="0.25">
      <c r="A101" s="66" t="str">
        <f>IF(LARGE($A$11:A100,1)=$F$2,"",A100+1)</f>
        <v/>
      </c>
      <c r="B101" s="27" t="str">
        <f t="shared" si="56"/>
        <v/>
      </c>
      <c r="C101" s="28" t="str">
        <f t="shared" si="84"/>
        <v/>
      </c>
      <c r="D101" s="28" t="str">
        <f t="shared" si="57"/>
        <v/>
      </c>
      <c r="E101" s="28" t="str">
        <f t="shared" si="58"/>
        <v/>
      </c>
      <c r="F101" s="29" t="str">
        <f t="shared" si="59"/>
        <v/>
      </c>
      <c r="G101" s="29" t="str">
        <f t="shared" si="60"/>
        <v/>
      </c>
      <c r="H101" s="30" t="str">
        <f t="shared" si="61"/>
        <v/>
      </c>
      <c r="I101" s="30" t="str">
        <f t="shared" si="62"/>
        <v/>
      </c>
      <c r="J101" s="30" t="str">
        <f>IF(A101="","",H101+CUSTOS!B101)</f>
        <v/>
      </c>
      <c r="K101" s="30" t="str">
        <f t="shared" si="85"/>
        <v/>
      </c>
      <c r="L101" s="30" t="str">
        <f t="shared" si="86"/>
        <v/>
      </c>
      <c r="M101" s="30" t="str">
        <f t="shared" si="87"/>
        <v/>
      </c>
      <c r="N101" s="30" t="str">
        <f t="shared" si="63"/>
        <v/>
      </c>
      <c r="O101" s="31" t="str">
        <f t="shared" si="88"/>
        <v/>
      </c>
      <c r="P101" s="32"/>
      <c r="Q101" s="33" t="str">
        <f t="shared" si="64"/>
        <v/>
      </c>
      <c r="R101" s="33" t="str">
        <f t="shared" si="65"/>
        <v/>
      </c>
      <c r="S101" s="33" t="str">
        <f t="shared" si="66"/>
        <v/>
      </c>
      <c r="T101" s="33" t="str">
        <f t="shared" si="67"/>
        <v/>
      </c>
      <c r="U101" s="33" t="str">
        <f t="shared" si="68"/>
        <v/>
      </c>
      <c r="V101" s="33" t="str">
        <f t="shared" si="69"/>
        <v/>
      </c>
      <c r="X101" s="33" t="str">
        <f t="shared" si="70"/>
        <v/>
      </c>
      <c r="Y101" s="30" t="str">
        <f t="shared" si="71"/>
        <v/>
      </c>
      <c r="Z101" s="30" t="str">
        <f t="shared" si="72"/>
        <v/>
      </c>
      <c r="AA101" s="30" t="str">
        <f t="shared" si="73"/>
        <v/>
      </c>
      <c r="AB101" s="30" t="str">
        <f t="shared" si="74"/>
        <v/>
      </c>
      <c r="AD101" s="33" t="str">
        <f t="shared" si="75"/>
        <v/>
      </c>
      <c r="AE101" s="30" t="str">
        <f t="shared" si="76"/>
        <v/>
      </c>
      <c r="AF101" s="30" t="str">
        <f t="shared" si="77"/>
        <v/>
      </c>
      <c r="AG101" s="30" t="str">
        <f t="shared" si="78"/>
        <v/>
      </c>
      <c r="AH101" s="30" t="str">
        <f t="shared" si="79"/>
        <v/>
      </c>
      <c r="AJ101" s="85" t="str">
        <f t="shared" si="55"/>
        <v/>
      </c>
      <c r="AK101" s="86" t="str">
        <f t="shared" si="98"/>
        <v/>
      </c>
      <c r="AL101" s="86" t="str">
        <f t="shared" si="99"/>
        <v/>
      </c>
      <c r="AM101" s="86" t="str">
        <f t="shared" si="100"/>
        <v/>
      </c>
      <c r="AN101" s="86" t="str">
        <f t="shared" si="101"/>
        <v/>
      </c>
      <c r="AO101" s="86" t="str">
        <f t="shared" si="102"/>
        <v/>
      </c>
      <c r="AQ101" s="33" t="str">
        <f t="shared" si="80"/>
        <v/>
      </c>
      <c r="AR101" s="30" t="str">
        <f t="shared" si="81"/>
        <v/>
      </c>
      <c r="AU101" s="20">
        <f t="shared" si="82"/>
        <v>0</v>
      </c>
      <c r="AV101" s="20">
        <f t="shared" si="83"/>
        <v>0</v>
      </c>
      <c r="AW101" s="19">
        <f t="shared" si="89"/>
        <v>0</v>
      </c>
      <c r="AX101" s="19">
        <f t="shared" si="90"/>
        <v>0</v>
      </c>
      <c r="AY101" s="19">
        <f t="shared" si="91"/>
        <v>0</v>
      </c>
      <c r="AZ101" s="19">
        <f t="shared" si="92"/>
        <v>0</v>
      </c>
      <c r="BA101" s="19">
        <f t="shared" si="93"/>
        <v>0</v>
      </c>
      <c r="BB101" s="19">
        <f t="shared" si="94"/>
        <v>0</v>
      </c>
      <c r="BC101" s="19">
        <f t="shared" si="95"/>
        <v>0</v>
      </c>
      <c r="BD101" s="19">
        <f>-IF(CUSTOS!B101="",0,CUSTOS!B101)</f>
        <v>0</v>
      </c>
      <c r="BF101" s="20">
        <f t="shared" si="96"/>
        <v>0</v>
      </c>
      <c r="BG101" s="20">
        <f t="shared" si="97"/>
        <v>0</v>
      </c>
      <c r="BH101" s="116">
        <f t="shared" si="97"/>
        <v>0</v>
      </c>
    </row>
    <row r="102" spans="1:60" ht="15" x14ac:dyDescent="0.25">
      <c r="A102" s="66" t="str">
        <f>IF(LARGE($A$11:A101,1)=$F$2,"",A101+1)</f>
        <v/>
      </c>
      <c r="B102" s="27" t="str">
        <f t="shared" si="56"/>
        <v/>
      </c>
      <c r="C102" s="28" t="str">
        <f t="shared" si="84"/>
        <v/>
      </c>
      <c r="D102" s="28" t="str">
        <f t="shared" si="57"/>
        <v/>
      </c>
      <c r="E102" s="28" t="str">
        <f t="shared" si="58"/>
        <v/>
      </c>
      <c r="F102" s="29" t="str">
        <f t="shared" si="59"/>
        <v/>
      </c>
      <c r="G102" s="29" t="str">
        <f t="shared" si="60"/>
        <v/>
      </c>
      <c r="H102" s="30" t="str">
        <f t="shared" si="61"/>
        <v/>
      </c>
      <c r="I102" s="30" t="str">
        <f t="shared" si="62"/>
        <v/>
      </c>
      <c r="J102" s="30" t="str">
        <f>IF(A102="","",H102+CUSTOS!B102)</f>
        <v/>
      </c>
      <c r="K102" s="30" t="str">
        <f t="shared" si="85"/>
        <v/>
      </c>
      <c r="L102" s="30" t="str">
        <f t="shared" si="86"/>
        <v/>
      </c>
      <c r="M102" s="30" t="str">
        <f t="shared" si="87"/>
        <v/>
      </c>
      <c r="N102" s="30" t="str">
        <f t="shared" si="63"/>
        <v/>
      </c>
      <c r="O102" s="31" t="str">
        <f t="shared" si="88"/>
        <v/>
      </c>
      <c r="P102" s="32"/>
      <c r="Q102" s="33" t="str">
        <f t="shared" si="64"/>
        <v/>
      </c>
      <c r="R102" s="33" t="str">
        <f t="shared" si="65"/>
        <v/>
      </c>
      <c r="S102" s="33" t="str">
        <f t="shared" si="66"/>
        <v/>
      </c>
      <c r="T102" s="33" t="str">
        <f t="shared" si="67"/>
        <v/>
      </c>
      <c r="U102" s="33" t="str">
        <f t="shared" si="68"/>
        <v/>
      </c>
      <c r="V102" s="33" t="str">
        <f t="shared" si="69"/>
        <v/>
      </c>
      <c r="X102" s="33" t="str">
        <f t="shared" si="70"/>
        <v/>
      </c>
      <c r="Y102" s="30" t="str">
        <f t="shared" si="71"/>
        <v/>
      </c>
      <c r="Z102" s="30" t="str">
        <f t="shared" si="72"/>
        <v/>
      </c>
      <c r="AA102" s="30" t="str">
        <f t="shared" si="73"/>
        <v/>
      </c>
      <c r="AB102" s="30" t="str">
        <f t="shared" si="74"/>
        <v/>
      </c>
      <c r="AD102" s="33" t="str">
        <f t="shared" si="75"/>
        <v/>
      </c>
      <c r="AE102" s="30" t="str">
        <f t="shared" si="76"/>
        <v/>
      </c>
      <c r="AF102" s="30" t="str">
        <f t="shared" si="77"/>
        <v/>
      </c>
      <c r="AG102" s="30" t="str">
        <f t="shared" si="78"/>
        <v/>
      </c>
      <c r="AH102" s="30" t="str">
        <f t="shared" si="79"/>
        <v/>
      </c>
      <c r="AJ102" s="85" t="str">
        <f t="shared" si="55"/>
        <v/>
      </c>
      <c r="AK102" s="86" t="str">
        <f t="shared" si="98"/>
        <v/>
      </c>
      <c r="AL102" s="86" t="str">
        <f t="shared" si="99"/>
        <v/>
      </c>
      <c r="AM102" s="86" t="str">
        <f t="shared" si="100"/>
        <v/>
      </c>
      <c r="AN102" s="86" t="str">
        <f t="shared" si="101"/>
        <v/>
      </c>
      <c r="AO102" s="86" t="str">
        <f t="shared" si="102"/>
        <v/>
      </c>
      <c r="AQ102" s="33" t="str">
        <f t="shared" si="80"/>
        <v/>
      </c>
      <c r="AR102" s="30" t="str">
        <f t="shared" si="81"/>
        <v/>
      </c>
      <c r="AU102" s="20">
        <f t="shared" si="82"/>
        <v>0</v>
      </c>
      <c r="AV102" s="20">
        <f t="shared" si="83"/>
        <v>0</v>
      </c>
      <c r="AW102" s="19">
        <f t="shared" si="89"/>
        <v>0</v>
      </c>
      <c r="AX102" s="19">
        <f t="shared" si="90"/>
        <v>0</v>
      </c>
      <c r="AY102" s="19">
        <f t="shared" si="91"/>
        <v>0</v>
      </c>
      <c r="AZ102" s="19">
        <f t="shared" si="92"/>
        <v>0</v>
      </c>
      <c r="BA102" s="19">
        <f t="shared" si="93"/>
        <v>0</v>
      </c>
      <c r="BB102" s="19">
        <f t="shared" si="94"/>
        <v>0</v>
      </c>
      <c r="BC102" s="19">
        <f t="shared" si="95"/>
        <v>0</v>
      </c>
      <c r="BD102" s="19">
        <f>-IF(CUSTOS!B102="",0,CUSTOS!B102)</f>
        <v>0</v>
      </c>
      <c r="BF102" s="20">
        <f t="shared" si="96"/>
        <v>0</v>
      </c>
      <c r="BG102" s="20">
        <f t="shared" si="97"/>
        <v>0</v>
      </c>
      <c r="BH102" s="116">
        <f t="shared" si="97"/>
        <v>0</v>
      </c>
    </row>
    <row r="103" spans="1:60" ht="15" x14ac:dyDescent="0.25">
      <c r="A103" s="66" t="str">
        <f>IF(LARGE($A$11:A102,1)=$F$2,"",A102+1)</f>
        <v/>
      </c>
      <c r="B103" s="27" t="str">
        <f t="shared" si="56"/>
        <v/>
      </c>
      <c r="C103" s="28" t="str">
        <f t="shared" si="84"/>
        <v/>
      </c>
      <c r="D103" s="28" t="str">
        <f t="shared" si="57"/>
        <v/>
      </c>
      <c r="E103" s="28" t="str">
        <f t="shared" si="58"/>
        <v/>
      </c>
      <c r="F103" s="29" t="str">
        <f t="shared" si="59"/>
        <v/>
      </c>
      <c r="G103" s="29" t="str">
        <f t="shared" si="60"/>
        <v/>
      </c>
      <c r="H103" s="30" t="str">
        <f t="shared" si="61"/>
        <v/>
      </c>
      <c r="I103" s="30" t="str">
        <f t="shared" si="62"/>
        <v/>
      </c>
      <c r="J103" s="30" t="str">
        <f>IF(A103="","",H103+CUSTOS!B103)</f>
        <v/>
      </c>
      <c r="K103" s="30" t="str">
        <f t="shared" si="85"/>
        <v/>
      </c>
      <c r="L103" s="30" t="str">
        <f t="shared" si="86"/>
        <v/>
      </c>
      <c r="M103" s="30" t="str">
        <f t="shared" si="87"/>
        <v/>
      </c>
      <c r="N103" s="30" t="str">
        <f t="shared" si="63"/>
        <v/>
      </c>
      <c r="O103" s="31" t="str">
        <f t="shared" si="88"/>
        <v/>
      </c>
      <c r="P103" s="32"/>
      <c r="Q103" s="33" t="str">
        <f t="shared" si="64"/>
        <v/>
      </c>
      <c r="R103" s="33" t="str">
        <f t="shared" si="65"/>
        <v/>
      </c>
      <c r="S103" s="33" t="str">
        <f t="shared" si="66"/>
        <v/>
      </c>
      <c r="T103" s="33" t="str">
        <f t="shared" si="67"/>
        <v/>
      </c>
      <c r="U103" s="33" t="str">
        <f t="shared" si="68"/>
        <v/>
      </c>
      <c r="V103" s="33" t="str">
        <f t="shared" si="69"/>
        <v/>
      </c>
      <c r="X103" s="33" t="str">
        <f t="shared" si="70"/>
        <v/>
      </c>
      <c r="Y103" s="30" t="str">
        <f t="shared" si="71"/>
        <v/>
      </c>
      <c r="Z103" s="30" t="str">
        <f t="shared" si="72"/>
        <v/>
      </c>
      <c r="AA103" s="30" t="str">
        <f t="shared" si="73"/>
        <v/>
      </c>
      <c r="AB103" s="30" t="str">
        <f t="shared" si="74"/>
        <v/>
      </c>
      <c r="AD103" s="33" t="str">
        <f t="shared" si="75"/>
        <v/>
      </c>
      <c r="AE103" s="30" t="str">
        <f t="shared" si="76"/>
        <v/>
      </c>
      <c r="AF103" s="30" t="str">
        <f t="shared" si="77"/>
        <v/>
      </c>
      <c r="AG103" s="30" t="str">
        <f t="shared" si="78"/>
        <v/>
      </c>
      <c r="AH103" s="30" t="str">
        <f t="shared" si="79"/>
        <v/>
      </c>
      <c r="AJ103" s="85" t="str">
        <f t="shared" si="55"/>
        <v/>
      </c>
      <c r="AK103" s="86" t="str">
        <f t="shared" si="98"/>
        <v/>
      </c>
      <c r="AL103" s="86" t="str">
        <f t="shared" si="99"/>
        <v/>
      </c>
      <c r="AM103" s="86" t="str">
        <f t="shared" si="100"/>
        <v/>
      </c>
      <c r="AN103" s="86" t="str">
        <f t="shared" si="101"/>
        <v/>
      </c>
      <c r="AO103" s="86" t="str">
        <f t="shared" si="102"/>
        <v/>
      </c>
      <c r="AQ103" s="33" t="str">
        <f t="shared" si="80"/>
        <v/>
      </c>
      <c r="AR103" s="30" t="str">
        <f t="shared" si="81"/>
        <v/>
      </c>
      <c r="AU103" s="20">
        <f t="shared" si="82"/>
        <v>0</v>
      </c>
      <c r="AV103" s="20">
        <f t="shared" si="83"/>
        <v>0</v>
      </c>
      <c r="AW103" s="19">
        <f t="shared" si="89"/>
        <v>0</v>
      </c>
      <c r="AX103" s="19">
        <f t="shared" si="90"/>
        <v>0</v>
      </c>
      <c r="AY103" s="19">
        <f t="shared" si="91"/>
        <v>0</v>
      </c>
      <c r="AZ103" s="19">
        <f t="shared" si="92"/>
        <v>0</v>
      </c>
      <c r="BA103" s="19">
        <f t="shared" si="93"/>
        <v>0</v>
      </c>
      <c r="BB103" s="19">
        <f t="shared" si="94"/>
        <v>0</v>
      </c>
      <c r="BC103" s="19">
        <f t="shared" si="95"/>
        <v>0</v>
      </c>
      <c r="BD103" s="19">
        <f>-IF(CUSTOS!B103="",0,CUSTOS!B103)</f>
        <v>0</v>
      </c>
      <c r="BF103" s="20">
        <f t="shared" si="96"/>
        <v>0</v>
      </c>
      <c r="BG103" s="20">
        <f t="shared" si="97"/>
        <v>0</v>
      </c>
      <c r="BH103" s="116">
        <f t="shared" si="97"/>
        <v>0</v>
      </c>
    </row>
    <row r="104" spans="1:60" ht="15" x14ac:dyDescent="0.25">
      <c r="A104" s="66" t="str">
        <f>IF(LARGE($A$11:A103,1)=$F$2,"",A103+1)</f>
        <v/>
      </c>
      <c r="B104" s="27" t="str">
        <f t="shared" si="56"/>
        <v/>
      </c>
      <c r="C104" s="28" t="str">
        <f t="shared" si="84"/>
        <v/>
      </c>
      <c r="D104" s="28" t="str">
        <f t="shared" si="57"/>
        <v/>
      </c>
      <c r="E104" s="28" t="str">
        <f t="shared" si="58"/>
        <v/>
      </c>
      <c r="F104" s="29" t="str">
        <f t="shared" si="59"/>
        <v/>
      </c>
      <c r="G104" s="29" t="str">
        <f t="shared" si="60"/>
        <v/>
      </c>
      <c r="H104" s="30" t="str">
        <f t="shared" si="61"/>
        <v/>
      </c>
      <c r="I104" s="30" t="str">
        <f t="shared" si="62"/>
        <v/>
      </c>
      <c r="J104" s="30" t="str">
        <f>IF(A104="","",H104+CUSTOS!B104)</f>
        <v/>
      </c>
      <c r="K104" s="30" t="str">
        <f t="shared" si="85"/>
        <v/>
      </c>
      <c r="L104" s="30" t="str">
        <f t="shared" si="86"/>
        <v/>
      </c>
      <c r="M104" s="30" t="str">
        <f t="shared" si="87"/>
        <v/>
      </c>
      <c r="N104" s="30" t="str">
        <f t="shared" si="63"/>
        <v/>
      </c>
      <c r="O104" s="31" t="str">
        <f t="shared" si="88"/>
        <v/>
      </c>
      <c r="P104" s="32"/>
      <c r="Q104" s="33" t="str">
        <f t="shared" si="64"/>
        <v/>
      </c>
      <c r="R104" s="33" t="str">
        <f t="shared" si="65"/>
        <v/>
      </c>
      <c r="S104" s="33" t="str">
        <f t="shared" si="66"/>
        <v/>
      </c>
      <c r="T104" s="33" t="str">
        <f t="shared" si="67"/>
        <v/>
      </c>
      <c r="U104" s="33" t="str">
        <f t="shared" si="68"/>
        <v/>
      </c>
      <c r="V104" s="33" t="str">
        <f t="shared" si="69"/>
        <v/>
      </c>
      <c r="X104" s="33" t="str">
        <f t="shared" si="70"/>
        <v/>
      </c>
      <c r="Y104" s="30" t="str">
        <f t="shared" si="71"/>
        <v/>
      </c>
      <c r="Z104" s="30" t="str">
        <f t="shared" si="72"/>
        <v/>
      </c>
      <c r="AA104" s="30" t="str">
        <f t="shared" si="73"/>
        <v/>
      </c>
      <c r="AB104" s="30" t="str">
        <f t="shared" si="74"/>
        <v/>
      </c>
      <c r="AD104" s="33" t="str">
        <f t="shared" si="75"/>
        <v/>
      </c>
      <c r="AE104" s="30" t="str">
        <f t="shared" si="76"/>
        <v/>
      </c>
      <c r="AF104" s="30" t="str">
        <f t="shared" si="77"/>
        <v/>
      </c>
      <c r="AG104" s="30" t="str">
        <f t="shared" si="78"/>
        <v/>
      </c>
      <c r="AH104" s="30" t="str">
        <f t="shared" si="79"/>
        <v/>
      </c>
      <c r="AJ104" s="85" t="str">
        <f t="shared" si="55"/>
        <v/>
      </c>
      <c r="AK104" s="86" t="str">
        <f t="shared" si="98"/>
        <v/>
      </c>
      <c r="AL104" s="86" t="str">
        <f t="shared" si="99"/>
        <v/>
      </c>
      <c r="AM104" s="86" t="str">
        <f t="shared" si="100"/>
        <v/>
      </c>
      <c r="AN104" s="86" t="str">
        <f t="shared" si="101"/>
        <v/>
      </c>
      <c r="AO104" s="86" t="str">
        <f t="shared" si="102"/>
        <v/>
      </c>
      <c r="AQ104" s="33" t="str">
        <f t="shared" si="80"/>
        <v/>
      </c>
      <c r="AR104" s="30" t="str">
        <f t="shared" si="81"/>
        <v/>
      </c>
      <c r="AU104" s="20">
        <f t="shared" si="82"/>
        <v>0</v>
      </c>
      <c r="AV104" s="20">
        <f t="shared" si="83"/>
        <v>0</v>
      </c>
      <c r="AW104" s="19">
        <f t="shared" si="89"/>
        <v>0</v>
      </c>
      <c r="AX104" s="19">
        <f t="shared" si="90"/>
        <v>0</v>
      </c>
      <c r="AY104" s="19">
        <f t="shared" si="91"/>
        <v>0</v>
      </c>
      <c r="AZ104" s="19">
        <f t="shared" si="92"/>
        <v>0</v>
      </c>
      <c r="BA104" s="19">
        <f t="shared" si="93"/>
        <v>0</v>
      </c>
      <c r="BB104" s="19">
        <f t="shared" si="94"/>
        <v>0</v>
      </c>
      <c r="BC104" s="19">
        <f t="shared" si="95"/>
        <v>0</v>
      </c>
      <c r="BD104" s="19">
        <f>-IF(CUSTOS!B104="",0,CUSTOS!B104)</f>
        <v>0</v>
      </c>
      <c r="BF104" s="20">
        <f t="shared" si="96"/>
        <v>0</v>
      </c>
      <c r="BG104" s="20">
        <f t="shared" si="97"/>
        <v>0</v>
      </c>
      <c r="BH104" s="116">
        <f t="shared" si="97"/>
        <v>0</v>
      </c>
    </row>
    <row r="105" spans="1:60" ht="15" x14ac:dyDescent="0.25">
      <c r="A105" s="66" t="str">
        <f>IF(LARGE($A$11:A104,1)=$F$2,"",A104+1)</f>
        <v/>
      </c>
      <c r="B105" s="27" t="str">
        <f t="shared" si="56"/>
        <v/>
      </c>
      <c r="C105" s="28" t="str">
        <f t="shared" si="84"/>
        <v/>
      </c>
      <c r="D105" s="28" t="str">
        <f t="shared" si="57"/>
        <v/>
      </c>
      <c r="E105" s="28" t="str">
        <f t="shared" si="58"/>
        <v/>
      </c>
      <c r="F105" s="29" t="str">
        <f t="shared" si="59"/>
        <v/>
      </c>
      <c r="G105" s="29" t="str">
        <f t="shared" si="60"/>
        <v/>
      </c>
      <c r="H105" s="30" t="str">
        <f t="shared" si="61"/>
        <v/>
      </c>
      <c r="I105" s="30" t="str">
        <f t="shared" si="62"/>
        <v/>
      </c>
      <c r="J105" s="30" t="str">
        <f>IF(A105="","",H105+CUSTOS!B105)</f>
        <v/>
      </c>
      <c r="K105" s="30" t="str">
        <f t="shared" si="85"/>
        <v/>
      </c>
      <c r="L105" s="30" t="str">
        <f t="shared" si="86"/>
        <v/>
      </c>
      <c r="M105" s="30" t="str">
        <f t="shared" si="87"/>
        <v/>
      </c>
      <c r="N105" s="30" t="str">
        <f t="shared" si="63"/>
        <v/>
      </c>
      <c r="O105" s="31" t="str">
        <f t="shared" si="88"/>
        <v/>
      </c>
      <c r="P105" s="32"/>
      <c r="Q105" s="33" t="str">
        <f t="shared" si="64"/>
        <v/>
      </c>
      <c r="R105" s="33" t="str">
        <f t="shared" si="65"/>
        <v/>
      </c>
      <c r="S105" s="33" t="str">
        <f t="shared" si="66"/>
        <v/>
      </c>
      <c r="T105" s="33" t="str">
        <f t="shared" si="67"/>
        <v/>
      </c>
      <c r="U105" s="33" t="str">
        <f t="shared" si="68"/>
        <v/>
      </c>
      <c r="V105" s="33" t="str">
        <f t="shared" si="69"/>
        <v/>
      </c>
      <c r="X105" s="33" t="str">
        <f t="shared" si="70"/>
        <v/>
      </c>
      <c r="Y105" s="30" t="str">
        <f t="shared" si="71"/>
        <v/>
      </c>
      <c r="Z105" s="30" t="str">
        <f t="shared" si="72"/>
        <v/>
      </c>
      <c r="AA105" s="30" t="str">
        <f t="shared" si="73"/>
        <v/>
      </c>
      <c r="AB105" s="30" t="str">
        <f t="shared" si="74"/>
        <v/>
      </c>
      <c r="AD105" s="33" t="str">
        <f t="shared" si="75"/>
        <v/>
      </c>
      <c r="AE105" s="30" t="str">
        <f t="shared" si="76"/>
        <v/>
      </c>
      <c r="AF105" s="30" t="str">
        <f t="shared" si="77"/>
        <v/>
      </c>
      <c r="AG105" s="30" t="str">
        <f t="shared" si="78"/>
        <v/>
      </c>
      <c r="AH105" s="30" t="str">
        <f t="shared" si="79"/>
        <v/>
      </c>
      <c r="AJ105" s="85" t="str">
        <f t="shared" si="55"/>
        <v/>
      </c>
      <c r="AK105" s="86" t="str">
        <f t="shared" si="98"/>
        <v/>
      </c>
      <c r="AL105" s="86" t="str">
        <f t="shared" si="99"/>
        <v/>
      </c>
      <c r="AM105" s="86" t="str">
        <f t="shared" si="100"/>
        <v/>
      </c>
      <c r="AN105" s="86" t="str">
        <f t="shared" si="101"/>
        <v/>
      </c>
      <c r="AO105" s="86" t="str">
        <f t="shared" si="102"/>
        <v/>
      </c>
      <c r="AQ105" s="33" t="str">
        <f t="shared" si="80"/>
        <v/>
      </c>
      <c r="AR105" s="30" t="str">
        <f t="shared" si="81"/>
        <v/>
      </c>
      <c r="AU105" s="20">
        <f t="shared" si="82"/>
        <v>0</v>
      </c>
      <c r="AV105" s="20">
        <f t="shared" si="83"/>
        <v>0</v>
      </c>
      <c r="AW105" s="19">
        <f t="shared" si="89"/>
        <v>0</v>
      </c>
      <c r="AX105" s="19">
        <f t="shared" si="90"/>
        <v>0</v>
      </c>
      <c r="AY105" s="19">
        <f t="shared" si="91"/>
        <v>0</v>
      </c>
      <c r="AZ105" s="19">
        <f t="shared" si="92"/>
        <v>0</v>
      </c>
      <c r="BA105" s="19">
        <f t="shared" si="93"/>
        <v>0</v>
      </c>
      <c r="BB105" s="19">
        <f t="shared" si="94"/>
        <v>0</v>
      </c>
      <c r="BC105" s="19">
        <f t="shared" si="95"/>
        <v>0</v>
      </c>
      <c r="BD105" s="19">
        <f>-IF(CUSTOS!B105="",0,CUSTOS!B105)</f>
        <v>0</v>
      </c>
      <c r="BF105" s="20">
        <f t="shared" si="96"/>
        <v>0</v>
      </c>
      <c r="BG105" s="20">
        <f t="shared" si="97"/>
        <v>0</v>
      </c>
      <c r="BH105" s="116">
        <f t="shared" si="97"/>
        <v>0</v>
      </c>
    </row>
    <row r="106" spans="1:60" ht="15" x14ac:dyDescent="0.25">
      <c r="A106" s="66" t="str">
        <f>IF(LARGE($A$11:A105,1)=$F$2,"",A105+1)</f>
        <v/>
      </c>
      <c r="B106" s="27" t="str">
        <f t="shared" si="56"/>
        <v/>
      </c>
      <c r="C106" s="28" t="str">
        <f t="shared" si="84"/>
        <v/>
      </c>
      <c r="D106" s="28" t="str">
        <f t="shared" si="57"/>
        <v/>
      </c>
      <c r="E106" s="28" t="str">
        <f t="shared" si="58"/>
        <v/>
      </c>
      <c r="F106" s="29" t="str">
        <f t="shared" si="59"/>
        <v/>
      </c>
      <c r="G106" s="29" t="str">
        <f t="shared" si="60"/>
        <v/>
      </c>
      <c r="H106" s="30" t="str">
        <f t="shared" si="61"/>
        <v/>
      </c>
      <c r="I106" s="30" t="str">
        <f t="shared" si="62"/>
        <v/>
      </c>
      <c r="J106" s="30" t="str">
        <f>IF(A106="","",H106+CUSTOS!B106)</f>
        <v/>
      </c>
      <c r="K106" s="30" t="str">
        <f t="shared" si="85"/>
        <v/>
      </c>
      <c r="L106" s="30" t="str">
        <f t="shared" si="86"/>
        <v/>
      </c>
      <c r="M106" s="30" t="str">
        <f t="shared" si="87"/>
        <v/>
      </c>
      <c r="N106" s="30" t="str">
        <f t="shared" si="63"/>
        <v/>
      </c>
      <c r="O106" s="31" t="str">
        <f t="shared" si="88"/>
        <v/>
      </c>
      <c r="P106" s="32"/>
      <c r="Q106" s="33" t="str">
        <f t="shared" si="64"/>
        <v/>
      </c>
      <c r="R106" s="33" t="str">
        <f t="shared" si="65"/>
        <v/>
      </c>
      <c r="S106" s="33" t="str">
        <f t="shared" si="66"/>
        <v/>
      </c>
      <c r="T106" s="33" t="str">
        <f t="shared" si="67"/>
        <v/>
      </c>
      <c r="U106" s="33" t="str">
        <f t="shared" si="68"/>
        <v/>
      </c>
      <c r="V106" s="33" t="str">
        <f t="shared" si="69"/>
        <v/>
      </c>
      <c r="X106" s="33" t="str">
        <f t="shared" si="70"/>
        <v/>
      </c>
      <c r="Y106" s="30" t="str">
        <f t="shared" si="71"/>
        <v/>
      </c>
      <c r="Z106" s="30" t="str">
        <f t="shared" si="72"/>
        <v/>
      </c>
      <c r="AA106" s="30" t="str">
        <f t="shared" si="73"/>
        <v/>
      </c>
      <c r="AB106" s="30" t="str">
        <f t="shared" si="74"/>
        <v/>
      </c>
      <c r="AD106" s="33" t="str">
        <f t="shared" si="75"/>
        <v/>
      </c>
      <c r="AE106" s="30" t="str">
        <f t="shared" si="76"/>
        <v/>
      </c>
      <c r="AF106" s="30" t="str">
        <f t="shared" si="77"/>
        <v/>
      </c>
      <c r="AG106" s="30" t="str">
        <f t="shared" si="78"/>
        <v/>
      </c>
      <c r="AH106" s="30" t="str">
        <f t="shared" si="79"/>
        <v/>
      </c>
      <c r="AJ106" s="85" t="str">
        <f t="shared" si="55"/>
        <v/>
      </c>
      <c r="AK106" s="86" t="str">
        <f t="shared" si="98"/>
        <v/>
      </c>
      <c r="AL106" s="86" t="str">
        <f t="shared" si="99"/>
        <v/>
      </c>
      <c r="AM106" s="86" t="str">
        <f t="shared" si="100"/>
        <v/>
      </c>
      <c r="AN106" s="86" t="str">
        <f t="shared" si="101"/>
        <v/>
      </c>
      <c r="AO106" s="86" t="str">
        <f t="shared" si="102"/>
        <v/>
      </c>
      <c r="AQ106" s="33" t="str">
        <f t="shared" si="80"/>
        <v/>
      </c>
      <c r="AR106" s="30" t="str">
        <f t="shared" si="81"/>
        <v/>
      </c>
      <c r="AU106" s="20">
        <f t="shared" si="82"/>
        <v>0</v>
      </c>
      <c r="AV106" s="20">
        <f t="shared" si="83"/>
        <v>0</v>
      </c>
      <c r="AW106" s="19">
        <f t="shared" si="89"/>
        <v>0</v>
      </c>
      <c r="AX106" s="19">
        <f t="shared" si="90"/>
        <v>0</v>
      </c>
      <c r="AY106" s="19">
        <f t="shared" si="91"/>
        <v>0</v>
      </c>
      <c r="AZ106" s="19">
        <f t="shared" si="92"/>
        <v>0</v>
      </c>
      <c r="BA106" s="19">
        <f t="shared" si="93"/>
        <v>0</v>
      </c>
      <c r="BB106" s="19">
        <f t="shared" si="94"/>
        <v>0</v>
      </c>
      <c r="BC106" s="19">
        <f t="shared" si="95"/>
        <v>0</v>
      </c>
      <c r="BD106" s="19">
        <f>-IF(CUSTOS!B106="",0,CUSTOS!B106)</f>
        <v>0</v>
      </c>
      <c r="BF106" s="20">
        <f t="shared" si="96"/>
        <v>0</v>
      </c>
      <c r="BG106" s="20">
        <f t="shared" si="97"/>
        <v>0</v>
      </c>
      <c r="BH106" s="116">
        <f t="shared" si="97"/>
        <v>0</v>
      </c>
    </row>
    <row r="107" spans="1:60" ht="15" x14ac:dyDescent="0.25">
      <c r="A107" s="66" t="str">
        <f>IF(LARGE($A$11:A106,1)=$F$2,"",A106+1)</f>
        <v/>
      </c>
      <c r="B107" s="27" t="str">
        <f t="shared" si="56"/>
        <v/>
      </c>
      <c r="C107" s="28" t="str">
        <f t="shared" si="84"/>
        <v/>
      </c>
      <c r="D107" s="28" t="str">
        <f t="shared" si="57"/>
        <v/>
      </c>
      <c r="E107" s="28" t="str">
        <f t="shared" si="58"/>
        <v/>
      </c>
      <c r="F107" s="29" t="str">
        <f t="shared" si="59"/>
        <v/>
      </c>
      <c r="G107" s="29" t="str">
        <f t="shared" si="60"/>
        <v/>
      </c>
      <c r="H107" s="30" t="str">
        <f t="shared" si="61"/>
        <v/>
      </c>
      <c r="I107" s="30" t="str">
        <f t="shared" si="62"/>
        <v/>
      </c>
      <c r="J107" s="30" t="str">
        <f>IF(A107="","",H107+CUSTOS!B107)</f>
        <v/>
      </c>
      <c r="K107" s="30" t="str">
        <f t="shared" si="85"/>
        <v/>
      </c>
      <c r="L107" s="30" t="str">
        <f t="shared" si="86"/>
        <v/>
      </c>
      <c r="M107" s="30" t="str">
        <f t="shared" si="87"/>
        <v/>
      </c>
      <c r="N107" s="30" t="str">
        <f t="shared" si="63"/>
        <v/>
      </c>
      <c r="O107" s="31" t="str">
        <f t="shared" si="88"/>
        <v/>
      </c>
      <c r="P107" s="32"/>
      <c r="Q107" s="33" t="str">
        <f t="shared" si="64"/>
        <v/>
      </c>
      <c r="R107" s="33" t="str">
        <f t="shared" si="65"/>
        <v/>
      </c>
      <c r="S107" s="33" t="str">
        <f t="shared" si="66"/>
        <v/>
      </c>
      <c r="T107" s="33" t="str">
        <f t="shared" si="67"/>
        <v/>
      </c>
      <c r="U107" s="33" t="str">
        <f t="shared" si="68"/>
        <v/>
      </c>
      <c r="V107" s="33" t="str">
        <f t="shared" si="69"/>
        <v/>
      </c>
      <c r="X107" s="33" t="str">
        <f t="shared" si="70"/>
        <v/>
      </c>
      <c r="Y107" s="30" t="str">
        <f t="shared" si="71"/>
        <v/>
      </c>
      <c r="Z107" s="30" t="str">
        <f t="shared" si="72"/>
        <v/>
      </c>
      <c r="AA107" s="30" t="str">
        <f t="shared" si="73"/>
        <v/>
      </c>
      <c r="AB107" s="30" t="str">
        <f t="shared" si="74"/>
        <v/>
      </c>
      <c r="AD107" s="33" t="str">
        <f t="shared" si="75"/>
        <v/>
      </c>
      <c r="AE107" s="30" t="str">
        <f t="shared" si="76"/>
        <v/>
      </c>
      <c r="AF107" s="30" t="str">
        <f t="shared" si="77"/>
        <v/>
      </c>
      <c r="AG107" s="30" t="str">
        <f t="shared" si="78"/>
        <v/>
      </c>
      <c r="AH107" s="30" t="str">
        <f t="shared" si="79"/>
        <v/>
      </c>
      <c r="AJ107" s="85" t="str">
        <f t="shared" si="55"/>
        <v/>
      </c>
      <c r="AK107" s="86" t="str">
        <f t="shared" si="98"/>
        <v/>
      </c>
      <c r="AL107" s="86" t="str">
        <f t="shared" si="99"/>
        <v/>
      </c>
      <c r="AM107" s="86" t="str">
        <f t="shared" si="100"/>
        <v/>
      </c>
      <c r="AN107" s="86" t="str">
        <f t="shared" si="101"/>
        <v/>
      </c>
      <c r="AO107" s="86" t="str">
        <f t="shared" si="102"/>
        <v/>
      </c>
      <c r="AQ107" s="33" t="str">
        <f t="shared" si="80"/>
        <v/>
      </c>
      <c r="AR107" s="30" t="str">
        <f t="shared" si="81"/>
        <v/>
      </c>
      <c r="AU107" s="20">
        <f t="shared" si="82"/>
        <v>0</v>
      </c>
      <c r="AV107" s="20">
        <f t="shared" si="83"/>
        <v>0</v>
      </c>
      <c r="AW107" s="19">
        <f t="shared" si="89"/>
        <v>0</v>
      </c>
      <c r="AX107" s="19">
        <f t="shared" si="90"/>
        <v>0</v>
      </c>
      <c r="AY107" s="19">
        <f t="shared" si="91"/>
        <v>0</v>
      </c>
      <c r="AZ107" s="19">
        <f t="shared" si="92"/>
        <v>0</v>
      </c>
      <c r="BA107" s="19">
        <f t="shared" si="93"/>
        <v>0</v>
      </c>
      <c r="BB107" s="19">
        <f t="shared" si="94"/>
        <v>0</v>
      </c>
      <c r="BC107" s="19">
        <f t="shared" si="95"/>
        <v>0</v>
      </c>
      <c r="BD107" s="19">
        <f>-IF(CUSTOS!B107="",0,CUSTOS!B107)</f>
        <v>0</v>
      </c>
      <c r="BF107" s="20">
        <f t="shared" si="96"/>
        <v>0</v>
      </c>
      <c r="BG107" s="20">
        <f t="shared" si="97"/>
        <v>0</v>
      </c>
      <c r="BH107" s="116">
        <f t="shared" si="97"/>
        <v>0</v>
      </c>
    </row>
    <row r="108" spans="1:60" ht="15" x14ac:dyDescent="0.25">
      <c r="A108" s="66" t="str">
        <f>IF(LARGE($A$11:A107,1)=$F$2,"",A107+1)</f>
        <v/>
      </c>
      <c r="B108" s="27" t="str">
        <f t="shared" si="56"/>
        <v/>
      </c>
      <c r="C108" s="28" t="str">
        <f t="shared" si="84"/>
        <v/>
      </c>
      <c r="D108" s="28" t="str">
        <f t="shared" si="57"/>
        <v/>
      </c>
      <c r="E108" s="28" t="str">
        <f t="shared" si="58"/>
        <v/>
      </c>
      <c r="F108" s="29" t="str">
        <f t="shared" si="59"/>
        <v/>
      </c>
      <c r="G108" s="29" t="str">
        <f t="shared" si="60"/>
        <v/>
      </c>
      <c r="H108" s="30" t="str">
        <f t="shared" si="61"/>
        <v/>
      </c>
      <c r="I108" s="30" t="str">
        <f t="shared" si="62"/>
        <v/>
      </c>
      <c r="J108" s="30" t="str">
        <f>IF(A108="","",H108+CUSTOS!B108)</f>
        <v/>
      </c>
      <c r="K108" s="30" t="str">
        <f t="shared" si="85"/>
        <v/>
      </c>
      <c r="L108" s="30" t="str">
        <f t="shared" si="86"/>
        <v/>
      </c>
      <c r="M108" s="30" t="str">
        <f t="shared" si="87"/>
        <v/>
      </c>
      <c r="N108" s="30" t="str">
        <f t="shared" si="63"/>
        <v/>
      </c>
      <c r="O108" s="31" t="str">
        <f t="shared" si="88"/>
        <v/>
      </c>
      <c r="P108" s="32"/>
      <c r="Q108" s="33" t="str">
        <f t="shared" si="64"/>
        <v/>
      </c>
      <c r="R108" s="33" t="str">
        <f t="shared" si="65"/>
        <v/>
      </c>
      <c r="S108" s="33" t="str">
        <f t="shared" si="66"/>
        <v/>
      </c>
      <c r="T108" s="33" t="str">
        <f t="shared" si="67"/>
        <v/>
      </c>
      <c r="U108" s="33" t="str">
        <f t="shared" si="68"/>
        <v/>
      </c>
      <c r="V108" s="33" t="str">
        <f t="shared" si="69"/>
        <v/>
      </c>
      <c r="X108" s="33" t="str">
        <f t="shared" si="70"/>
        <v/>
      </c>
      <c r="Y108" s="30" t="str">
        <f t="shared" si="71"/>
        <v/>
      </c>
      <c r="Z108" s="30" t="str">
        <f t="shared" si="72"/>
        <v/>
      </c>
      <c r="AA108" s="30" t="str">
        <f t="shared" si="73"/>
        <v/>
      </c>
      <c r="AB108" s="30" t="str">
        <f t="shared" si="74"/>
        <v/>
      </c>
      <c r="AD108" s="33" t="str">
        <f t="shared" si="75"/>
        <v/>
      </c>
      <c r="AE108" s="30" t="str">
        <f t="shared" si="76"/>
        <v/>
      </c>
      <c r="AF108" s="30" t="str">
        <f t="shared" si="77"/>
        <v/>
      </c>
      <c r="AG108" s="30" t="str">
        <f t="shared" si="78"/>
        <v/>
      </c>
      <c r="AH108" s="30" t="str">
        <f t="shared" si="79"/>
        <v/>
      </c>
      <c r="AJ108" s="85" t="str">
        <f t="shared" si="55"/>
        <v/>
      </c>
      <c r="AK108" s="86" t="str">
        <f t="shared" si="98"/>
        <v/>
      </c>
      <c r="AL108" s="86" t="str">
        <f t="shared" si="99"/>
        <v/>
      </c>
      <c r="AM108" s="86" t="str">
        <f t="shared" si="100"/>
        <v/>
      </c>
      <c r="AN108" s="86" t="str">
        <f t="shared" si="101"/>
        <v/>
      </c>
      <c r="AO108" s="86" t="str">
        <f t="shared" si="102"/>
        <v/>
      </c>
      <c r="AQ108" s="33" t="str">
        <f t="shared" si="80"/>
        <v/>
      </c>
      <c r="AR108" s="30" t="str">
        <f t="shared" si="81"/>
        <v/>
      </c>
      <c r="AU108" s="20">
        <f t="shared" si="82"/>
        <v>0</v>
      </c>
      <c r="AV108" s="20">
        <f t="shared" si="83"/>
        <v>0</v>
      </c>
      <c r="AW108" s="19">
        <f t="shared" si="89"/>
        <v>0</v>
      </c>
      <c r="AX108" s="19">
        <f t="shared" si="90"/>
        <v>0</v>
      </c>
      <c r="AY108" s="19">
        <f t="shared" si="91"/>
        <v>0</v>
      </c>
      <c r="AZ108" s="19">
        <f t="shared" si="92"/>
        <v>0</v>
      </c>
      <c r="BA108" s="19">
        <f t="shared" si="93"/>
        <v>0</v>
      </c>
      <c r="BB108" s="19">
        <f t="shared" si="94"/>
        <v>0</v>
      </c>
      <c r="BC108" s="19">
        <f t="shared" si="95"/>
        <v>0</v>
      </c>
      <c r="BD108" s="19">
        <f>-IF(CUSTOS!B108="",0,CUSTOS!B108)</f>
        <v>0</v>
      </c>
      <c r="BF108" s="20">
        <f t="shared" si="96"/>
        <v>0</v>
      </c>
      <c r="BG108" s="20">
        <f t="shared" si="97"/>
        <v>0</v>
      </c>
      <c r="BH108" s="116">
        <f t="shared" si="97"/>
        <v>0</v>
      </c>
    </row>
    <row r="109" spans="1:60" ht="15" x14ac:dyDescent="0.25">
      <c r="A109" s="66" t="str">
        <f>IF(LARGE($A$11:A108,1)=$F$2,"",A108+1)</f>
        <v/>
      </c>
      <c r="B109" s="27" t="str">
        <f t="shared" si="56"/>
        <v/>
      </c>
      <c r="C109" s="28" t="str">
        <f t="shared" si="84"/>
        <v/>
      </c>
      <c r="D109" s="28" t="str">
        <f t="shared" si="57"/>
        <v/>
      </c>
      <c r="E109" s="28" t="str">
        <f t="shared" si="58"/>
        <v/>
      </c>
      <c r="F109" s="29" t="str">
        <f t="shared" si="59"/>
        <v/>
      </c>
      <c r="G109" s="29" t="str">
        <f t="shared" si="60"/>
        <v/>
      </c>
      <c r="H109" s="30" t="str">
        <f t="shared" si="61"/>
        <v/>
      </c>
      <c r="I109" s="30" t="str">
        <f t="shared" si="62"/>
        <v/>
      </c>
      <c r="J109" s="30" t="str">
        <f>IF(A109="","",H109+CUSTOS!B109)</f>
        <v/>
      </c>
      <c r="K109" s="30" t="str">
        <f t="shared" si="85"/>
        <v/>
      </c>
      <c r="L109" s="30" t="str">
        <f t="shared" si="86"/>
        <v/>
      </c>
      <c r="M109" s="30" t="str">
        <f t="shared" si="87"/>
        <v/>
      </c>
      <c r="N109" s="30" t="str">
        <f t="shared" si="63"/>
        <v/>
      </c>
      <c r="O109" s="31" t="str">
        <f t="shared" si="88"/>
        <v/>
      </c>
      <c r="P109" s="32"/>
      <c r="Q109" s="33" t="str">
        <f t="shared" si="64"/>
        <v/>
      </c>
      <c r="R109" s="33" t="str">
        <f t="shared" si="65"/>
        <v/>
      </c>
      <c r="S109" s="33" t="str">
        <f t="shared" si="66"/>
        <v/>
      </c>
      <c r="T109" s="33" t="str">
        <f t="shared" si="67"/>
        <v/>
      </c>
      <c r="U109" s="33" t="str">
        <f t="shared" si="68"/>
        <v/>
      </c>
      <c r="V109" s="33" t="str">
        <f t="shared" si="69"/>
        <v/>
      </c>
      <c r="X109" s="33" t="str">
        <f t="shared" si="70"/>
        <v/>
      </c>
      <c r="Y109" s="30" t="str">
        <f t="shared" si="71"/>
        <v/>
      </c>
      <c r="Z109" s="30" t="str">
        <f t="shared" si="72"/>
        <v/>
      </c>
      <c r="AA109" s="30" t="str">
        <f t="shared" si="73"/>
        <v/>
      </c>
      <c r="AB109" s="30" t="str">
        <f t="shared" si="74"/>
        <v/>
      </c>
      <c r="AD109" s="33" t="str">
        <f t="shared" si="75"/>
        <v/>
      </c>
      <c r="AE109" s="30" t="str">
        <f t="shared" si="76"/>
        <v/>
      </c>
      <c r="AF109" s="30" t="str">
        <f t="shared" si="77"/>
        <v/>
      </c>
      <c r="AG109" s="30" t="str">
        <f t="shared" si="78"/>
        <v/>
      </c>
      <c r="AH109" s="30" t="str">
        <f t="shared" si="79"/>
        <v/>
      </c>
      <c r="AJ109" s="85" t="str">
        <f t="shared" si="55"/>
        <v/>
      </c>
      <c r="AK109" s="86" t="str">
        <f t="shared" si="98"/>
        <v/>
      </c>
      <c r="AL109" s="86" t="str">
        <f t="shared" si="99"/>
        <v/>
      </c>
      <c r="AM109" s="86" t="str">
        <f t="shared" si="100"/>
        <v/>
      </c>
      <c r="AN109" s="86" t="str">
        <f t="shared" si="101"/>
        <v/>
      </c>
      <c r="AO109" s="86" t="str">
        <f t="shared" si="102"/>
        <v/>
      </c>
      <c r="AQ109" s="33" t="str">
        <f t="shared" si="80"/>
        <v/>
      </c>
      <c r="AR109" s="30" t="str">
        <f t="shared" si="81"/>
        <v/>
      </c>
      <c r="AU109" s="20">
        <f t="shared" si="82"/>
        <v>0</v>
      </c>
      <c r="AV109" s="20">
        <f t="shared" si="83"/>
        <v>0</v>
      </c>
      <c r="AW109" s="19">
        <f t="shared" si="89"/>
        <v>0</v>
      </c>
      <c r="AX109" s="19">
        <f t="shared" si="90"/>
        <v>0</v>
      </c>
      <c r="AY109" s="19">
        <f t="shared" si="91"/>
        <v>0</v>
      </c>
      <c r="AZ109" s="19">
        <f t="shared" si="92"/>
        <v>0</v>
      </c>
      <c r="BA109" s="19">
        <f t="shared" si="93"/>
        <v>0</v>
      </c>
      <c r="BB109" s="19">
        <f t="shared" si="94"/>
        <v>0</v>
      </c>
      <c r="BC109" s="19">
        <f t="shared" si="95"/>
        <v>0</v>
      </c>
      <c r="BD109" s="19">
        <f>-IF(CUSTOS!B109="",0,CUSTOS!B109)</f>
        <v>0</v>
      </c>
      <c r="BF109" s="20">
        <f t="shared" si="96"/>
        <v>0</v>
      </c>
      <c r="BG109" s="20">
        <f t="shared" si="97"/>
        <v>0</v>
      </c>
      <c r="BH109" s="116">
        <f t="shared" si="97"/>
        <v>0</v>
      </c>
    </row>
    <row r="110" spans="1:60" ht="15" x14ac:dyDescent="0.25">
      <c r="A110" s="66" t="str">
        <f>IF(LARGE($A$11:A109,1)=$F$2,"",A109+1)</f>
        <v/>
      </c>
      <c r="B110" s="27" t="str">
        <f t="shared" si="56"/>
        <v/>
      </c>
      <c r="C110" s="28" t="str">
        <f t="shared" si="84"/>
        <v/>
      </c>
      <c r="D110" s="28" t="str">
        <f t="shared" si="57"/>
        <v/>
      </c>
      <c r="E110" s="28" t="str">
        <f t="shared" si="58"/>
        <v/>
      </c>
      <c r="F110" s="29" t="str">
        <f t="shared" si="59"/>
        <v/>
      </c>
      <c r="G110" s="29" t="str">
        <f t="shared" si="60"/>
        <v/>
      </c>
      <c r="H110" s="30" t="str">
        <f t="shared" si="61"/>
        <v/>
      </c>
      <c r="I110" s="30" t="str">
        <f t="shared" si="62"/>
        <v/>
      </c>
      <c r="J110" s="30" t="str">
        <f>IF(A110="","",H110+CUSTOS!B110)</f>
        <v/>
      </c>
      <c r="K110" s="30" t="str">
        <f t="shared" si="85"/>
        <v/>
      </c>
      <c r="L110" s="30" t="str">
        <f t="shared" si="86"/>
        <v/>
      </c>
      <c r="M110" s="30" t="str">
        <f t="shared" si="87"/>
        <v/>
      </c>
      <c r="N110" s="30" t="str">
        <f t="shared" si="63"/>
        <v/>
      </c>
      <c r="O110" s="31" t="str">
        <f t="shared" si="88"/>
        <v/>
      </c>
      <c r="P110" s="32"/>
      <c r="Q110" s="33" t="str">
        <f t="shared" si="64"/>
        <v/>
      </c>
      <c r="R110" s="33" t="str">
        <f t="shared" si="65"/>
        <v/>
      </c>
      <c r="S110" s="33" t="str">
        <f t="shared" si="66"/>
        <v/>
      </c>
      <c r="T110" s="33" t="str">
        <f t="shared" si="67"/>
        <v/>
      </c>
      <c r="U110" s="33" t="str">
        <f t="shared" si="68"/>
        <v/>
      </c>
      <c r="V110" s="33" t="str">
        <f t="shared" si="69"/>
        <v/>
      </c>
      <c r="X110" s="33" t="str">
        <f t="shared" si="70"/>
        <v/>
      </c>
      <c r="Y110" s="30" t="str">
        <f t="shared" si="71"/>
        <v/>
      </c>
      <c r="Z110" s="30" t="str">
        <f t="shared" si="72"/>
        <v/>
      </c>
      <c r="AA110" s="30" t="str">
        <f t="shared" si="73"/>
        <v/>
      </c>
      <c r="AB110" s="30" t="str">
        <f t="shared" si="74"/>
        <v/>
      </c>
      <c r="AD110" s="33" t="str">
        <f t="shared" si="75"/>
        <v/>
      </c>
      <c r="AE110" s="30" t="str">
        <f t="shared" si="76"/>
        <v/>
      </c>
      <c r="AF110" s="30" t="str">
        <f t="shared" si="77"/>
        <v/>
      </c>
      <c r="AG110" s="30" t="str">
        <f t="shared" si="78"/>
        <v/>
      </c>
      <c r="AH110" s="30" t="str">
        <f t="shared" si="79"/>
        <v/>
      </c>
      <c r="AJ110" s="85" t="str">
        <f t="shared" si="55"/>
        <v/>
      </c>
      <c r="AK110" s="86" t="str">
        <f t="shared" si="98"/>
        <v/>
      </c>
      <c r="AL110" s="86" t="str">
        <f t="shared" si="99"/>
        <v/>
      </c>
      <c r="AM110" s="86" t="str">
        <f t="shared" si="100"/>
        <v/>
      </c>
      <c r="AN110" s="86" t="str">
        <f t="shared" si="101"/>
        <v/>
      </c>
      <c r="AO110" s="86" t="str">
        <f t="shared" si="102"/>
        <v/>
      </c>
      <c r="AQ110" s="33" t="str">
        <f t="shared" si="80"/>
        <v/>
      </c>
      <c r="AR110" s="30" t="str">
        <f t="shared" si="81"/>
        <v/>
      </c>
      <c r="AU110" s="20">
        <f t="shared" si="82"/>
        <v>0</v>
      </c>
      <c r="AV110" s="20">
        <f t="shared" si="83"/>
        <v>0</v>
      </c>
      <c r="AW110" s="19">
        <f t="shared" si="89"/>
        <v>0</v>
      </c>
      <c r="AX110" s="19">
        <f t="shared" si="90"/>
        <v>0</v>
      </c>
      <c r="AY110" s="19">
        <f t="shared" si="91"/>
        <v>0</v>
      </c>
      <c r="AZ110" s="19">
        <f t="shared" si="92"/>
        <v>0</v>
      </c>
      <c r="BA110" s="19">
        <f t="shared" si="93"/>
        <v>0</v>
      </c>
      <c r="BB110" s="19">
        <f t="shared" si="94"/>
        <v>0</v>
      </c>
      <c r="BC110" s="19">
        <f t="shared" si="95"/>
        <v>0</v>
      </c>
      <c r="BD110" s="19">
        <f>-IF(CUSTOS!B110="",0,CUSTOS!B110)</f>
        <v>0</v>
      </c>
      <c r="BF110" s="20">
        <f t="shared" si="96"/>
        <v>0</v>
      </c>
      <c r="BG110" s="20">
        <f t="shared" si="97"/>
        <v>0</v>
      </c>
      <c r="BH110" s="116">
        <f t="shared" si="97"/>
        <v>0</v>
      </c>
    </row>
    <row r="111" spans="1:60" ht="15" x14ac:dyDescent="0.25">
      <c r="A111" s="66" t="str">
        <f>IF(LARGE($A$11:A110,1)=$F$2,"",A110+1)</f>
        <v/>
      </c>
      <c r="B111" s="27" t="str">
        <f t="shared" si="56"/>
        <v/>
      </c>
      <c r="C111" s="28" t="str">
        <f t="shared" si="84"/>
        <v/>
      </c>
      <c r="D111" s="28" t="str">
        <f t="shared" si="57"/>
        <v/>
      </c>
      <c r="E111" s="28" t="str">
        <f t="shared" si="58"/>
        <v/>
      </c>
      <c r="F111" s="29" t="str">
        <f t="shared" si="59"/>
        <v/>
      </c>
      <c r="G111" s="29" t="str">
        <f t="shared" si="60"/>
        <v/>
      </c>
      <c r="H111" s="30" t="str">
        <f t="shared" si="61"/>
        <v/>
      </c>
      <c r="I111" s="30" t="str">
        <f t="shared" si="62"/>
        <v/>
      </c>
      <c r="J111" s="30" t="str">
        <f>IF(A111="","",H111+CUSTOS!B111)</f>
        <v/>
      </c>
      <c r="K111" s="30" t="str">
        <f t="shared" si="85"/>
        <v/>
      </c>
      <c r="L111" s="30" t="str">
        <f t="shared" si="86"/>
        <v/>
      </c>
      <c r="M111" s="30" t="str">
        <f t="shared" si="87"/>
        <v/>
      </c>
      <c r="N111" s="30" t="str">
        <f t="shared" si="63"/>
        <v/>
      </c>
      <c r="O111" s="31" t="str">
        <f t="shared" si="88"/>
        <v/>
      </c>
      <c r="P111" s="32"/>
      <c r="Q111" s="33" t="str">
        <f t="shared" si="64"/>
        <v/>
      </c>
      <c r="R111" s="33" t="str">
        <f t="shared" si="65"/>
        <v/>
      </c>
      <c r="S111" s="33" t="str">
        <f t="shared" si="66"/>
        <v/>
      </c>
      <c r="T111" s="33" t="str">
        <f t="shared" si="67"/>
        <v/>
      </c>
      <c r="U111" s="33" t="str">
        <f t="shared" si="68"/>
        <v/>
      </c>
      <c r="V111" s="33" t="str">
        <f t="shared" si="69"/>
        <v/>
      </c>
      <c r="X111" s="33" t="str">
        <f t="shared" si="70"/>
        <v/>
      </c>
      <c r="Y111" s="30" t="str">
        <f t="shared" si="71"/>
        <v/>
      </c>
      <c r="Z111" s="30" t="str">
        <f t="shared" si="72"/>
        <v/>
      </c>
      <c r="AA111" s="30" t="str">
        <f t="shared" si="73"/>
        <v/>
      </c>
      <c r="AB111" s="30" t="str">
        <f t="shared" si="74"/>
        <v/>
      </c>
      <c r="AD111" s="33" t="str">
        <f t="shared" si="75"/>
        <v/>
      </c>
      <c r="AE111" s="30" t="str">
        <f t="shared" si="76"/>
        <v/>
      </c>
      <c r="AF111" s="30" t="str">
        <f t="shared" si="77"/>
        <v/>
      </c>
      <c r="AG111" s="30" t="str">
        <f t="shared" si="78"/>
        <v/>
      </c>
      <c r="AH111" s="30" t="str">
        <f t="shared" si="79"/>
        <v/>
      </c>
      <c r="AJ111" s="85" t="str">
        <f t="shared" si="55"/>
        <v/>
      </c>
      <c r="AK111" s="86" t="str">
        <f t="shared" si="98"/>
        <v/>
      </c>
      <c r="AL111" s="86" t="str">
        <f t="shared" si="99"/>
        <v/>
      </c>
      <c r="AM111" s="86" t="str">
        <f t="shared" si="100"/>
        <v/>
      </c>
      <c r="AN111" s="86" t="str">
        <f t="shared" si="101"/>
        <v/>
      </c>
      <c r="AO111" s="86" t="str">
        <f t="shared" si="102"/>
        <v/>
      </c>
      <c r="AQ111" s="33" t="str">
        <f t="shared" si="80"/>
        <v/>
      </c>
      <c r="AR111" s="30" t="str">
        <f t="shared" si="81"/>
        <v/>
      </c>
      <c r="AU111" s="20">
        <f t="shared" si="82"/>
        <v>0</v>
      </c>
      <c r="AV111" s="20">
        <f t="shared" si="83"/>
        <v>0</v>
      </c>
      <c r="AW111" s="19">
        <f t="shared" si="89"/>
        <v>0</v>
      </c>
      <c r="AX111" s="19">
        <f t="shared" si="90"/>
        <v>0</v>
      </c>
      <c r="AY111" s="19">
        <f t="shared" si="91"/>
        <v>0</v>
      </c>
      <c r="AZ111" s="19">
        <f t="shared" si="92"/>
        <v>0</v>
      </c>
      <c r="BA111" s="19">
        <f t="shared" si="93"/>
        <v>0</v>
      </c>
      <c r="BB111" s="19">
        <f t="shared" si="94"/>
        <v>0</v>
      </c>
      <c r="BC111" s="19">
        <f t="shared" si="95"/>
        <v>0</v>
      </c>
      <c r="BD111" s="19">
        <f>-IF(CUSTOS!B111="",0,CUSTOS!B111)</f>
        <v>0</v>
      </c>
      <c r="BF111" s="20">
        <f t="shared" si="96"/>
        <v>0</v>
      </c>
      <c r="BG111" s="20">
        <f t="shared" si="97"/>
        <v>0</v>
      </c>
      <c r="BH111" s="116">
        <f t="shared" si="97"/>
        <v>0</v>
      </c>
    </row>
    <row r="112" spans="1:60" ht="15" x14ac:dyDescent="0.25">
      <c r="A112" s="66" t="str">
        <f>IF(LARGE($A$11:A111,1)=$F$2,"",A111+1)</f>
        <v/>
      </c>
      <c r="B112" s="27" t="str">
        <f t="shared" si="56"/>
        <v/>
      </c>
      <c r="C112" s="28" t="str">
        <f t="shared" si="84"/>
        <v/>
      </c>
      <c r="D112" s="28" t="str">
        <f t="shared" si="57"/>
        <v/>
      </c>
      <c r="E112" s="28" t="str">
        <f t="shared" si="58"/>
        <v/>
      </c>
      <c r="F112" s="29" t="str">
        <f t="shared" si="59"/>
        <v/>
      </c>
      <c r="G112" s="29" t="str">
        <f t="shared" si="60"/>
        <v/>
      </c>
      <c r="H112" s="30" t="str">
        <f t="shared" si="61"/>
        <v/>
      </c>
      <c r="I112" s="30" t="str">
        <f t="shared" si="62"/>
        <v/>
      </c>
      <c r="J112" s="30" t="str">
        <f>IF(A112="","",H112+CUSTOS!B112)</f>
        <v/>
      </c>
      <c r="K112" s="30" t="str">
        <f t="shared" si="85"/>
        <v/>
      </c>
      <c r="L112" s="30" t="str">
        <f t="shared" si="86"/>
        <v/>
      </c>
      <c r="M112" s="30" t="str">
        <f t="shared" si="87"/>
        <v/>
      </c>
      <c r="N112" s="30" t="str">
        <f t="shared" si="63"/>
        <v/>
      </c>
      <c r="O112" s="31" t="str">
        <f t="shared" si="88"/>
        <v/>
      </c>
      <c r="P112" s="32"/>
      <c r="Q112" s="33" t="str">
        <f t="shared" si="64"/>
        <v/>
      </c>
      <c r="R112" s="33" t="str">
        <f t="shared" si="65"/>
        <v/>
      </c>
      <c r="S112" s="33" t="str">
        <f t="shared" si="66"/>
        <v/>
      </c>
      <c r="T112" s="33" t="str">
        <f t="shared" si="67"/>
        <v/>
      </c>
      <c r="U112" s="33" t="str">
        <f t="shared" si="68"/>
        <v/>
      </c>
      <c r="V112" s="33" t="str">
        <f t="shared" si="69"/>
        <v/>
      </c>
      <c r="X112" s="33" t="str">
        <f t="shared" si="70"/>
        <v/>
      </c>
      <c r="Y112" s="30" t="str">
        <f t="shared" si="71"/>
        <v/>
      </c>
      <c r="Z112" s="30" t="str">
        <f t="shared" si="72"/>
        <v/>
      </c>
      <c r="AA112" s="30" t="str">
        <f t="shared" si="73"/>
        <v/>
      </c>
      <c r="AB112" s="30" t="str">
        <f t="shared" si="74"/>
        <v/>
      </c>
      <c r="AD112" s="33" t="str">
        <f t="shared" si="75"/>
        <v/>
      </c>
      <c r="AE112" s="30" t="str">
        <f t="shared" si="76"/>
        <v/>
      </c>
      <c r="AF112" s="30" t="str">
        <f t="shared" si="77"/>
        <v/>
      </c>
      <c r="AG112" s="30" t="str">
        <f t="shared" si="78"/>
        <v/>
      </c>
      <c r="AH112" s="30" t="str">
        <f t="shared" si="79"/>
        <v/>
      </c>
      <c r="AJ112" s="85" t="str">
        <f t="shared" si="55"/>
        <v/>
      </c>
      <c r="AK112" s="86" t="str">
        <f t="shared" si="98"/>
        <v/>
      </c>
      <c r="AL112" s="86" t="str">
        <f t="shared" si="99"/>
        <v/>
      </c>
      <c r="AM112" s="86" t="str">
        <f t="shared" si="100"/>
        <v/>
      </c>
      <c r="AN112" s="86" t="str">
        <f t="shared" si="101"/>
        <v/>
      </c>
      <c r="AO112" s="86" t="str">
        <f t="shared" si="102"/>
        <v/>
      </c>
      <c r="AQ112" s="33" t="str">
        <f t="shared" si="80"/>
        <v/>
      </c>
      <c r="AR112" s="30" t="str">
        <f t="shared" si="81"/>
        <v/>
      </c>
      <c r="AU112" s="20">
        <f t="shared" si="82"/>
        <v>0</v>
      </c>
      <c r="AV112" s="20">
        <f t="shared" si="83"/>
        <v>0</v>
      </c>
      <c r="AW112" s="19">
        <f t="shared" si="89"/>
        <v>0</v>
      </c>
      <c r="AX112" s="19">
        <f t="shared" si="90"/>
        <v>0</v>
      </c>
      <c r="AY112" s="19">
        <f t="shared" si="91"/>
        <v>0</v>
      </c>
      <c r="AZ112" s="19">
        <f t="shared" si="92"/>
        <v>0</v>
      </c>
      <c r="BA112" s="19">
        <f t="shared" si="93"/>
        <v>0</v>
      </c>
      <c r="BB112" s="19">
        <f t="shared" si="94"/>
        <v>0</v>
      </c>
      <c r="BC112" s="19">
        <f t="shared" si="95"/>
        <v>0</v>
      </c>
      <c r="BD112" s="19">
        <f>-IF(CUSTOS!B112="",0,CUSTOS!B112)</f>
        <v>0</v>
      </c>
      <c r="BF112" s="20">
        <f t="shared" si="96"/>
        <v>0</v>
      </c>
      <c r="BG112" s="20">
        <f t="shared" si="97"/>
        <v>0</v>
      </c>
      <c r="BH112" s="116">
        <f t="shared" si="97"/>
        <v>0</v>
      </c>
    </row>
    <row r="113" spans="1:60" ht="15" x14ac:dyDescent="0.25">
      <c r="A113" s="66" t="str">
        <f>IF(LARGE($A$11:A112,1)=$F$2,"",A112+1)</f>
        <v/>
      </c>
      <c r="B113" s="27" t="str">
        <f t="shared" si="56"/>
        <v/>
      </c>
      <c r="C113" s="28" t="str">
        <f t="shared" si="84"/>
        <v/>
      </c>
      <c r="D113" s="28" t="str">
        <f t="shared" si="57"/>
        <v/>
      </c>
      <c r="E113" s="28" t="str">
        <f t="shared" si="58"/>
        <v/>
      </c>
      <c r="F113" s="29" t="str">
        <f t="shared" si="59"/>
        <v/>
      </c>
      <c r="G113" s="29" t="str">
        <f t="shared" si="60"/>
        <v/>
      </c>
      <c r="H113" s="30" t="str">
        <f t="shared" si="61"/>
        <v/>
      </c>
      <c r="I113" s="30" t="str">
        <f t="shared" si="62"/>
        <v/>
      </c>
      <c r="J113" s="30" t="str">
        <f>IF(A113="","",H113+CUSTOS!B113)</f>
        <v/>
      </c>
      <c r="K113" s="30" t="str">
        <f t="shared" si="85"/>
        <v/>
      </c>
      <c r="L113" s="30" t="str">
        <f t="shared" si="86"/>
        <v/>
      </c>
      <c r="M113" s="30" t="str">
        <f t="shared" si="87"/>
        <v/>
      </c>
      <c r="N113" s="30" t="str">
        <f t="shared" si="63"/>
        <v/>
      </c>
      <c r="O113" s="31" t="str">
        <f t="shared" si="88"/>
        <v/>
      </c>
      <c r="P113" s="32"/>
      <c r="Q113" s="33" t="str">
        <f t="shared" si="64"/>
        <v/>
      </c>
      <c r="R113" s="33" t="str">
        <f t="shared" si="65"/>
        <v/>
      </c>
      <c r="S113" s="33" t="str">
        <f t="shared" si="66"/>
        <v/>
      </c>
      <c r="T113" s="33" t="str">
        <f t="shared" si="67"/>
        <v/>
      </c>
      <c r="U113" s="33" t="str">
        <f t="shared" si="68"/>
        <v/>
      </c>
      <c r="V113" s="33" t="str">
        <f t="shared" si="69"/>
        <v/>
      </c>
      <c r="X113" s="33" t="str">
        <f t="shared" si="70"/>
        <v/>
      </c>
      <c r="Y113" s="30" t="str">
        <f t="shared" si="71"/>
        <v/>
      </c>
      <c r="Z113" s="30" t="str">
        <f t="shared" si="72"/>
        <v/>
      </c>
      <c r="AA113" s="30" t="str">
        <f t="shared" si="73"/>
        <v/>
      </c>
      <c r="AB113" s="30" t="str">
        <f t="shared" si="74"/>
        <v/>
      </c>
      <c r="AD113" s="33" t="str">
        <f t="shared" si="75"/>
        <v/>
      </c>
      <c r="AE113" s="30" t="str">
        <f t="shared" si="76"/>
        <v/>
      </c>
      <c r="AF113" s="30" t="str">
        <f t="shared" si="77"/>
        <v/>
      </c>
      <c r="AG113" s="30" t="str">
        <f t="shared" si="78"/>
        <v/>
      </c>
      <c r="AH113" s="30" t="str">
        <f t="shared" si="79"/>
        <v/>
      </c>
      <c r="AJ113" s="85" t="str">
        <f t="shared" si="55"/>
        <v/>
      </c>
      <c r="AK113" s="86" t="str">
        <f t="shared" si="98"/>
        <v/>
      </c>
      <c r="AL113" s="86" t="str">
        <f t="shared" si="99"/>
        <v/>
      </c>
      <c r="AM113" s="86" t="str">
        <f t="shared" si="100"/>
        <v/>
      </c>
      <c r="AN113" s="86" t="str">
        <f t="shared" si="101"/>
        <v/>
      </c>
      <c r="AO113" s="86" t="str">
        <f t="shared" si="102"/>
        <v/>
      </c>
      <c r="AQ113" s="33" t="str">
        <f t="shared" si="80"/>
        <v/>
      </c>
      <c r="AR113" s="30" t="str">
        <f t="shared" si="81"/>
        <v/>
      </c>
      <c r="AU113" s="20">
        <f t="shared" si="82"/>
        <v>0</v>
      </c>
      <c r="AV113" s="20">
        <f t="shared" si="83"/>
        <v>0</v>
      </c>
      <c r="AW113" s="19">
        <f t="shared" si="89"/>
        <v>0</v>
      </c>
      <c r="AX113" s="19">
        <f t="shared" si="90"/>
        <v>0</v>
      </c>
      <c r="AY113" s="19">
        <f t="shared" si="91"/>
        <v>0</v>
      </c>
      <c r="AZ113" s="19">
        <f t="shared" si="92"/>
        <v>0</v>
      </c>
      <c r="BA113" s="19">
        <f t="shared" si="93"/>
        <v>0</v>
      </c>
      <c r="BB113" s="19">
        <f t="shared" si="94"/>
        <v>0</v>
      </c>
      <c r="BC113" s="19">
        <f t="shared" si="95"/>
        <v>0</v>
      </c>
      <c r="BD113" s="19">
        <f>-IF(CUSTOS!B113="",0,CUSTOS!B113)</f>
        <v>0</v>
      </c>
      <c r="BF113" s="20">
        <f t="shared" si="96"/>
        <v>0</v>
      </c>
      <c r="BG113" s="20">
        <f t="shared" si="97"/>
        <v>0</v>
      </c>
      <c r="BH113" s="116">
        <f t="shared" si="97"/>
        <v>0</v>
      </c>
    </row>
    <row r="114" spans="1:60" ht="15" x14ac:dyDescent="0.25">
      <c r="A114" s="66" t="str">
        <f>IF(LARGE($A$11:A113,1)=$F$2,"",A113+1)</f>
        <v/>
      </c>
      <c r="B114" s="27" t="str">
        <f t="shared" si="56"/>
        <v/>
      </c>
      <c r="C114" s="28" t="str">
        <f t="shared" si="84"/>
        <v/>
      </c>
      <c r="D114" s="28" t="str">
        <f t="shared" si="57"/>
        <v/>
      </c>
      <c r="E114" s="28" t="str">
        <f t="shared" si="58"/>
        <v/>
      </c>
      <c r="F114" s="29" t="str">
        <f t="shared" si="59"/>
        <v/>
      </c>
      <c r="G114" s="29" t="str">
        <f t="shared" si="60"/>
        <v/>
      </c>
      <c r="H114" s="30" t="str">
        <f t="shared" si="61"/>
        <v/>
      </c>
      <c r="I114" s="30" t="str">
        <f t="shared" si="62"/>
        <v/>
      </c>
      <c r="J114" s="30" t="str">
        <f>IF(A114="","",H114+CUSTOS!B114)</f>
        <v/>
      </c>
      <c r="K114" s="30" t="str">
        <f t="shared" si="85"/>
        <v/>
      </c>
      <c r="L114" s="30" t="str">
        <f t="shared" si="86"/>
        <v/>
      </c>
      <c r="M114" s="30" t="str">
        <f t="shared" si="87"/>
        <v/>
      </c>
      <c r="N114" s="30" t="str">
        <f t="shared" si="63"/>
        <v/>
      </c>
      <c r="O114" s="31" t="str">
        <f t="shared" si="88"/>
        <v/>
      </c>
      <c r="P114" s="32"/>
      <c r="Q114" s="33" t="str">
        <f t="shared" si="64"/>
        <v/>
      </c>
      <c r="R114" s="33" t="str">
        <f t="shared" si="65"/>
        <v/>
      </c>
      <c r="S114" s="33" t="str">
        <f t="shared" si="66"/>
        <v/>
      </c>
      <c r="T114" s="33" t="str">
        <f t="shared" si="67"/>
        <v/>
      </c>
      <c r="U114" s="33" t="str">
        <f t="shared" si="68"/>
        <v/>
      </c>
      <c r="V114" s="33" t="str">
        <f t="shared" si="69"/>
        <v/>
      </c>
      <c r="X114" s="33" t="str">
        <f t="shared" si="70"/>
        <v/>
      </c>
      <c r="Y114" s="30" t="str">
        <f t="shared" si="71"/>
        <v/>
      </c>
      <c r="Z114" s="30" t="str">
        <f t="shared" si="72"/>
        <v/>
      </c>
      <c r="AA114" s="30" t="str">
        <f t="shared" si="73"/>
        <v/>
      </c>
      <c r="AB114" s="30" t="str">
        <f t="shared" si="74"/>
        <v/>
      </c>
      <c r="AD114" s="33" t="str">
        <f t="shared" si="75"/>
        <v/>
      </c>
      <c r="AE114" s="30" t="str">
        <f t="shared" si="76"/>
        <v/>
      </c>
      <c r="AF114" s="30" t="str">
        <f t="shared" si="77"/>
        <v/>
      </c>
      <c r="AG114" s="30" t="str">
        <f t="shared" si="78"/>
        <v/>
      </c>
      <c r="AH114" s="30" t="str">
        <f t="shared" si="79"/>
        <v/>
      </c>
      <c r="AJ114" s="85" t="str">
        <f t="shared" si="55"/>
        <v/>
      </c>
      <c r="AK114" s="86" t="str">
        <f t="shared" si="98"/>
        <v/>
      </c>
      <c r="AL114" s="86" t="str">
        <f t="shared" si="99"/>
        <v/>
      </c>
      <c r="AM114" s="86" t="str">
        <f t="shared" si="100"/>
        <v/>
      </c>
      <c r="AN114" s="86" t="str">
        <f t="shared" si="101"/>
        <v/>
      </c>
      <c r="AO114" s="86" t="str">
        <f t="shared" si="102"/>
        <v/>
      </c>
      <c r="AQ114" s="33" t="str">
        <f t="shared" si="80"/>
        <v/>
      </c>
      <c r="AR114" s="30" t="str">
        <f t="shared" si="81"/>
        <v/>
      </c>
      <c r="AU114" s="20">
        <f t="shared" si="82"/>
        <v>0</v>
      </c>
      <c r="AV114" s="20">
        <f t="shared" si="83"/>
        <v>0</v>
      </c>
      <c r="AW114" s="19">
        <f t="shared" si="89"/>
        <v>0</v>
      </c>
      <c r="AX114" s="19">
        <f t="shared" si="90"/>
        <v>0</v>
      </c>
      <c r="AY114" s="19">
        <f t="shared" si="91"/>
        <v>0</v>
      </c>
      <c r="AZ114" s="19">
        <f t="shared" si="92"/>
        <v>0</v>
      </c>
      <c r="BA114" s="19">
        <f t="shared" si="93"/>
        <v>0</v>
      </c>
      <c r="BB114" s="19">
        <f t="shared" si="94"/>
        <v>0</v>
      </c>
      <c r="BC114" s="19">
        <f t="shared" si="95"/>
        <v>0</v>
      </c>
      <c r="BD114" s="19">
        <f>-IF(CUSTOS!B114="",0,CUSTOS!B114)</f>
        <v>0</v>
      </c>
      <c r="BF114" s="20">
        <f t="shared" si="96"/>
        <v>0</v>
      </c>
      <c r="BG114" s="20">
        <f t="shared" si="97"/>
        <v>0</v>
      </c>
      <c r="BH114" s="116">
        <f t="shared" si="97"/>
        <v>0</v>
      </c>
    </row>
    <row r="115" spans="1:60" ht="15" x14ac:dyDescent="0.25">
      <c r="A115" s="66" t="str">
        <f>IF(LARGE($A$11:A114,1)=$F$2,"",A114+1)</f>
        <v/>
      </c>
      <c r="B115" s="27" t="str">
        <f t="shared" si="56"/>
        <v/>
      </c>
      <c r="C115" s="28" t="str">
        <f t="shared" si="84"/>
        <v/>
      </c>
      <c r="D115" s="28" t="str">
        <f t="shared" si="57"/>
        <v/>
      </c>
      <c r="E115" s="28" t="str">
        <f t="shared" si="58"/>
        <v/>
      </c>
      <c r="F115" s="29" t="str">
        <f t="shared" si="59"/>
        <v/>
      </c>
      <c r="G115" s="29" t="str">
        <f t="shared" si="60"/>
        <v/>
      </c>
      <c r="H115" s="30" t="str">
        <f t="shared" si="61"/>
        <v/>
      </c>
      <c r="I115" s="30" t="str">
        <f t="shared" si="62"/>
        <v/>
      </c>
      <c r="J115" s="30" t="str">
        <f>IF(A115="","",H115+CUSTOS!B115)</f>
        <v/>
      </c>
      <c r="K115" s="30" t="str">
        <f t="shared" si="85"/>
        <v/>
      </c>
      <c r="L115" s="30" t="str">
        <f t="shared" si="86"/>
        <v/>
      </c>
      <c r="M115" s="30" t="str">
        <f t="shared" si="87"/>
        <v/>
      </c>
      <c r="N115" s="30" t="str">
        <f t="shared" si="63"/>
        <v/>
      </c>
      <c r="O115" s="31" t="str">
        <f t="shared" si="88"/>
        <v/>
      </c>
      <c r="P115" s="32"/>
      <c r="Q115" s="33" t="str">
        <f t="shared" si="64"/>
        <v/>
      </c>
      <c r="R115" s="33" t="str">
        <f t="shared" si="65"/>
        <v/>
      </c>
      <c r="S115" s="33" t="str">
        <f t="shared" si="66"/>
        <v/>
      </c>
      <c r="T115" s="33" t="str">
        <f t="shared" si="67"/>
        <v/>
      </c>
      <c r="U115" s="33" t="str">
        <f t="shared" si="68"/>
        <v/>
      </c>
      <c r="V115" s="33" t="str">
        <f t="shared" si="69"/>
        <v/>
      </c>
      <c r="X115" s="33" t="str">
        <f t="shared" si="70"/>
        <v/>
      </c>
      <c r="Y115" s="30" t="str">
        <f t="shared" si="71"/>
        <v/>
      </c>
      <c r="Z115" s="30" t="str">
        <f t="shared" si="72"/>
        <v/>
      </c>
      <c r="AA115" s="30" t="str">
        <f t="shared" si="73"/>
        <v/>
      </c>
      <c r="AB115" s="30" t="str">
        <f t="shared" si="74"/>
        <v/>
      </c>
      <c r="AD115" s="33" t="str">
        <f t="shared" si="75"/>
        <v/>
      </c>
      <c r="AE115" s="30" t="str">
        <f t="shared" si="76"/>
        <v/>
      </c>
      <c r="AF115" s="30" t="str">
        <f t="shared" si="77"/>
        <v/>
      </c>
      <c r="AG115" s="30" t="str">
        <f t="shared" si="78"/>
        <v/>
      </c>
      <c r="AH115" s="30" t="str">
        <f t="shared" si="79"/>
        <v/>
      </c>
      <c r="AJ115" s="85" t="str">
        <f t="shared" si="55"/>
        <v/>
      </c>
      <c r="AK115" s="86" t="str">
        <f t="shared" si="98"/>
        <v/>
      </c>
      <c r="AL115" s="86" t="str">
        <f t="shared" si="99"/>
        <v/>
      </c>
      <c r="AM115" s="86" t="str">
        <f t="shared" si="100"/>
        <v/>
      </c>
      <c r="AN115" s="86" t="str">
        <f t="shared" si="101"/>
        <v/>
      </c>
      <c r="AO115" s="86" t="str">
        <f t="shared" si="102"/>
        <v/>
      </c>
      <c r="AQ115" s="33" t="str">
        <f t="shared" si="80"/>
        <v/>
      </c>
      <c r="AR115" s="30" t="str">
        <f t="shared" si="81"/>
        <v/>
      </c>
      <c r="AU115" s="20">
        <f t="shared" si="82"/>
        <v>0</v>
      </c>
      <c r="AV115" s="20">
        <f t="shared" si="83"/>
        <v>0</v>
      </c>
      <c r="AW115" s="19">
        <f t="shared" si="89"/>
        <v>0</v>
      </c>
      <c r="AX115" s="19">
        <f t="shared" si="90"/>
        <v>0</v>
      </c>
      <c r="AY115" s="19">
        <f t="shared" si="91"/>
        <v>0</v>
      </c>
      <c r="AZ115" s="19">
        <f t="shared" si="92"/>
        <v>0</v>
      </c>
      <c r="BA115" s="19">
        <f t="shared" si="93"/>
        <v>0</v>
      </c>
      <c r="BB115" s="19">
        <f t="shared" si="94"/>
        <v>0</v>
      </c>
      <c r="BC115" s="19">
        <f t="shared" si="95"/>
        <v>0</v>
      </c>
      <c r="BD115" s="19">
        <f>-IF(CUSTOS!B115="",0,CUSTOS!B115)</f>
        <v>0</v>
      </c>
      <c r="BF115" s="20">
        <f t="shared" si="96"/>
        <v>0</v>
      </c>
      <c r="BG115" s="20">
        <f t="shared" si="97"/>
        <v>0</v>
      </c>
      <c r="BH115" s="116">
        <f t="shared" si="97"/>
        <v>0</v>
      </c>
    </row>
    <row r="116" spans="1:60" ht="15" x14ac:dyDescent="0.25">
      <c r="A116" s="66" t="str">
        <f>IF(LARGE($A$11:A115,1)=$F$2,"",A115+1)</f>
        <v/>
      </c>
      <c r="B116" s="27" t="str">
        <f t="shared" si="56"/>
        <v/>
      </c>
      <c r="C116" s="28" t="str">
        <f t="shared" si="84"/>
        <v/>
      </c>
      <c r="D116" s="28" t="str">
        <f t="shared" si="57"/>
        <v/>
      </c>
      <c r="E116" s="28" t="str">
        <f t="shared" si="58"/>
        <v/>
      </c>
      <c r="F116" s="29" t="str">
        <f t="shared" si="59"/>
        <v/>
      </c>
      <c r="G116" s="29" t="str">
        <f t="shared" si="60"/>
        <v/>
      </c>
      <c r="H116" s="30" t="str">
        <f t="shared" si="61"/>
        <v/>
      </c>
      <c r="I116" s="30" t="str">
        <f t="shared" si="62"/>
        <v/>
      </c>
      <c r="J116" s="30" t="str">
        <f>IF(A116="","",H116+CUSTOS!B116)</f>
        <v/>
      </c>
      <c r="K116" s="30" t="str">
        <f t="shared" si="85"/>
        <v/>
      </c>
      <c r="L116" s="30" t="str">
        <f t="shared" si="86"/>
        <v/>
      </c>
      <c r="M116" s="30" t="str">
        <f t="shared" si="87"/>
        <v/>
      </c>
      <c r="N116" s="30" t="str">
        <f t="shared" si="63"/>
        <v/>
      </c>
      <c r="O116" s="31" t="str">
        <f t="shared" si="88"/>
        <v/>
      </c>
      <c r="P116" s="32"/>
      <c r="Q116" s="33" t="str">
        <f t="shared" si="64"/>
        <v/>
      </c>
      <c r="R116" s="33" t="str">
        <f t="shared" si="65"/>
        <v/>
      </c>
      <c r="S116" s="33" t="str">
        <f t="shared" si="66"/>
        <v/>
      </c>
      <c r="T116" s="33" t="str">
        <f t="shared" si="67"/>
        <v/>
      </c>
      <c r="U116" s="33" t="str">
        <f t="shared" si="68"/>
        <v/>
      </c>
      <c r="V116" s="33" t="str">
        <f t="shared" si="69"/>
        <v/>
      </c>
      <c r="X116" s="33" t="str">
        <f t="shared" si="70"/>
        <v/>
      </c>
      <c r="Y116" s="30" t="str">
        <f t="shared" si="71"/>
        <v/>
      </c>
      <c r="Z116" s="30" t="str">
        <f t="shared" si="72"/>
        <v/>
      </c>
      <c r="AA116" s="30" t="str">
        <f t="shared" si="73"/>
        <v/>
      </c>
      <c r="AB116" s="30" t="str">
        <f t="shared" si="74"/>
        <v/>
      </c>
      <c r="AD116" s="33" t="str">
        <f t="shared" si="75"/>
        <v/>
      </c>
      <c r="AE116" s="30" t="str">
        <f t="shared" si="76"/>
        <v/>
      </c>
      <c r="AF116" s="30" t="str">
        <f t="shared" si="77"/>
        <v/>
      </c>
      <c r="AG116" s="30" t="str">
        <f t="shared" si="78"/>
        <v/>
      </c>
      <c r="AH116" s="30" t="str">
        <f t="shared" si="79"/>
        <v/>
      </c>
      <c r="AJ116" s="85" t="str">
        <f t="shared" si="55"/>
        <v/>
      </c>
      <c r="AK116" s="86" t="str">
        <f t="shared" si="98"/>
        <v/>
      </c>
      <c r="AL116" s="86" t="str">
        <f t="shared" si="99"/>
        <v/>
      </c>
      <c r="AM116" s="86" t="str">
        <f t="shared" si="100"/>
        <v/>
      </c>
      <c r="AN116" s="86" t="str">
        <f t="shared" si="101"/>
        <v/>
      </c>
      <c r="AO116" s="86" t="str">
        <f t="shared" si="102"/>
        <v/>
      </c>
      <c r="AQ116" s="33" t="str">
        <f t="shared" si="80"/>
        <v/>
      </c>
      <c r="AR116" s="30" t="str">
        <f t="shared" si="81"/>
        <v/>
      </c>
      <c r="AU116" s="20">
        <f t="shared" si="82"/>
        <v>0</v>
      </c>
      <c r="AV116" s="20">
        <f t="shared" si="83"/>
        <v>0</v>
      </c>
      <c r="AW116" s="19">
        <f t="shared" si="89"/>
        <v>0</v>
      </c>
      <c r="AX116" s="19">
        <f t="shared" si="90"/>
        <v>0</v>
      </c>
      <c r="AY116" s="19">
        <f t="shared" si="91"/>
        <v>0</v>
      </c>
      <c r="AZ116" s="19">
        <f t="shared" si="92"/>
        <v>0</v>
      </c>
      <c r="BA116" s="19">
        <f t="shared" si="93"/>
        <v>0</v>
      </c>
      <c r="BB116" s="19">
        <f t="shared" si="94"/>
        <v>0</v>
      </c>
      <c r="BC116" s="19">
        <f t="shared" si="95"/>
        <v>0</v>
      </c>
      <c r="BD116" s="19">
        <f>-IF(CUSTOS!B116="",0,CUSTOS!B116)</f>
        <v>0</v>
      </c>
      <c r="BF116" s="20">
        <f t="shared" si="96"/>
        <v>0</v>
      </c>
      <c r="BG116" s="20">
        <f t="shared" si="97"/>
        <v>0</v>
      </c>
      <c r="BH116" s="116">
        <f t="shared" si="97"/>
        <v>0</v>
      </c>
    </row>
    <row r="117" spans="1:60" ht="15" x14ac:dyDescent="0.25">
      <c r="A117" s="66" t="str">
        <f>IF(LARGE($A$11:A116,1)=$F$2,"",A116+1)</f>
        <v/>
      </c>
      <c r="B117" s="27" t="str">
        <f t="shared" si="56"/>
        <v/>
      </c>
      <c r="C117" s="28" t="str">
        <f t="shared" si="84"/>
        <v/>
      </c>
      <c r="D117" s="28" t="str">
        <f t="shared" si="57"/>
        <v/>
      </c>
      <c r="E117" s="28" t="str">
        <f t="shared" si="58"/>
        <v/>
      </c>
      <c r="F117" s="29" t="str">
        <f t="shared" si="59"/>
        <v/>
      </c>
      <c r="G117" s="29" t="str">
        <f t="shared" si="60"/>
        <v/>
      </c>
      <c r="H117" s="30" t="str">
        <f t="shared" si="61"/>
        <v/>
      </c>
      <c r="I117" s="30" t="str">
        <f t="shared" si="62"/>
        <v/>
      </c>
      <c r="J117" s="30" t="str">
        <f>IF(A117="","",H117+CUSTOS!B117)</f>
        <v/>
      </c>
      <c r="K117" s="30" t="str">
        <f t="shared" si="85"/>
        <v/>
      </c>
      <c r="L117" s="30" t="str">
        <f t="shared" si="86"/>
        <v/>
      </c>
      <c r="M117" s="30" t="str">
        <f t="shared" si="87"/>
        <v/>
      </c>
      <c r="N117" s="30" t="str">
        <f t="shared" si="63"/>
        <v/>
      </c>
      <c r="O117" s="31" t="str">
        <f t="shared" si="88"/>
        <v/>
      </c>
      <c r="P117" s="32"/>
      <c r="Q117" s="33" t="str">
        <f t="shared" si="64"/>
        <v/>
      </c>
      <c r="R117" s="33" t="str">
        <f t="shared" si="65"/>
        <v/>
      </c>
      <c r="S117" s="33" t="str">
        <f t="shared" si="66"/>
        <v/>
      </c>
      <c r="T117" s="33" t="str">
        <f t="shared" si="67"/>
        <v/>
      </c>
      <c r="U117" s="33" t="str">
        <f t="shared" si="68"/>
        <v/>
      </c>
      <c r="V117" s="33" t="str">
        <f t="shared" si="69"/>
        <v/>
      </c>
      <c r="X117" s="33" t="str">
        <f t="shared" si="70"/>
        <v/>
      </c>
      <c r="Y117" s="30" t="str">
        <f t="shared" si="71"/>
        <v/>
      </c>
      <c r="Z117" s="30" t="str">
        <f t="shared" si="72"/>
        <v/>
      </c>
      <c r="AA117" s="30" t="str">
        <f t="shared" si="73"/>
        <v/>
      </c>
      <c r="AB117" s="30" t="str">
        <f t="shared" si="74"/>
        <v/>
      </c>
      <c r="AD117" s="33" t="str">
        <f t="shared" si="75"/>
        <v/>
      </c>
      <c r="AE117" s="30" t="str">
        <f t="shared" si="76"/>
        <v/>
      </c>
      <c r="AF117" s="30" t="str">
        <f t="shared" si="77"/>
        <v/>
      </c>
      <c r="AG117" s="30" t="str">
        <f t="shared" si="78"/>
        <v/>
      </c>
      <c r="AH117" s="30" t="str">
        <f t="shared" si="79"/>
        <v/>
      </c>
      <c r="AJ117" s="85" t="str">
        <f t="shared" si="55"/>
        <v/>
      </c>
      <c r="AK117" s="86" t="str">
        <f t="shared" si="98"/>
        <v/>
      </c>
      <c r="AL117" s="86" t="str">
        <f t="shared" si="99"/>
        <v/>
      </c>
      <c r="AM117" s="86" t="str">
        <f t="shared" si="100"/>
        <v/>
      </c>
      <c r="AN117" s="86" t="str">
        <f t="shared" si="101"/>
        <v/>
      </c>
      <c r="AO117" s="86" t="str">
        <f t="shared" si="102"/>
        <v/>
      </c>
      <c r="AQ117" s="33" t="str">
        <f t="shared" si="80"/>
        <v/>
      </c>
      <c r="AR117" s="30" t="str">
        <f t="shared" si="81"/>
        <v/>
      </c>
      <c r="AU117" s="20">
        <f t="shared" si="82"/>
        <v>0</v>
      </c>
      <c r="AV117" s="20">
        <f t="shared" si="83"/>
        <v>0</v>
      </c>
      <c r="AW117" s="19">
        <f t="shared" si="89"/>
        <v>0</v>
      </c>
      <c r="AX117" s="19">
        <f t="shared" si="90"/>
        <v>0</v>
      </c>
      <c r="AY117" s="19">
        <f t="shared" si="91"/>
        <v>0</v>
      </c>
      <c r="AZ117" s="19">
        <f t="shared" si="92"/>
        <v>0</v>
      </c>
      <c r="BA117" s="19">
        <f t="shared" si="93"/>
        <v>0</v>
      </c>
      <c r="BB117" s="19">
        <f t="shared" si="94"/>
        <v>0</v>
      </c>
      <c r="BC117" s="19">
        <f t="shared" si="95"/>
        <v>0</v>
      </c>
      <c r="BD117" s="19">
        <f>-IF(CUSTOS!B117="",0,CUSTOS!B117)</f>
        <v>0</v>
      </c>
      <c r="BF117" s="20">
        <f t="shared" si="96"/>
        <v>0</v>
      </c>
      <c r="BG117" s="20">
        <f t="shared" si="97"/>
        <v>0</v>
      </c>
      <c r="BH117" s="116">
        <f t="shared" si="97"/>
        <v>0</v>
      </c>
    </row>
    <row r="118" spans="1:60" ht="15" x14ac:dyDescent="0.25">
      <c r="A118" s="66" t="str">
        <f>IF(LARGE($A$11:A117,1)=$F$2,"",A117+1)</f>
        <v/>
      </c>
      <c r="B118" s="27" t="str">
        <f t="shared" si="56"/>
        <v/>
      </c>
      <c r="C118" s="28" t="str">
        <f t="shared" si="84"/>
        <v/>
      </c>
      <c r="D118" s="28" t="str">
        <f t="shared" si="57"/>
        <v/>
      </c>
      <c r="E118" s="28" t="str">
        <f t="shared" si="58"/>
        <v/>
      </c>
      <c r="F118" s="29" t="str">
        <f t="shared" si="59"/>
        <v/>
      </c>
      <c r="G118" s="29" t="str">
        <f t="shared" si="60"/>
        <v/>
      </c>
      <c r="H118" s="30" t="str">
        <f t="shared" si="61"/>
        <v/>
      </c>
      <c r="I118" s="30" t="str">
        <f t="shared" si="62"/>
        <v/>
      </c>
      <c r="J118" s="30" t="str">
        <f>IF(A118="","",H118+CUSTOS!B118)</f>
        <v/>
      </c>
      <c r="K118" s="30" t="str">
        <f t="shared" si="85"/>
        <v/>
      </c>
      <c r="L118" s="30" t="str">
        <f t="shared" si="86"/>
        <v/>
      </c>
      <c r="M118" s="30" t="str">
        <f t="shared" si="87"/>
        <v/>
      </c>
      <c r="N118" s="30" t="str">
        <f t="shared" si="63"/>
        <v/>
      </c>
      <c r="O118" s="31" t="str">
        <f t="shared" si="88"/>
        <v/>
      </c>
      <c r="P118" s="32"/>
      <c r="Q118" s="33" t="str">
        <f t="shared" si="64"/>
        <v/>
      </c>
      <c r="R118" s="33" t="str">
        <f t="shared" si="65"/>
        <v/>
      </c>
      <c r="S118" s="33" t="str">
        <f t="shared" si="66"/>
        <v/>
      </c>
      <c r="T118" s="33" t="str">
        <f t="shared" si="67"/>
        <v/>
      </c>
      <c r="U118" s="33" t="str">
        <f t="shared" si="68"/>
        <v/>
      </c>
      <c r="V118" s="33" t="str">
        <f t="shared" si="69"/>
        <v/>
      </c>
      <c r="X118" s="33" t="str">
        <f t="shared" si="70"/>
        <v/>
      </c>
      <c r="Y118" s="30" t="str">
        <f t="shared" si="71"/>
        <v/>
      </c>
      <c r="Z118" s="30" t="str">
        <f t="shared" si="72"/>
        <v/>
      </c>
      <c r="AA118" s="30" t="str">
        <f t="shared" si="73"/>
        <v/>
      </c>
      <c r="AB118" s="30" t="str">
        <f t="shared" si="74"/>
        <v/>
      </c>
      <c r="AD118" s="33" t="str">
        <f t="shared" si="75"/>
        <v/>
      </c>
      <c r="AE118" s="30" t="str">
        <f t="shared" si="76"/>
        <v/>
      </c>
      <c r="AF118" s="30" t="str">
        <f t="shared" si="77"/>
        <v/>
      </c>
      <c r="AG118" s="30" t="str">
        <f t="shared" si="78"/>
        <v/>
      </c>
      <c r="AH118" s="30" t="str">
        <f t="shared" si="79"/>
        <v/>
      </c>
      <c r="AJ118" s="85" t="str">
        <f t="shared" si="55"/>
        <v/>
      </c>
      <c r="AK118" s="86" t="str">
        <f t="shared" si="98"/>
        <v/>
      </c>
      <c r="AL118" s="86" t="str">
        <f t="shared" si="99"/>
        <v/>
      </c>
      <c r="AM118" s="86" t="str">
        <f t="shared" si="100"/>
        <v/>
      </c>
      <c r="AN118" s="86" t="str">
        <f t="shared" si="101"/>
        <v/>
      </c>
      <c r="AO118" s="86" t="str">
        <f t="shared" si="102"/>
        <v/>
      </c>
      <c r="AQ118" s="33" t="str">
        <f t="shared" si="80"/>
        <v/>
      </c>
      <c r="AR118" s="30" t="str">
        <f t="shared" si="81"/>
        <v/>
      </c>
      <c r="AU118" s="20">
        <f t="shared" si="82"/>
        <v>0</v>
      </c>
      <c r="AV118" s="20">
        <f t="shared" si="83"/>
        <v>0</v>
      </c>
      <c r="AW118" s="19">
        <f t="shared" si="89"/>
        <v>0</v>
      </c>
      <c r="AX118" s="19">
        <f t="shared" si="90"/>
        <v>0</v>
      </c>
      <c r="AY118" s="19">
        <f t="shared" si="91"/>
        <v>0</v>
      </c>
      <c r="AZ118" s="19">
        <f t="shared" si="92"/>
        <v>0</v>
      </c>
      <c r="BA118" s="19">
        <f t="shared" si="93"/>
        <v>0</v>
      </c>
      <c r="BB118" s="19">
        <f t="shared" si="94"/>
        <v>0</v>
      </c>
      <c r="BC118" s="19">
        <f t="shared" si="95"/>
        <v>0</v>
      </c>
      <c r="BD118" s="19">
        <f>-IF(CUSTOS!B118="",0,CUSTOS!B118)</f>
        <v>0</v>
      </c>
      <c r="BF118" s="20">
        <f t="shared" si="96"/>
        <v>0</v>
      </c>
      <c r="BG118" s="20">
        <f t="shared" si="97"/>
        <v>0</v>
      </c>
      <c r="BH118" s="116">
        <f t="shared" si="97"/>
        <v>0</v>
      </c>
    </row>
    <row r="119" spans="1:60" ht="15" x14ac:dyDescent="0.25">
      <c r="A119" s="66" t="str">
        <f>IF(LARGE($A$11:A118,1)=$F$2,"",A118+1)</f>
        <v/>
      </c>
      <c r="B119" s="27" t="str">
        <f t="shared" si="56"/>
        <v/>
      </c>
      <c r="C119" s="28" t="str">
        <f t="shared" si="84"/>
        <v/>
      </c>
      <c r="D119" s="28" t="str">
        <f t="shared" si="57"/>
        <v/>
      </c>
      <c r="E119" s="28" t="str">
        <f t="shared" si="58"/>
        <v/>
      </c>
      <c r="F119" s="29" t="str">
        <f t="shared" si="59"/>
        <v/>
      </c>
      <c r="G119" s="29" t="str">
        <f t="shared" si="60"/>
        <v/>
      </c>
      <c r="H119" s="30" t="str">
        <f t="shared" si="61"/>
        <v/>
      </c>
      <c r="I119" s="30" t="str">
        <f t="shared" si="62"/>
        <v/>
      </c>
      <c r="J119" s="30" t="str">
        <f>IF(A119="","",H119+CUSTOS!B119)</f>
        <v/>
      </c>
      <c r="K119" s="30" t="str">
        <f t="shared" si="85"/>
        <v/>
      </c>
      <c r="L119" s="30" t="str">
        <f t="shared" si="86"/>
        <v/>
      </c>
      <c r="M119" s="30" t="str">
        <f t="shared" si="87"/>
        <v/>
      </c>
      <c r="N119" s="30" t="str">
        <f t="shared" si="63"/>
        <v/>
      </c>
      <c r="O119" s="31" t="str">
        <f t="shared" si="88"/>
        <v/>
      </c>
      <c r="P119" s="32"/>
      <c r="Q119" s="33" t="str">
        <f t="shared" si="64"/>
        <v/>
      </c>
      <c r="R119" s="33" t="str">
        <f t="shared" si="65"/>
        <v/>
      </c>
      <c r="S119" s="33" t="str">
        <f t="shared" si="66"/>
        <v/>
      </c>
      <c r="T119" s="33" t="str">
        <f t="shared" si="67"/>
        <v/>
      </c>
      <c r="U119" s="33" t="str">
        <f t="shared" si="68"/>
        <v/>
      </c>
      <c r="V119" s="33" t="str">
        <f t="shared" si="69"/>
        <v/>
      </c>
      <c r="X119" s="33" t="str">
        <f t="shared" si="70"/>
        <v/>
      </c>
      <c r="Y119" s="30" t="str">
        <f t="shared" si="71"/>
        <v/>
      </c>
      <c r="Z119" s="30" t="str">
        <f t="shared" si="72"/>
        <v/>
      </c>
      <c r="AA119" s="30" t="str">
        <f t="shared" si="73"/>
        <v/>
      </c>
      <c r="AB119" s="30" t="str">
        <f t="shared" si="74"/>
        <v/>
      </c>
      <c r="AD119" s="33" t="str">
        <f t="shared" si="75"/>
        <v/>
      </c>
      <c r="AE119" s="30" t="str">
        <f t="shared" si="76"/>
        <v/>
      </c>
      <c r="AF119" s="30" t="str">
        <f t="shared" si="77"/>
        <v/>
      </c>
      <c r="AG119" s="30" t="str">
        <f t="shared" si="78"/>
        <v/>
      </c>
      <c r="AH119" s="30" t="str">
        <f t="shared" si="79"/>
        <v/>
      </c>
      <c r="AJ119" s="85" t="str">
        <f t="shared" si="55"/>
        <v/>
      </c>
      <c r="AK119" s="86" t="str">
        <f t="shared" si="98"/>
        <v/>
      </c>
      <c r="AL119" s="86" t="str">
        <f t="shared" si="99"/>
        <v/>
      </c>
      <c r="AM119" s="86" t="str">
        <f t="shared" si="100"/>
        <v/>
      </c>
      <c r="AN119" s="86" t="str">
        <f t="shared" si="101"/>
        <v/>
      </c>
      <c r="AO119" s="86" t="str">
        <f t="shared" si="102"/>
        <v/>
      </c>
      <c r="AQ119" s="33" t="str">
        <f t="shared" si="80"/>
        <v/>
      </c>
      <c r="AR119" s="30" t="str">
        <f t="shared" si="81"/>
        <v/>
      </c>
      <c r="AU119" s="20">
        <f t="shared" si="82"/>
        <v>0</v>
      </c>
      <c r="AV119" s="20">
        <f t="shared" si="83"/>
        <v>0</v>
      </c>
      <c r="AW119" s="19">
        <f t="shared" si="89"/>
        <v>0</v>
      </c>
      <c r="AX119" s="19">
        <f t="shared" si="90"/>
        <v>0</v>
      </c>
      <c r="AY119" s="19">
        <f t="shared" si="91"/>
        <v>0</v>
      </c>
      <c r="AZ119" s="19">
        <f t="shared" si="92"/>
        <v>0</v>
      </c>
      <c r="BA119" s="19">
        <f t="shared" si="93"/>
        <v>0</v>
      </c>
      <c r="BB119" s="19">
        <f t="shared" si="94"/>
        <v>0</v>
      </c>
      <c r="BC119" s="19">
        <f t="shared" si="95"/>
        <v>0</v>
      </c>
      <c r="BD119" s="19">
        <f>-IF(CUSTOS!B119="",0,CUSTOS!B119)</f>
        <v>0</v>
      </c>
      <c r="BF119" s="20">
        <f t="shared" si="96"/>
        <v>0</v>
      </c>
      <c r="BG119" s="20">
        <f t="shared" si="97"/>
        <v>0</v>
      </c>
      <c r="BH119" s="116">
        <f t="shared" si="97"/>
        <v>0</v>
      </c>
    </row>
    <row r="120" spans="1:60" ht="15" x14ac:dyDescent="0.25">
      <c r="A120" s="66" t="str">
        <f>IF(LARGE($A$11:A119,1)=$F$2,"",A119+1)</f>
        <v/>
      </c>
      <c r="B120" s="27" t="str">
        <f t="shared" si="56"/>
        <v/>
      </c>
      <c r="C120" s="28" t="str">
        <f t="shared" si="84"/>
        <v/>
      </c>
      <c r="D120" s="28" t="str">
        <f t="shared" si="57"/>
        <v/>
      </c>
      <c r="E120" s="28" t="str">
        <f t="shared" si="58"/>
        <v/>
      </c>
      <c r="F120" s="29" t="str">
        <f t="shared" si="59"/>
        <v/>
      </c>
      <c r="G120" s="29" t="str">
        <f t="shared" si="60"/>
        <v/>
      </c>
      <c r="H120" s="30" t="str">
        <f t="shared" si="61"/>
        <v/>
      </c>
      <c r="I120" s="30" t="str">
        <f t="shared" si="62"/>
        <v/>
      </c>
      <c r="J120" s="30" t="str">
        <f>IF(A120="","",H120+CUSTOS!B120)</f>
        <v/>
      </c>
      <c r="K120" s="30" t="str">
        <f t="shared" si="85"/>
        <v/>
      </c>
      <c r="L120" s="30" t="str">
        <f t="shared" si="86"/>
        <v/>
      </c>
      <c r="M120" s="30" t="str">
        <f t="shared" si="87"/>
        <v/>
      </c>
      <c r="N120" s="30" t="str">
        <f t="shared" si="63"/>
        <v/>
      </c>
      <c r="O120" s="31" t="str">
        <f t="shared" si="88"/>
        <v/>
      </c>
      <c r="P120" s="32"/>
      <c r="Q120" s="33" t="str">
        <f t="shared" si="64"/>
        <v/>
      </c>
      <c r="R120" s="33" t="str">
        <f t="shared" si="65"/>
        <v/>
      </c>
      <c r="S120" s="33" t="str">
        <f t="shared" si="66"/>
        <v/>
      </c>
      <c r="T120" s="33" t="str">
        <f t="shared" si="67"/>
        <v/>
      </c>
      <c r="U120" s="33" t="str">
        <f t="shared" si="68"/>
        <v/>
      </c>
      <c r="V120" s="33" t="str">
        <f t="shared" si="69"/>
        <v/>
      </c>
      <c r="X120" s="33" t="str">
        <f t="shared" si="70"/>
        <v/>
      </c>
      <c r="Y120" s="30" t="str">
        <f t="shared" si="71"/>
        <v/>
      </c>
      <c r="Z120" s="30" t="str">
        <f t="shared" si="72"/>
        <v/>
      </c>
      <c r="AA120" s="30" t="str">
        <f t="shared" si="73"/>
        <v/>
      </c>
      <c r="AB120" s="30" t="str">
        <f t="shared" si="74"/>
        <v/>
      </c>
      <c r="AD120" s="33" t="str">
        <f t="shared" si="75"/>
        <v/>
      </c>
      <c r="AE120" s="30" t="str">
        <f t="shared" si="76"/>
        <v/>
      </c>
      <c r="AF120" s="30" t="str">
        <f t="shared" si="77"/>
        <v/>
      </c>
      <c r="AG120" s="30" t="str">
        <f t="shared" si="78"/>
        <v/>
      </c>
      <c r="AH120" s="30" t="str">
        <f t="shared" si="79"/>
        <v/>
      </c>
      <c r="AJ120" s="85" t="str">
        <f t="shared" si="55"/>
        <v/>
      </c>
      <c r="AK120" s="86" t="str">
        <f t="shared" si="98"/>
        <v/>
      </c>
      <c r="AL120" s="86" t="str">
        <f t="shared" si="99"/>
        <v/>
      </c>
      <c r="AM120" s="86" t="str">
        <f t="shared" si="100"/>
        <v/>
      </c>
      <c r="AN120" s="86" t="str">
        <f t="shared" si="101"/>
        <v/>
      </c>
      <c r="AO120" s="86" t="str">
        <f t="shared" si="102"/>
        <v/>
      </c>
      <c r="AQ120" s="33" t="str">
        <f t="shared" si="80"/>
        <v/>
      </c>
      <c r="AR120" s="30" t="str">
        <f t="shared" si="81"/>
        <v/>
      </c>
      <c r="AU120" s="20">
        <f t="shared" si="82"/>
        <v>0</v>
      </c>
      <c r="AV120" s="20">
        <f t="shared" si="83"/>
        <v>0</v>
      </c>
      <c r="AW120" s="19">
        <f t="shared" si="89"/>
        <v>0</v>
      </c>
      <c r="AX120" s="19">
        <f t="shared" si="90"/>
        <v>0</v>
      </c>
      <c r="AY120" s="19">
        <f t="shared" si="91"/>
        <v>0</v>
      </c>
      <c r="AZ120" s="19">
        <f t="shared" si="92"/>
        <v>0</v>
      </c>
      <c r="BA120" s="19">
        <f t="shared" si="93"/>
        <v>0</v>
      </c>
      <c r="BB120" s="19">
        <f t="shared" si="94"/>
        <v>0</v>
      </c>
      <c r="BC120" s="19">
        <f t="shared" si="95"/>
        <v>0</v>
      </c>
      <c r="BD120" s="19">
        <f>-IF(CUSTOS!B120="",0,CUSTOS!B120)</f>
        <v>0</v>
      </c>
      <c r="BF120" s="20">
        <f t="shared" si="96"/>
        <v>0</v>
      </c>
      <c r="BG120" s="20">
        <f t="shared" si="97"/>
        <v>0</v>
      </c>
      <c r="BH120" s="116">
        <f t="shared" si="97"/>
        <v>0</v>
      </c>
    </row>
    <row r="121" spans="1:60" ht="15" x14ac:dyDescent="0.25">
      <c r="A121" s="66" t="str">
        <f>IF(LARGE($A$11:A120,1)=$F$2,"",A120+1)</f>
        <v/>
      </c>
      <c r="B121" s="27" t="str">
        <f t="shared" si="56"/>
        <v/>
      </c>
      <c r="C121" s="28" t="str">
        <f t="shared" si="84"/>
        <v/>
      </c>
      <c r="D121" s="28" t="str">
        <f t="shared" si="57"/>
        <v/>
      </c>
      <c r="E121" s="28" t="str">
        <f t="shared" si="58"/>
        <v/>
      </c>
      <c r="F121" s="29" t="str">
        <f t="shared" si="59"/>
        <v/>
      </c>
      <c r="G121" s="29" t="str">
        <f t="shared" si="60"/>
        <v/>
      </c>
      <c r="H121" s="30" t="str">
        <f t="shared" si="61"/>
        <v/>
      </c>
      <c r="I121" s="30" t="str">
        <f t="shared" si="62"/>
        <v/>
      </c>
      <c r="J121" s="30" t="str">
        <f>IF(A121="","",H121+CUSTOS!B121)</f>
        <v/>
      </c>
      <c r="K121" s="30" t="str">
        <f t="shared" si="85"/>
        <v/>
      </c>
      <c r="L121" s="30" t="str">
        <f t="shared" si="86"/>
        <v/>
      </c>
      <c r="M121" s="30" t="str">
        <f t="shared" si="87"/>
        <v/>
      </c>
      <c r="N121" s="30" t="str">
        <f t="shared" si="63"/>
        <v/>
      </c>
      <c r="O121" s="31" t="str">
        <f t="shared" si="88"/>
        <v/>
      </c>
      <c r="P121" s="32"/>
      <c r="Q121" s="33" t="str">
        <f t="shared" si="64"/>
        <v/>
      </c>
      <c r="R121" s="33" t="str">
        <f t="shared" si="65"/>
        <v/>
      </c>
      <c r="S121" s="33" t="str">
        <f t="shared" si="66"/>
        <v/>
      </c>
      <c r="T121" s="33" t="str">
        <f t="shared" si="67"/>
        <v/>
      </c>
      <c r="U121" s="33" t="str">
        <f t="shared" si="68"/>
        <v/>
      </c>
      <c r="V121" s="33" t="str">
        <f t="shared" si="69"/>
        <v/>
      </c>
      <c r="X121" s="33" t="str">
        <f t="shared" si="70"/>
        <v/>
      </c>
      <c r="Y121" s="30" t="str">
        <f t="shared" si="71"/>
        <v/>
      </c>
      <c r="Z121" s="30" t="str">
        <f t="shared" si="72"/>
        <v/>
      </c>
      <c r="AA121" s="30" t="str">
        <f t="shared" si="73"/>
        <v/>
      </c>
      <c r="AB121" s="30" t="str">
        <f t="shared" si="74"/>
        <v/>
      </c>
      <c r="AD121" s="33" t="str">
        <f t="shared" si="75"/>
        <v/>
      </c>
      <c r="AE121" s="30" t="str">
        <f t="shared" si="76"/>
        <v/>
      </c>
      <c r="AF121" s="30" t="str">
        <f t="shared" si="77"/>
        <v/>
      </c>
      <c r="AG121" s="30" t="str">
        <f t="shared" si="78"/>
        <v/>
      </c>
      <c r="AH121" s="30" t="str">
        <f t="shared" si="79"/>
        <v/>
      </c>
      <c r="AJ121" s="85" t="str">
        <f t="shared" si="55"/>
        <v/>
      </c>
      <c r="AK121" s="86" t="str">
        <f t="shared" si="98"/>
        <v/>
      </c>
      <c r="AL121" s="86" t="str">
        <f t="shared" si="99"/>
        <v/>
      </c>
      <c r="AM121" s="86" t="str">
        <f t="shared" si="100"/>
        <v/>
      </c>
      <c r="AN121" s="86" t="str">
        <f t="shared" si="101"/>
        <v/>
      </c>
      <c r="AO121" s="86" t="str">
        <f t="shared" si="102"/>
        <v/>
      </c>
      <c r="AQ121" s="33" t="str">
        <f t="shared" si="80"/>
        <v/>
      </c>
      <c r="AR121" s="30" t="str">
        <f t="shared" si="81"/>
        <v/>
      </c>
      <c r="AU121" s="20">
        <f t="shared" si="82"/>
        <v>0</v>
      </c>
      <c r="AV121" s="20">
        <f t="shared" si="83"/>
        <v>0</v>
      </c>
      <c r="AW121" s="19">
        <f t="shared" si="89"/>
        <v>0</v>
      </c>
      <c r="AX121" s="19">
        <f t="shared" si="90"/>
        <v>0</v>
      </c>
      <c r="AY121" s="19">
        <f t="shared" si="91"/>
        <v>0</v>
      </c>
      <c r="AZ121" s="19">
        <f t="shared" si="92"/>
        <v>0</v>
      </c>
      <c r="BA121" s="19">
        <f t="shared" si="93"/>
        <v>0</v>
      </c>
      <c r="BB121" s="19">
        <f t="shared" si="94"/>
        <v>0</v>
      </c>
      <c r="BC121" s="19">
        <f t="shared" si="95"/>
        <v>0</v>
      </c>
      <c r="BD121" s="19">
        <f>-IF(CUSTOS!B121="",0,CUSTOS!B121)</f>
        <v>0</v>
      </c>
      <c r="BF121" s="20">
        <f t="shared" si="96"/>
        <v>0</v>
      </c>
      <c r="BG121" s="20">
        <f t="shared" si="97"/>
        <v>0</v>
      </c>
      <c r="BH121" s="116">
        <f t="shared" si="97"/>
        <v>0</v>
      </c>
    </row>
    <row r="122" spans="1:60" ht="15" x14ac:dyDescent="0.25">
      <c r="A122" s="66" t="str">
        <f>IF(LARGE($A$11:A121,1)=$F$2,"",A121+1)</f>
        <v/>
      </c>
      <c r="B122" s="27" t="str">
        <f t="shared" si="56"/>
        <v/>
      </c>
      <c r="C122" s="28" t="str">
        <f t="shared" si="84"/>
        <v/>
      </c>
      <c r="D122" s="28" t="str">
        <f t="shared" si="57"/>
        <v/>
      </c>
      <c r="E122" s="28" t="str">
        <f t="shared" si="58"/>
        <v/>
      </c>
      <c r="F122" s="29" t="str">
        <f t="shared" si="59"/>
        <v/>
      </c>
      <c r="G122" s="29" t="str">
        <f t="shared" si="60"/>
        <v/>
      </c>
      <c r="H122" s="30" t="str">
        <f t="shared" si="61"/>
        <v/>
      </c>
      <c r="I122" s="30" t="str">
        <f t="shared" si="62"/>
        <v/>
      </c>
      <c r="J122" s="30" t="str">
        <f>IF(A122="","",H122+CUSTOS!B122)</f>
        <v/>
      </c>
      <c r="K122" s="30" t="str">
        <f t="shared" si="85"/>
        <v/>
      </c>
      <c r="L122" s="30" t="str">
        <f t="shared" si="86"/>
        <v/>
      </c>
      <c r="M122" s="30" t="str">
        <f t="shared" si="87"/>
        <v/>
      </c>
      <c r="N122" s="30" t="str">
        <f t="shared" si="63"/>
        <v/>
      </c>
      <c r="O122" s="31" t="str">
        <f t="shared" si="88"/>
        <v/>
      </c>
      <c r="P122" s="32"/>
      <c r="Q122" s="33" t="str">
        <f t="shared" si="64"/>
        <v/>
      </c>
      <c r="R122" s="33" t="str">
        <f t="shared" si="65"/>
        <v/>
      </c>
      <c r="S122" s="33" t="str">
        <f t="shared" si="66"/>
        <v/>
      </c>
      <c r="T122" s="33" t="str">
        <f t="shared" si="67"/>
        <v/>
      </c>
      <c r="U122" s="33" t="str">
        <f t="shared" si="68"/>
        <v/>
      </c>
      <c r="V122" s="33" t="str">
        <f t="shared" si="69"/>
        <v/>
      </c>
      <c r="X122" s="33" t="str">
        <f t="shared" si="70"/>
        <v/>
      </c>
      <c r="Y122" s="30" t="str">
        <f t="shared" si="71"/>
        <v/>
      </c>
      <c r="Z122" s="30" t="str">
        <f t="shared" si="72"/>
        <v/>
      </c>
      <c r="AA122" s="30" t="str">
        <f t="shared" si="73"/>
        <v/>
      </c>
      <c r="AB122" s="30" t="str">
        <f t="shared" si="74"/>
        <v/>
      </c>
      <c r="AD122" s="33" t="str">
        <f t="shared" si="75"/>
        <v/>
      </c>
      <c r="AE122" s="30" t="str">
        <f t="shared" si="76"/>
        <v/>
      </c>
      <c r="AF122" s="30" t="str">
        <f t="shared" si="77"/>
        <v/>
      </c>
      <c r="AG122" s="30" t="str">
        <f t="shared" si="78"/>
        <v/>
      </c>
      <c r="AH122" s="30" t="str">
        <f t="shared" si="79"/>
        <v/>
      </c>
      <c r="AJ122" s="85" t="str">
        <f t="shared" si="55"/>
        <v/>
      </c>
      <c r="AK122" s="86" t="str">
        <f t="shared" si="98"/>
        <v/>
      </c>
      <c r="AL122" s="86" t="str">
        <f t="shared" si="99"/>
        <v/>
      </c>
      <c r="AM122" s="86" t="str">
        <f t="shared" si="100"/>
        <v/>
      </c>
      <c r="AN122" s="86" t="str">
        <f t="shared" si="101"/>
        <v/>
      </c>
      <c r="AO122" s="86" t="str">
        <f t="shared" si="102"/>
        <v/>
      </c>
      <c r="AQ122" s="33" t="str">
        <f t="shared" si="80"/>
        <v/>
      </c>
      <c r="AR122" s="30" t="str">
        <f t="shared" si="81"/>
        <v/>
      </c>
      <c r="AU122" s="20">
        <f t="shared" si="82"/>
        <v>0</v>
      </c>
      <c r="AV122" s="20">
        <f t="shared" si="83"/>
        <v>0</v>
      </c>
      <c r="AW122" s="19">
        <f t="shared" si="89"/>
        <v>0</v>
      </c>
      <c r="AX122" s="19">
        <f t="shared" si="90"/>
        <v>0</v>
      </c>
      <c r="AY122" s="19">
        <f t="shared" si="91"/>
        <v>0</v>
      </c>
      <c r="AZ122" s="19">
        <f t="shared" si="92"/>
        <v>0</v>
      </c>
      <c r="BA122" s="19">
        <f t="shared" si="93"/>
        <v>0</v>
      </c>
      <c r="BB122" s="19">
        <f t="shared" si="94"/>
        <v>0</v>
      </c>
      <c r="BC122" s="19">
        <f t="shared" si="95"/>
        <v>0</v>
      </c>
      <c r="BD122" s="19">
        <f>-IF(CUSTOS!B122="",0,CUSTOS!B122)</f>
        <v>0</v>
      </c>
      <c r="BF122" s="20">
        <f t="shared" si="96"/>
        <v>0</v>
      </c>
      <c r="BG122" s="20">
        <f t="shared" si="97"/>
        <v>0</v>
      </c>
      <c r="BH122" s="116">
        <f t="shared" si="97"/>
        <v>0</v>
      </c>
    </row>
    <row r="123" spans="1:60" ht="15" x14ac:dyDescent="0.25">
      <c r="A123" s="66" t="str">
        <f>IF(LARGE($A$11:A122,1)=$F$2,"",A122+1)</f>
        <v/>
      </c>
      <c r="B123" s="27" t="str">
        <f t="shared" si="56"/>
        <v/>
      </c>
      <c r="C123" s="28" t="str">
        <f t="shared" si="84"/>
        <v/>
      </c>
      <c r="D123" s="28" t="str">
        <f t="shared" si="57"/>
        <v/>
      </c>
      <c r="E123" s="28" t="str">
        <f t="shared" si="58"/>
        <v/>
      </c>
      <c r="F123" s="29" t="str">
        <f t="shared" si="59"/>
        <v/>
      </c>
      <c r="G123" s="29" t="str">
        <f t="shared" si="60"/>
        <v/>
      </c>
      <c r="H123" s="30" t="str">
        <f t="shared" si="61"/>
        <v/>
      </c>
      <c r="I123" s="30" t="str">
        <f t="shared" si="62"/>
        <v/>
      </c>
      <c r="J123" s="30" t="str">
        <f>IF(A123="","",H123+CUSTOS!B123)</f>
        <v/>
      </c>
      <c r="K123" s="30" t="str">
        <f t="shared" si="85"/>
        <v/>
      </c>
      <c r="L123" s="30" t="str">
        <f t="shared" si="86"/>
        <v/>
      </c>
      <c r="M123" s="30" t="str">
        <f t="shared" si="87"/>
        <v/>
      </c>
      <c r="N123" s="30" t="str">
        <f t="shared" si="63"/>
        <v/>
      </c>
      <c r="O123" s="31" t="str">
        <f t="shared" si="88"/>
        <v/>
      </c>
      <c r="P123" s="32"/>
      <c r="Q123" s="33" t="str">
        <f t="shared" si="64"/>
        <v/>
      </c>
      <c r="R123" s="33" t="str">
        <f t="shared" si="65"/>
        <v/>
      </c>
      <c r="S123" s="33" t="str">
        <f t="shared" si="66"/>
        <v/>
      </c>
      <c r="T123" s="33" t="str">
        <f t="shared" si="67"/>
        <v/>
      </c>
      <c r="U123" s="33" t="str">
        <f t="shared" si="68"/>
        <v/>
      </c>
      <c r="V123" s="33" t="str">
        <f t="shared" si="69"/>
        <v/>
      </c>
      <c r="X123" s="33" t="str">
        <f t="shared" si="70"/>
        <v/>
      </c>
      <c r="Y123" s="30" t="str">
        <f t="shared" si="71"/>
        <v/>
      </c>
      <c r="Z123" s="30" t="str">
        <f t="shared" si="72"/>
        <v/>
      </c>
      <c r="AA123" s="30" t="str">
        <f t="shared" si="73"/>
        <v/>
      </c>
      <c r="AB123" s="30" t="str">
        <f t="shared" si="74"/>
        <v/>
      </c>
      <c r="AD123" s="33" t="str">
        <f t="shared" si="75"/>
        <v/>
      </c>
      <c r="AE123" s="30" t="str">
        <f t="shared" si="76"/>
        <v/>
      </c>
      <c r="AF123" s="30" t="str">
        <f t="shared" si="77"/>
        <v/>
      </c>
      <c r="AG123" s="30" t="str">
        <f t="shared" si="78"/>
        <v/>
      </c>
      <c r="AH123" s="30" t="str">
        <f t="shared" si="79"/>
        <v/>
      </c>
      <c r="AJ123" s="85" t="str">
        <f t="shared" si="55"/>
        <v/>
      </c>
      <c r="AK123" s="86" t="str">
        <f t="shared" si="98"/>
        <v/>
      </c>
      <c r="AL123" s="86" t="str">
        <f t="shared" si="99"/>
        <v/>
      </c>
      <c r="AM123" s="86" t="str">
        <f t="shared" si="100"/>
        <v/>
      </c>
      <c r="AN123" s="86" t="str">
        <f t="shared" si="101"/>
        <v/>
      </c>
      <c r="AO123" s="86" t="str">
        <f t="shared" si="102"/>
        <v/>
      </c>
      <c r="AQ123" s="33" t="str">
        <f t="shared" si="80"/>
        <v/>
      </c>
      <c r="AR123" s="30" t="str">
        <f t="shared" si="81"/>
        <v/>
      </c>
      <c r="AU123" s="20">
        <f t="shared" si="82"/>
        <v>0</v>
      </c>
      <c r="AV123" s="20">
        <f t="shared" si="83"/>
        <v>0</v>
      </c>
      <c r="AW123" s="19">
        <f t="shared" si="89"/>
        <v>0</v>
      </c>
      <c r="AX123" s="19">
        <f t="shared" si="90"/>
        <v>0</v>
      </c>
      <c r="AY123" s="19">
        <f t="shared" si="91"/>
        <v>0</v>
      </c>
      <c r="AZ123" s="19">
        <f t="shared" si="92"/>
        <v>0</v>
      </c>
      <c r="BA123" s="19">
        <f t="shared" si="93"/>
        <v>0</v>
      </c>
      <c r="BB123" s="19">
        <f t="shared" si="94"/>
        <v>0</v>
      </c>
      <c r="BC123" s="19">
        <f t="shared" si="95"/>
        <v>0</v>
      </c>
      <c r="BD123" s="19">
        <f>-IF(CUSTOS!B123="",0,CUSTOS!B123)</f>
        <v>0</v>
      </c>
      <c r="BF123" s="20">
        <f t="shared" si="96"/>
        <v>0</v>
      </c>
      <c r="BG123" s="20">
        <f t="shared" si="97"/>
        <v>0</v>
      </c>
      <c r="BH123" s="116">
        <f t="shared" si="97"/>
        <v>0</v>
      </c>
    </row>
    <row r="124" spans="1:60" ht="15" x14ac:dyDescent="0.25">
      <c r="A124" s="66" t="str">
        <f>IF(LARGE($A$11:A123,1)=$F$2,"",A123+1)</f>
        <v/>
      </c>
      <c r="B124" s="27" t="str">
        <f t="shared" si="56"/>
        <v/>
      </c>
      <c r="C124" s="28" t="str">
        <f t="shared" si="84"/>
        <v/>
      </c>
      <c r="D124" s="28" t="str">
        <f t="shared" si="57"/>
        <v/>
      </c>
      <c r="E124" s="28" t="str">
        <f t="shared" si="58"/>
        <v/>
      </c>
      <c r="F124" s="29" t="str">
        <f t="shared" si="59"/>
        <v/>
      </c>
      <c r="G124" s="29" t="str">
        <f t="shared" si="60"/>
        <v/>
      </c>
      <c r="H124" s="30" t="str">
        <f t="shared" si="61"/>
        <v/>
      </c>
      <c r="I124" s="30" t="str">
        <f t="shared" si="62"/>
        <v/>
      </c>
      <c r="J124" s="30" t="str">
        <f>IF(A124="","",H124+CUSTOS!B124)</f>
        <v/>
      </c>
      <c r="K124" s="30" t="str">
        <f t="shared" si="85"/>
        <v/>
      </c>
      <c r="L124" s="30" t="str">
        <f t="shared" si="86"/>
        <v/>
      </c>
      <c r="M124" s="30" t="str">
        <f t="shared" si="87"/>
        <v/>
      </c>
      <c r="N124" s="30" t="str">
        <f t="shared" si="63"/>
        <v/>
      </c>
      <c r="O124" s="31" t="str">
        <f t="shared" si="88"/>
        <v/>
      </c>
      <c r="P124" s="32"/>
      <c r="Q124" s="33" t="str">
        <f t="shared" si="64"/>
        <v/>
      </c>
      <c r="R124" s="33" t="str">
        <f t="shared" si="65"/>
        <v/>
      </c>
      <c r="S124" s="33" t="str">
        <f t="shared" si="66"/>
        <v/>
      </c>
      <c r="T124" s="33" t="str">
        <f t="shared" si="67"/>
        <v/>
      </c>
      <c r="U124" s="33" t="str">
        <f t="shared" si="68"/>
        <v/>
      </c>
      <c r="V124" s="33" t="str">
        <f t="shared" si="69"/>
        <v/>
      </c>
      <c r="X124" s="33" t="str">
        <f t="shared" si="70"/>
        <v/>
      </c>
      <c r="Y124" s="30" t="str">
        <f t="shared" si="71"/>
        <v/>
      </c>
      <c r="Z124" s="30" t="str">
        <f t="shared" si="72"/>
        <v/>
      </c>
      <c r="AA124" s="30" t="str">
        <f t="shared" si="73"/>
        <v/>
      </c>
      <c r="AB124" s="30" t="str">
        <f t="shared" si="74"/>
        <v/>
      </c>
      <c r="AD124" s="33" t="str">
        <f t="shared" si="75"/>
        <v/>
      </c>
      <c r="AE124" s="30" t="str">
        <f t="shared" si="76"/>
        <v/>
      </c>
      <c r="AF124" s="30" t="str">
        <f t="shared" si="77"/>
        <v/>
      </c>
      <c r="AG124" s="30" t="str">
        <f t="shared" si="78"/>
        <v/>
      </c>
      <c r="AH124" s="30" t="str">
        <f t="shared" si="79"/>
        <v/>
      </c>
      <c r="AJ124" s="85" t="str">
        <f t="shared" si="55"/>
        <v/>
      </c>
      <c r="AK124" s="86" t="str">
        <f t="shared" si="98"/>
        <v/>
      </c>
      <c r="AL124" s="86" t="str">
        <f t="shared" si="99"/>
        <v/>
      </c>
      <c r="AM124" s="86" t="str">
        <f t="shared" si="100"/>
        <v/>
      </c>
      <c r="AN124" s="86" t="str">
        <f t="shared" si="101"/>
        <v/>
      </c>
      <c r="AO124" s="86" t="str">
        <f t="shared" si="102"/>
        <v/>
      </c>
      <c r="AQ124" s="33" t="str">
        <f t="shared" si="80"/>
        <v/>
      </c>
      <c r="AR124" s="30" t="str">
        <f t="shared" si="81"/>
        <v/>
      </c>
      <c r="AU124" s="20">
        <f t="shared" si="82"/>
        <v>0</v>
      </c>
      <c r="AV124" s="20">
        <f t="shared" si="83"/>
        <v>0</v>
      </c>
      <c r="AW124" s="19">
        <f t="shared" si="89"/>
        <v>0</v>
      </c>
      <c r="AX124" s="19">
        <f t="shared" si="90"/>
        <v>0</v>
      </c>
      <c r="AY124" s="19">
        <f t="shared" si="91"/>
        <v>0</v>
      </c>
      <c r="AZ124" s="19">
        <f t="shared" si="92"/>
        <v>0</v>
      </c>
      <c r="BA124" s="19">
        <f t="shared" si="93"/>
        <v>0</v>
      </c>
      <c r="BB124" s="19">
        <f t="shared" si="94"/>
        <v>0</v>
      </c>
      <c r="BC124" s="19">
        <f t="shared" si="95"/>
        <v>0</v>
      </c>
      <c r="BD124" s="19">
        <f>-IF(CUSTOS!B124="",0,CUSTOS!B124)</f>
        <v>0</v>
      </c>
      <c r="BF124" s="20">
        <f t="shared" si="96"/>
        <v>0</v>
      </c>
      <c r="BG124" s="20">
        <f t="shared" si="97"/>
        <v>0</v>
      </c>
      <c r="BH124" s="116">
        <f t="shared" si="97"/>
        <v>0</v>
      </c>
    </row>
    <row r="125" spans="1:60" ht="15" x14ac:dyDescent="0.25">
      <c r="A125" s="66" t="str">
        <f>IF(LARGE($A$11:A124,1)=$F$2,"",A124+1)</f>
        <v/>
      </c>
      <c r="B125" s="27" t="str">
        <f t="shared" si="56"/>
        <v/>
      </c>
      <c r="C125" s="28" t="str">
        <f t="shared" si="84"/>
        <v/>
      </c>
      <c r="D125" s="28" t="str">
        <f t="shared" si="57"/>
        <v/>
      </c>
      <c r="E125" s="28" t="str">
        <f t="shared" si="58"/>
        <v/>
      </c>
      <c r="F125" s="29" t="str">
        <f t="shared" si="59"/>
        <v/>
      </c>
      <c r="G125" s="29" t="str">
        <f t="shared" si="60"/>
        <v/>
      </c>
      <c r="H125" s="30" t="str">
        <f t="shared" si="61"/>
        <v/>
      </c>
      <c r="I125" s="30" t="str">
        <f t="shared" si="62"/>
        <v/>
      </c>
      <c r="J125" s="30" t="str">
        <f>IF(A125="","",H125+CUSTOS!B125)</f>
        <v/>
      </c>
      <c r="K125" s="30" t="str">
        <f t="shared" si="85"/>
        <v/>
      </c>
      <c r="L125" s="30" t="str">
        <f t="shared" si="86"/>
        <v/>
      </c>
      <c r="M125" s="30" t="str">
        <f t="shared" si="87"/>
        <v/>
      </c>
      <c r="N125" s="30" t="str">
        <f t="shared" si="63"/>
        <v/>
      </c>
      <c r="O125" s="31" t="str">
        <f t="shared" si="88"/>
        <v/>
      </c>
      <c r="P125" s="32"/>
      <c r="Q125" s="33" t="str">
        <f t="shared" si="64"/>
        <v/>
      </c>
      <c r="R125" s="33" t="str">
        <f t="shared" si="65"/>
        <v/>
      </c>
      <c r="S125" s="33" t="str">
        <f t="shared" si="66"/>
        <v/>
      </c>
      <c r="T125" s="33" t="str">
        <f t="shared" si="67"/>
        <v/>
      </c>
      <c r="U125" s="33" t="str">
        <f t="shared" si="68"/>
        <v/>
      </c>
      <c r="V125" s="33" t="str">
        <f t="shared" si="69"/>
        <v/>
      </c>
      <c r="X125" s="33" t="str">
        <f t="shared" si="70"/>
        <v/>
      </c>
      <c r="Y125" s="30" t="str">
        <f t="shared" si="71"/>
        <v/>
      </c>
      <c r="Z125" s="30" t="str">
        <f t="shared" si="72"/>
        <v/>
      </c>
      <c r="AA125" s="30" t="str">
        <f t="shared" si="73"/>
        <v/>
      </c>
      <c r="AB125" s="30" t="str">
        <f t="shared" si="74"/>
        <v/>
      </c>
      <c r="AD125" s="33" t="str">
        <f t="shared" si="75"/>
        <v/>
      </c>
      <c r="AE125" s="30" t="str">
        <f t="shared" si="76"/>
        <v/>
      </c>
      <c r="AF125" s="30" t="str">
        <f t="shared" si="77"/>
        <v/>
      </c>
      <c r="AG125" s="30" t="str">
        <f t="shared" si="78"/>
        <v/>
      </c>
      <c r="AH125" s="30" t="str">
        <f t="shared" si="79"/>
        <v/>
      </c>
      <c r="AJ125" s="85" t="str">
        <f t="shared" si="55"/>
        <v/>
      </c>
      <c r="AK125" s="86" t="str">
        <f t="shared" si="98"/>
        <v/>
      </c>
      <c r="AL125" s="86" t="str">
        <f t="shared" si="99"/>
        <v/>
      </c>
      <c r="AM125" s="86" t="str">
        <f t="shared" si="100"/>
        <v/>
      </c>
      <c r="AN125" s="86" t="str">
        <f t="shared" si="101"/>
        <v/>
      </c>
      <c r="AO125" s="86" t="str">
        <f t="shared" si="102"/>
        <v/>
      </c>
      <c r="AQ125" s="33" t="str">
        <f t="shared" si="80"/>
        <v/>
      </c>
      <c r="AR125" s="30" t="str">
        <f t="shared" si="81"/>
        <v/>
      </c>
      <c r="AU125" s="20">
        <f t="shared" si="82"/>
        <v>0</v>
      </c>
      <c r="AV125" s="20">
        <f t="shared" si="83"/>
        <v>0</v>
      </c>
      <c r="AW125" s="19">
        <f t="shared" si="89"/>
        <v>0</v>
      </c>
      <c r="AX125" s="19">
        <f t="shared" si="90"/>
        <v>0</v>
      </c>
      <c r="AY125" s="19">
        <f t="shared" si="91"/>
        <v>0</v>
      </c>
      <c r="AZ125" s="19">
        <f t="shared" si="92"/>
        <v>0</v>
      </c>
      <c r="BA125" s="19">
        <f t="shared" si="93"/>
        <v>0</v>
      </c>
      <c r="BB125" s="19">
        <f t="shared" si="94"/>
        <v>0</v>
      </c>
      <c r="BC125" s="19">
        <f t="shared" si="95"/>
        <v>0</v>
      </c>
      <c r="BD125" s="19">
        <f>-IF(CUSTOS!B125="",0,CUSTOS!B125)</f>
        <v>0</v>
      </c>
      <c r="BF125" s="20">
        <f t="shared" si="96"/>
        <v>0</v>
      </c>
      <c r="BG125" s="20">
        <f t="shared" si="97"/>
        <v>0</v>
      </c>
      <c r="BH125" s="116">
        <f t="shared" si="97"/>
        <v>0</v>
      </c>
    </row>
    <row r="126" spans="1:60" ht="15" x14ac:dyDescent="0.25">
      <c r="A126" s="66" t="str">
        <f>IF(LARGE($A$11:A125,1)=$F$2,"",A125+1)</f>
        <v/>
      </c>
      <c r="B126" s="27" t="str">
        <f t="shared" si="56"/>
        <v/>
      </c>
      <c r="C126" s="28" t="str">
        <f t="shared" si="84"/>
        <v/>
      </c>
      <c r="D126" s="28" t="str">
        <f t="shared" si="57"/>
        <v/>
      </c>
      <c r="E126" s="28" t="str">
        <f t="shared" si="58"/>
        <v/>
      </c>
      <c r="F126" s="29" t="str">
        <f t="shared" si="59"/>
        <v/>
      </c>
      <c r="G126" s="29" t="str">
        <f t="shared" si="60"/>
        <v/>
      </c>
      <c r="H126" s="30" t="str">
        <f t="shared" si="61"/>
        <v/>
      </c>
      <c r="I126" s="30" t="str">
        <f t="shared" si="62"/>
        <v/>
      </c>
      <c r="J126" s="30" t="str">
        <f>IF(A126="","",H126+CUSTOS!B126)</f>
        <v/>
      </c>
      <c r="K126" s="30" t="str">
        <f t="shared" si="85"/>
        <v/>
      </c>
      <c r="L126" s="30" t="str">
        <f t="shared" si="86"/>
        <v/>
      </c>
      <c r="M126" s="30" t="str">
        <f t="shared" si="87"/>
        <v/>
      </c>
      <c r="N126" s="30" t="str">
        <f t="shared" si="63"/>
        <v/>
      </c>
      <c r="O126" s="31" t="str">
        <f t="shared" si="88"/>
        <v/>
      </c>
      <c r="P126" s="32"/>
      <c r="Q126" s="33" t="str">
        <f t="shared" si="64"/>
        <v/>
      </c>
      <c r="R126" s="33" t="str">
        <f t="shared" si="65"/>
        <v/>
      </c>
      <c r="S126" s="33" t="str">
        <f t="shared" si="66"/>
        <v/>
      </c>
      <c r="T126" s="33" t="str">
        <f t="shared" si="67"/>
        <v/>
      </c>
      <c r="U126" s="33" t="str">
        <f t="shared" si="68"/>
        <v/>
      </c>
      <c r="V126" s="33" t="str">
        <f t="shared" si="69"/>
        <v/>
      </c>
      <c r="X126" s="33" t="str">
        <f t="shared" si="70"/>
        <v/>
      </c>
      <c r="Y126" s="30" t="str">
        <f t="shared" si="71"/>
        <v/>
      </c>
      <c r="Z126" s="30" t="str">
        <f t="shared" si="72"/>
        <v/>
      </c>
      <c r="AA126" s="30" t="str">
        <f t="shared" si="73"/>
        <v/>
      </c>
      <c r="AB126" s="30" t="str">
        <f t="shared" si="74"/>
        <v/>
      </c>
      <c r="AD126" s="33" t="str">
        <f t="shared" si="75"/>
        <v/>
      </c>
      <c r="AE126" s="30" t="str">
        <f t="shared" si="76"/>
        <v/>
      </c>
      <c r="AF126" s="30" t="str">
        <f t="shared" si="77"/>
        <v/>
      </c>
      <c r="AG126" s="30" t="str">
        <f t="shared" si="78"/>
        <v/>
      </c>
      <c r="AH126" s="30" t="str">
        <f t="shared" si="79"/>
        <v/>
      </c>
      <c r="AJ126" s="85" t="str">
        <f t="shared" si="55"/>
        <v/>
      </c>
      <c r="AK126" s="86" t="str">
        <f t="shared" si="98"/>
        <v/>
      </c>
      <c r="AL126" s="86" t="str">
        <f t="shared" si="99"/>
        <v/>
      </c>
      <c r="AM126" s="86" t="str">
        <f t="shared" si="100"/>
        <v/>
      </c>
      <c r="AN126" s="86" t="str">
        <f t="shared" si="101"/>
        <v/>
      </c>
      <c r="AO126" s="86" t="str">
        <f t="shared" si="102"/>
        <v/>
      </c>
      <c r="AQ126" s="33" t="str">
        <f t="shared" si="80"/>
        <v/>
      </c>
      <c r="AR126" s="30" t="str">
        <f t="shared" si="81"/>
        <v/>
      </c>
      <c r="AU126" s="20">
        <f t="shared" si="82"/>
        <v>0</v>
      </c>
      <c r="AV126" s="20">
        <f t="shared" si="83"/>
        <v>0</v>
      </c>
      <c r="AW126" s="19">
        <f t="shared" si="89"/>
        <v>0</v>
      </c>
      <c r="AX126" s="19">
        <f t="shared" si="90"/>
        <v>0</v>
      </c>
      <c r="AY126" s="19">
        <f t="shared" si="91"/>
        <v>0</v>
      </c>
      <c r="AZ126" s="19">
        <f t="shared" si="92"/>
        <v>0</v>
      </c>
      <c r="BA126" s="19">
        <f t="shared" si="93"/>
        <v>0</v>
      </c>
      <c r="BB126" s="19">
        <f t="shared" si="94"/>
        <v>0</v>
      </c>
      <c r="BC126" s="19">
        <f t="shared" si="95"/>
        <v>0</v>
      </c>
      <c r="BD126" s="19">
        <f>-IF(CUSTOS!B126="",0,CUSTOS!B126)</f>
        <v>0</v>
      </c>
      <c r="BF126" s="20">
        <f t="shared" si="96"/>
        <v>0</v>
      </c>
      <c r="BG126" s="20">
        <f t="shared" si="97"/>
        <v>0</v>
      </c>
      <c r="BH126" s="116">
        <f t="shared" si="97"/>
        <v>0</v>
      </c>
    </row>
    <row r="127" spans="1:60" ht="15" x14ac:dyDescent="0.25">
      <c r="A127" s="66" t="str">
        <f>IF(LARGE($A$11:A126,1)=$F$2,"",A126+1)</f>
        <v/>
      </c>
      <c r="B127" s="27" t="str">
        <f t="shared" si="56"/>
        <v/>
      </c>
      <c r="C127" s="28" t="str">
        <f t="shared" si="84"/>
        <v/>
      </c>
      <c r="D127" s="28" t="str">
        <f t="shared" si="57"/>
        <v/>
      </c>
      <c r="E127" s="28" t="str">
        <f t="shared" si="58"/>
        <v/>
      </c>
      <c r="F127" s="29" t="str">
        <f t="shared" si="59"/>
        <v/>
      </c>
      <c r="G127" s="29" t="str">
        <f t="shared" si="60"/>
        <v/>
      </c>
      <c r="H127" s="30" t="str">
        <f t="shared" si="61"/>
        <v/>
      </c>
      <c r="I127" s="30" t="str">
        <f t="shared" si="62"/>
        <v/>
      </c>
      <c r="J127" s="30" t="str">
        <f>IF(A127="","",H127+CUSTOS!B127)</f>
        <v/>
      </c>
      <c r="K127" s="30" t="str">
        <f t="shared" si="85"/>
        <v/>
      </c>
      <c r="L127" s="30" t="str">
        <f t="shared" si="86"/>
        <v/>
      </c>
      <c r="M127" s="30" t="str">
        <f t="shared" si="87"/>
        <v/>
      </c>
      <c r="N127" s="30" t="str">
        <f t="shared" si="63"/>
        <v/>
      </c>
      <c r="O127" s="31" t="str">
        <f t="shared" si="88"/>
        <v/>
      </c>
      <c r="P127" s="32"/>
      <c r="Q127" s="33" t="str">
        <f t="shared" si="64"/>
        <v/>
      </c>
      <c r="R127" s="33" t="str">
        <f t="shared" si="65"/>
        <v/>
      </c>
      <c r="S127" s="33" t="str">
        <f t="shared" si="66"/>
        <v/>
      </c>
      <c r="T127" s="33" t="str">
        <f t="shared" si="67"/>
        <v/>
      </c>
      <c r="U127" s="33" t="str">
        <f t="shared" si="68"/>
        <v/>
      </c>
      <c r="V127" s="33" t="str">
        <f t="shared" si="69"/>
        <v/>
      </c>
      <c r="X127" s="33" t="str">
        <f t="shared" si="70"/>
        <v/>
      </c>
      <c r="Y127" s="30" t="str">
        <f t="shared" si="71"/>
        <v/>
      </c>
      <c r="Z127" s="30" t="str">
        <f t="shared" si="72"/>
        <v/>
      </c>
      <c r="AA127" s="30" t="str">
        <f t="shared" si="73"/>
        <v/>
      </c>
      <c r="AB127" s="30" t="str">
        <f t="shared" si="74"/>
        <v/>
      </c>
      <c r="AD127" s="33" t="str">
        <f t="shared" si="75"/>
        <v/>
      </c>
      <c r="AE127" s="30" t="str">
        <f t="shared" si="76"/>
        <v/>
      </c>
      <c r="AF127" s="30" t="str">
        <f t="shared" si="77"/>
        <v/>
      </c>
      <c r="AG127" s="30" t="str">
        <f t="shared" si="78"/>
        <v/>
      </c>
      <c r="AH127" s="30" t="str">
        <f t="shared" si="79"/>
        <v/>
      </c>
      <c r="AJ127" s="85" t="str">
        <f t="shared" si="55"/>
        <v/>
      </c>
      <c r="AK127" s="86" t="str">
        <f t="shared" si="98"/>
        <v/>
      </c>
      <c r="AL127" s="86" t="str">
        <f t="shared" si="99"/>
        <v/>
      </c>
      <c r="AM127" s="86" t="str">
        <f t="shared" si="100"/>
        <v/>
      </c>
      <c r="AN127" s="86" t="str">
        <f t="shared" si="101"/>
        <v/>
      </c>
      <c r="AO127" s="86" t="str">
        <f t="shared" si="102"/>
        <v/>
      </c>
      <c r="AQ127" s="33" t="str">
        <f t="shared" si="80"/>
        <v/>
      </c>
      <c r="AR127" s="30" t="str">
        <f t="shared" si="81"/>
        <v/>
      </c>
      <c r="AU127" s="20">
        <f t="shared" si="82"/>
        <v>0</v>
      </c>
      <c r="AV127" s="20">
        <f t="shared" si="83"/>
        <v>0</v>
      </c>
      <c r="AW127" s="19">
        <f t="shared" si="89"/>
        <v>0</v>
      </c>
      <c r="AX127" s="19">
        <f t="shared" si="90"/>
        <v>0</v>
      </c>
      <c r="AY127" s="19">
        <f t="shared" si="91"/>
        <v>0</v>
      </c>
      <c r="AZ127" s="19">
        <f t="shared" si="92"/>
        <v>0</v>
      </c>
      <c r="BA127" s="19">
        <f t="shared" si="93"/>
        <v>0</v>
      </c>
      <c r="BB127" s="19">
        <f t="shared" si="94"/>
        <v>0</v>
      </c>
      <c r="BC127" s="19">
        <f t="shared" si="95"/>
        <v>0</v>
      </c>
      <c r="BD127" s="19">
        <f>-IF(CUSTOS!B127="",0,CUSTOS!B127)</f>
        <v>0</v>
      </c>
      <c r="BF127" s="20">
        <f t="shared" si="96"/>
        <v>0</v>
      </c>
      <c r="BG127" s="20">
        <f t="shared" si="97"/>
        <v>0</v>
      </c>
      <c r="BH127" s="116">
        <f t="shared" si="97"/>
        <v>0</v>
      </c>
    </row>
    <row r="128" spans="1:60" ht="15" x14ac:dyDescent="0.25">
      <c r="A128" s="66" t="str">
        <f>IF(LARGE($A$11:A127,1)=$F$2,"",A127+1)</f>
        <v/>
      </c>
      <c r="B128" s="27" t="str">
        <f t="shared" si="56"/>
        <v/>
      </c>
      <c r="C128" s="28" t="str">
        <f t="shared" si="84"/>
        <v/>
      </c>
      <c r="D128" s="28" t="str">
        <f t="shared" si="57"/>
        <v/>
      </c>
      <c r="E128" s="28" t="str">
        <f t="shared" si="58"/>
        <v/>
      </c>
      <c r="F128" s="29" t="str">
        <f t="shared" si="59"/>
        <v/>
      </c>
      <c r="G128" s="29" t="str">
        <f t="shared" si="60"/>
        <v/>
      </c>
      <c r="H128" s="30" t="str">
        <f t="shared" si="61"/>
        <v/>
      </c>
      <c r="I128" s="30" t="str">
        <f t="shared" si="62"/>
        <v/>
      </c>
      <c r="J128" s="30" t="str">
        <f>IF(A128="","",H128+CUSTOS!B128)</f>
        <v/>
      </c>
      <c r="K128" s="30" t="str">
        <f t="shared" si="85"/>
        <v/>
      </c>
      <c r="L128" s="30" t="str">
        <f t="shared" si="86"/>
        <v/>
      </c>
      <c r="M128" s="30" t="str">
        <f t="shared" si="87"/>
        <v/>
      </c>
      <c r="N128" s="30" t="str">
        <f t="shared" si="63"/>
        <v/>
      </c>
      <c r="O128" s="31" t="str">
        <f t="shared" si="88"/>
        <v/>
      </c>
      <c r="P128" s="32"/>
      <c r="Q128" s="33" t="str">
        <f t="shared" si="64"/>
        <v/>
      </c>
      <c r="R128" s="33" t="str">
        <f t="shared" si="65"/>
        <v/>
      </c>
      <c r="S128" s="33" t="str">
        <f t="shared" si="66"/>
        <v/>
      </c>
      <c r="T128" s="33" t="str">
        <f t="shared" si="67"/>
        <v/>
      </c>
      <c r="U128" s="33" t="str">
        <f t="shared" si="68"/>
        <v/>
      </c>
      <c r="V128" s="33" t="str">
        <f t="shared" si="69"/>
        <v/>
      </c>
      <c r="X128" s="33" t="str">
        <f t="shared" si="70"/>
        <v/>
      </c>
      <c r="Y128" s="30" t="str">
        <f t="shared" si="71"/>
        <v/>
      </c>
      <c r="Z128" s="30" t="str">
        <f t="shared" si="72"/>
        <v/>
      </c>
      <c r="AA128" s="30" t="str">
        <f t="shared" si="73"/>
        <v/>
      </c>
      <c r="AB128" s="30" t="str">
        <f t="shared" si="74"/>
        <v/>
      </c>
      <c r="AD128" s="33" t="str">
        <f t="shared" si="75"/>
        <v/>
      </c>
      <c r="AE128" s="30" t="str">
        <f t="shared" si="76"/>
        <v/>
      </c>
      <c r="AF128" s="30" t="str">
        <f t="shared" si="77"/>
        <v/>
      </c>
      <c r="AG128" s="30" t="str">
        <f t="shared" si="78"/>
        <v/>
      </c>
      <c r="AH128" s="30" t="str">
        <f t="shared" si="79"/>
        <v/>
      </c>
      <c r="AJ128" s="85" t="str">
        <f t="shared" si="55"/>
        <v/>
      </c>
      <c r="AK128" s="86" t="str">
        <f t="shared" si="98"/>
        <v/>
      </c>
      <c r="AL128" s="86" t="str">
        <f t="shared" si="99"/>
        <v/>
      </c>
      <c r="AM128" s="86" t="str">
        <f t="shared" si="100"/>
        <v/>
      </c>
      <c r="AN128" s="86" t="str">
        <f t="shared" si="101"/>
        <v/>
      </c>
      <c r="AO128" s="86" t="str">
        <f t="shared" si="102"/>
        <v/>
      </c>
      <c r="AQ128" s="33" t="str">
        <f t="shared" si="80"/>
        <v/>
      </c>
      <c r="AR128" s="30" t="str">
        <f t="shared" si="81"/>
        <v/>
      </c>
      <c r="AU128" s="20">
        <f t="shared" si="82"/>
        <v>0</v>
      </c>
      <c r="AV128" s="20">
        <f t="shared" si="83"/>
        <v>0</v>
      </c>
      <c r="AW128" s="19">
        <f t="shared" si="89"/>
        <v>0</v>
      </c>
      <c r="AX128" s="19">
        <f t="shared" si="90"/>
        <v>0</v>
      </c>
      <c r="AY128" s="19">
        <f t="shared" si="91"/>
        <v>0</v>
      </c>
      <c r="AZ128" s="19">
        <f t="shared" si="92"/>
        <v>0</v>
      </c>
      <c r="BA128" s="19">
        <f t="shared" si="93"/>
        <v>0</v>
      </c>
      <c r="BB128" s="19">
        <f t="shared" si="94"/>
        <v>0</v>
      </c>
      <c r="BC128" s="19">
        <f t="shared" si="95"/>
        <v>0</v>
      </c>
      <c r="BD128" s="19">
        <f>-IF(CUSTOS!B128="",0,CUSTOS!B128)</f>
        <v>0</v>
      </c>
      <c r="BF128" s="20">
        <f t="shared" si="96"/>
        <v>0</v>
      </c>
      <c r="BG128" s="20">
        <f t="shared" si="97"/>
        <v>0</v>
      </c>
      <c r="BH128" s="116">
        <f t="shared" si="97"/>
        <v>0</v>
      </c>
    </row>
    <row r="129" spans="1:60" ht="15" x14ac:dyDescent="0.25">
      <c r="A129" s="66" t="str">
        <f>IF(LARGE($A$11:A128,1)=$F$2,"",A128+1)</f>
        <v/>
      </c>
      <c r="B129" s="27" t="str">
        <f t="shared" si="56"/>
        <v/>
      </c>
      <c r="C129" s="28" t="str">
        <f t="shared" si="84"/>
        <v/>
      </c>
      <c r="D129" s="28" t="str">
        <f t="shared" si="57"/>
        <v/>
      </c>
      <c r="E129" s="28" t="str">
        <f t="shared" si="58"/>
        <v/>
      </c>
      <c r="F129" s="29" t="str">
        <f t="shared" si="59"/>
        <v/>
      </c>
      <c r="G129" s="29" t="str">
        <f t="shared" si="60"/>
        <v/>
      </c>
      <c r="H129" s="30" t="str">
        <f t="shared" si="61"/>
        <v/>
      </c>
      <c r="I129" s="30" t="str">
        <f t="shared" si="62"/>
        <v/>
      </c>
      <c r="J129" s="30" t="str">
        <f>IF(A129="","",H129+CUSTOS!B129)</f>
        <v/>
      </c>
      <c r="K129" s="30" t="str">
        <f t="shared" si="85"/>
        <v/>
      </c>
      <c r="L129" s="30" t="str">
        <f t="shared" si="86"/>
        <v/>
      </c>
      <c r="M129" s="30" t="str">
        <f t="shared" si="87"/>
        <v/>
      </c>
      <c r="N129" s="30" t="str">
        <f t="shared" si="63"/>
        <v/>
      </c>
      <c r="O129" s="31" t="str">
        <f t="shared" si="88"/>
        <v/>
      </c>
      <c r="P129" s="32"/>
      <c r="Q129" s="33" t="str">
        <f t="shared" si="64"/>
        <v/>
      </c>
      <c r="R129" s="33" t="str">
        <f t="shared" si="65"/>
        <v/>
      </c>
      <c r="S129" s="33" t="str">
        <f t="shared" si="66"/>
        <v/>
      </c>
      <c r="T129" s="33" t="str">
        <f t="shared" si="67"/>
        <v/>
      </c>
      <c r="U129" s="33" t="str">
        <f t="shared" si="68"/>
        <v/>
      </c>
      <c r="V129" s="33" t="str">
        <f t="shared" si="69"/>
        <v/>
      </c>
      <c r="X129" s="33" t="str">
        <f t="shared" si="70"/>
        <v/>
      </c>
      <c r="Y129" s="30" t="str">
        <f t="shared" si="71"/>
        <v/>
      </c>
      <c r="Z129" s="30" t="str">
        <f t="shared" si="72"/>
        <v/>
      </c>
      <c r="AA129" s="30" t="str">
        <f t="shared" si="73"/>
        <v/>
      </c>
      <c r="AB129" s="30" t="str">
        <f t="shared" si="74"/>
        <v/>
      </c>
      <c r="AD129" s="33" t="str">
        <f t="shared" si="75"/>
        <v/>
      </c>
      <c r="AE129" s="30" t="str">
        <f t="shared" si="76"/>
        <v/>
      </c>
      <c r="AF129" s="30" t="str">
        <f t="shared" si="77"/>
        <v/>
      </c>
      <c r="AG129" s="30" t="str">
        <f t="shared" si="78"/>
        <v/>
      </c>
      <c r="AH129" s="30" t="str">
        <f t="shared" si="79"/>
        <v/>
      </c>
      <c r="AJ129" s="85" t="str">
        <f t="shared" si="55"/>
        <v/>
      </c>
      <c r="AK129" s="86" t="str">
        <f t="shared" si="98"/>
        <v/>
      </c>
      <c r="AL129" s="86" t="str">
        <f t="shared" si="99"/>
        <v/>
      </c>
      <c r="AM129" s="86" t="str">
        <f t="shared" si="100"/>
        <v/>
      </c>
      <c r="AN129" s="86" t="str">
        <f t="shared" si="101"/>
        <v/>
      </c>
      <c r="AO129" s="86" t="str">
        <f t="shared" si="102"/>
        <v/>
      </c>
      <c r="AQ129" s="33" t="str">
        <f t="shared" si="80"/>
        <v/>
      </c>
      <c r="AR129" s="30" t="str">
        <f t="shared" si="81"/>
        <v/>
      </c>
      <c r="AU129" s="20">
        <f t="shared" si="82"/>
        <v>0</v>
      </c>
      <c r="AV129" s="20">
        <f t="shared" si="83"/>
        <v>0</v>
      </c>
      <c r="AW129" s="19">
        <f t="shared" si="89"/>
        <v>0</v>
      </c>
      <c r="AX129" s="19">
        <f t="shared" si="90"/>
        <v>0</v>
      </c>
      <c r="AY129" s="19">
        <f t="shared" si="91"/>
        <v>0</v>
      </c>
      <c r="AZ129" s="19">
        <f t="shared" si="92"/>
        <v>0</v>
      </c>
      <c r="BA129" s="19">
        <f t="shared" si="93"/>
        <v>0</v>
      </c>
      <c r="BB129" s="19">
        <f t="shared" si="94"/>
        <v>0</v>
      </c>
      <c r="BC129" s="19">
        <f t="shared" si="95"/>
        <v>0</v>
      </c>
      <c r="BD129" s="19">
        <f>-IF(CUSTOS!B129="",0,CUSTOS!B129)</f>
        <v>0</v>
      </c>
      <c r="BF129" s="20">
        <f t="shared" si="96"/>
        <v>0</v>
      </c>
      <c r="BG129" s="20">
        <f t="shared" si="97"/>
        <v>0</v>
      </c>
      <c r="BH129" s="116">
        <f t="shared" si="97"/>
        <v>0</v>
      </c>
    </row>
    <row r="130" spans="1:60" ht="15" x14ac:dyDescent="0.25">
      <c r="A130" s="66" t="str">
        <f>IF(LARGE($A$11:A129,1)=$F$2,"",A129+1)</f>
        <v/>
      </c>
      <c r="B130" s="27" t="str">
        <f t="shared" si="56"/>
        <v/>
      </c>
      <c r="C130" s="28" t="str">
        <f t="shared" si="84"/>
        <v/>
      </c>
      <c r="D130" s="28" t="str">
        <f t="shared" si="57"/>
        <v/>
      </c>
      <c r="E130" s="28" t="str">
        <f t="shared" si="58"/>
        <v/>
      </c>
      <c r="F130" s="29" t="str">
        <f t="shared" si="59"/>
        <v/>
      </c>
      <c r="G130" s="29" t="str">
        <f t="shared" si="60"/>
        <v/>
      </c>
      <c r="H130" s="30" t="str">
        <f t="shared" si="61"/>
        <v/>
      </c>
      <c r="I130" s="30" t="str">
        <f t="shared" si="62"/>
        <v/>
      </c>
      <c r="J130" s="30" t="str">
        <f>IF(A130="","",H130+CUSTOS!B130)</f>
        <v/>
      </c>
      <c r="K130" s="30" t="str">
        <f t="shared" si="85"/>
        <v/>
      </c>
      <c r="L130" s="30" t="str">
        <f t="shared" si="86"/>
        <v/>
      </c>
      <c r="M130" s="30" t="str">
        <f t="shared" si="87"/>
        <v/>
      </c>
      <c r="N130" s="30" t="str">
        <f t="shared" si="63"/>
        <v/>
      </c>
      <c r="O130" s="31" t="str">
        <f t="shared" si="88"/>
        <v/>
      </c>
      <c r="P130" s="32"/>
      <c r="Q130" s="33" t="str">
        <f t="shared" si="64"/>
        <v/>
      </c>
      <c r="R130" s="33" t="str">
        <f t="shared" si="65"/>
        <v/>
      </c>
      <c r="S130" s="33" t="str">
        <f t="shared" si="66"/>
        <v/>
      </c>
      <c r="T130" s="33" t="str">
        <f t="shared" si="67"/>
        <v/>
      </c>
      <c r="U130" s="33" t="str">
        <f t="shared" si="68"/>
        <v/>
      </c>
      <c r="V130" s="33" t="str">
        <f t="shared" si="69"/>
        <v/>
      </c>
      <c r="X130" s="33" t="str">
        <f t="shared" si="70"/>
        <v/>
      </c>
      <c r="Y130" s="30" t="str">
        <f t="shared" si="71"/>
        <v/>
      </c>
      <c r="Z130" s="30" t="str">
        <f t="shared" si="72"/>
        <v/>
      </c>
      <c r="AA130" s="30" t="str">
        <f t="shared" si="73"/>
        <v/>
      </c>
      <c r="AB130" s="30" t="str">
        <f t="shared" si="74"/>
        <v/>
      </c>
      <c r="AD130" s="33" t="str">
        <f t="shared" si="75"/>
        <v/>
      </c>
      <c r="AE130" s="30" t="str">
        <f t="shared" si="76"/>
        <v/>
      </c>
      <c r="AF130" s="30" t="str">
        <f t="shared" si="77"/>
        <v/>
      </c>
      <c r="AG130" s="30" t="str">
        <f t="shared" si="78"/>
        <v/>
      </c>
      <c r="AH130" s="30" t="str">
        <f t="shared" si="79"/>
        <v/>
      </c>
      <c r="AJ130" s="85" t="str">
        <f t="shared" si="55"/>
        <v/>
      </c>
      <c r="AK130" s="86" t="str">
        <f t="shared" si="98"/>
        <v/>
      </c>
      <c r="AL130" s="86" t="str">
        <f t="shared" si="99"/>
        <v/>
      </c>
      <c r="AM130" s="86" t="str">
        <f t="shared" si="100"/>
        <v/>
      </c>
      <c r="AN130" s="86" t="str">
        <f t="shared" si="101"/>
        <v/>
      </c>
      <c r="AO130" s="86" t="str">
        <f t="shared" si="102"/>
        <v/>
      </c>
      <c r="AQ130" s="33" t="str">
        <f t="shared" si="80"/>
        <v/>
      </c>
      <c r="AR130" s="30" t="str">
        <f t="shared" si="81"/>
        <v/>
      </c>
      <c r="AU130" s="20">
        <f t="shared" si="82"/>
        <v>0</v>
      </c>
      <c r="AV130" s="20">
        <f t="shared" si="83"/>
        <v>0</v>
      </c>
      <c r="AW130" s="19">
        <f t="shared" si="89"/>
        <v>0</v>
      </c>
      <c r="AX130" s="19">
        <f t="shared" si="90"/>
        <v>0</v>
      </c>
      <c r="AY130" s="19">
        <f t="shared" si="91"/>
        <v>0</v>
      </c>
      <c r="AZ130" s="19">
        <f t="shared" si="92"/>
        <v>0</v>
      </c>
      <c r="BA130" s="19">
        <f t="shared" si="93"/>
        <v>0</v>
      </c>
      <c r="BB130" s="19">
        <f t="shared" si="94"/>
        <v>0</v>
      </c>
      <c r="BC130" s="19">
        <f t="shared" si="95"/>
        <v>0</v>
      </c>
      <c r="BD130" s="19">
        <f>-IF(CUSTOS!B130="",0,CUSTOS!B130)</f>
        <v>0</v>
      </c>
      <c r="BF130" s="20">
        <f t="shared" si="96"/>
        <v>0</v>
      </c>
      <c r="BG130" s="20">
        <f t="shared" si="97"/>
        <v>0</v>
      </c>
      <c r="BH130" s="116">
        <f t="shared" si="97"/>
        <v>0</v>
      </c>
    </row>
    <row r="131" spans="1:60" ht="15" x14ac:dyDescent="0.25">
      <c r="A131" s="66" t="str">
        <f>IF(LARGE($A$11:A130,1)=$F$2,"",A130+1)</f>
        <v/>
      </c>
      <c r="B131" s="27" t="str">
        <f t="shared" si="56"/>
        <v/>
      </c>
      <c r="C131" s="28" t="str">
        <f t="shared" si="84"/>
        <v/>
      </c>
      <c r="D131" s="28" t="str">
        <f t="shared" si="57"/>
        <v/>
      </c>
      <c r="E131" s="28" t="str">
        <f t="shared" si="58"/>
        <v/>
      </c>
      <c r="F131" s="29" t="str">
        <f t="shared" si="59"/>
        <v/>
      </c>
      <c r="G131" s="29" t="str">
        <f t="shared" si="60"/>
        <v/>
      </c>
      <c r="H131" s="30" t="str">
        <f t="shared" si="61"/>
        <v/>
      </c>
      <c r="I131" s="30" t="str">
        <f t="shared" si="62"/>
        <v/>
      </c>
      <c r="J131" s="30" t="str">
        <f>IF(A131="","",H131+CUSTOS!B131)</f>
        <v/>
      </c>
      <c r="K131" s="30" t="str">
        <f t="shared" si="85"/>
        <v/>
      </c>
      <c r="L131" s="30" t="str">
        <f t="shared" si="86"/>
        <v/>
      </c>
      <c r="M131" s="30" t="str">
        <f t="shared" si="87"/>
        <v/>
      </c>
      <c r="N131" s="30" t="str">
        <f t="shared" si="63"/>
        <v/>
      </c>
      <c r="O131" s="31" t="str">
        <f t="shared" si="88"/>
        <v/>
      </c>
      <c r="P131" s="32"/>
      <c r="Q131" s="33" t="str">
        <f t="shared" si="64"/>
        <v/>
      </c>
      <c r="R131" s="33" t="str">
        <f t="shared" si="65"/>
        <v/>
      </c>
      <c r="S131" s="33" t="str">
        <f t="shared" si="66"/>
        <v/>
      </c>
      <c r="T131" s="33" t="str">
        <f t="shared" si="67"/>
        <v/>
      </c>
      <c r="U131" s="33" t="str">
        <f t="shared" si="68"/>
        <v/>
      </c>
      <c r="V131" s="33" t="str">
        <f t="shared" si="69"/>
        <v/>
      </c>
      <c r="X131" s="33" t="str">
        <f t="shared" si="70"/>
        <v/>
      </c>
      <c r="Y131" s="30" t="str">
        <f t="shared" si="71"/>
        <v/>
      </c>
      <c r="Z131" s="30" t="str">
        <f t="shared" si="72"/>
        <v/>
      </c>
      <c r="AA131" s="30" t="str">
        <f t="shared" si="73"/>
        <v/>
      </c>
      <c r="AB131" s="30" t="str">
        <f t="shared" si="74"/>
        <v/>
      </c>
      <c r="AD131" s="33" t="str">
        <f t="shared" si="75"/>
        <v/>
      </c>
      <c r="AE131" s="30" t="str">
        <f t="shared" si="76"/>
        <v/>
      </c>
      <c r="AF131" s="30" t="str">
        <f t="shared" si="77"/>
        <v/>
      </c>
      <c r="AG131" s="30" t="str">
        <f t="shared" si="78"/>
        <v/>
      </c>
      <c r="AH131" s="30" t="str">
        <f t="shared" si="79"/>
        <v/>
      </c>
      <c r="AJ131" s="85" t="str">
        <f t="shared" si="55"/>
        <v/>
      </c>
      <c r="AK131" s="86" t="str">
        <f t="shared" si="98"/>
        <v/>
      </c>
      <c r="AL131" s="86" t="str">
        <f t="shared" si="99"/>
        <v/>
      </c>
      <c r="AM131" s="86" t="str">
        <f t="shared" si="100"/>
        <v/>
      </c>
      <c r="AN131" s="86" t="str">
        <f t="shared" si="101"/>
        <v/>
      </c>
      <c r="AO131" s="86" t="str">
        <f t="shared" si="102"/>
        <v/>
      </c>
      <c r="AQ131" s="33" t="str">
        <f t="shared" si="80"/>
        <v/>
      </c>
      <c r="AR131" s="30" t="str">
        <f t="shared" si="81"/>
        <v/>
      </c>
      <c r="AU131" s="20">
        <f t="shared" si="82"/>
        <v>0</v>
      </c>
      <c r="AV131" s="20">
        <f t="shared" si="83"/>
        <v>0</v>
      </c>
      <c r="AW131" s="19">
        <f t="shared" si="89"/>
        <v>0</v>
      </c>
      <c r="AX131" s="19">
        <f t="shared" si="90"/>
        <v>0</v>
      </c>
      <c r="AY131" s="19">
        <f t="shared" si="91"/>
        <v>0</v>
      </c>
      <c r="AZ131" s="19">
        <f t="shared" si="92"/>
        <v>0</v>
      </c>
      <c r="BA131" s="19">
        <f t="shared" si="93"/>
        <v>0</v>
      </c>
      <c r="BB131" s="19">
        <f t="shared" si="94"/>
        <v>0</v>
      </c>
      <c r="BC131" s="19">
        <f t="shared" si="95"/>
        <v>0</v>
      </c>
      <c r="BD131" s="19">
        <f>-IF(CUSTOS!B131="",0,CUSTOS!B131)</f>
        <v>0</v>
      </c>
      <c r="BF131" s="20">
        <f t="shared" si="96"/>
        <v>0</v>
      </c>
      <c r="BG131" s="20">
        <f t="shared" si="97"/>
        <v>0</v>
      </c>
      <c r="BH131" s="116">
        <f t="shared" si="97"/>
        <v>0</v>
      </c>
    </row>
    <row r="132" spans="1:60" ht="15" x14ac:dyDescent="0.25">
      <c r="A132" s="66" t="str">
        <f>IF(LARGE($A$11:A131,1)=$F$2,"",A131+1)</f>
        <v/>
      </c>
      <c r="B132" s="27" t="str">
        <f t="shared" si="56"/>
        <v/>
      </c>
      <c r="C132" s="28" t="str">
        <f t="shared" si="84"/>
        <v/>
      </c>
      <c r="D132" s="28" t="str">
        <f t="shared" si="57"/>
        <v/>
      </c>
      <c r="E132" s="28" t="str">
        <f t="shared" si="58"/>
        <v/>
      </c>
      <c r="F132" s="29" t="str">
        <f t="shared" si="59"/>
        <v/>
      </c>
      <c r="G132" s="29" t="str">
        <f t="shared" si="60"/>
        <v/>
      </c>
      <c r="H132" s="30" t="str">
        <f t="shared" si="61"/>
        <v/>
      </c>
      <c r="I132" s="30" t="str">
        <f t="shared" si="62"/>
        <v/>
      </c>
      <c r="J132" s="30" t="str">
        <f>IF(A132="","",H132+CUSTOS!B132)</f>
        <v/>
      </c>
      <c r="K132" s="30" t="str">
        <f t="shared" si="85"/>
        <v/>
      </c>
      <c r="L132" s="30" t="str">
        <f t="shared" si="86"/>
        <v/>
      </c>
      <c r="M132" s="30" t="str">
        <f t="shared" si="87"/>
        <v/>
      </c>
      <c r="N132" s="30" t="str">
        <f t="shared" si="63"/>
        <v/>
      </c>
      <c r="O132" s="31" t="str">
        <f t="shared" si="88"/>
        <v/>
      </c>
      <c r="P132" s="32"/>
      <c r="Q132" s="33" t="str">
        <f t="shared" si="64"/>
        <v/>
      </c>
      <c r="R132" s="33" t="str">
        <f t="shared" si="65"/>
        <v/>
      </c>
      <c r="S132" s="33" t="str">
        <f t="shared" si="66"/>
        <v/>
      </c>
      <c r="T132" s="33" t="str">
        <f t="shared" si="67"/>
        <v/>
      </c>
      <c r="U132" s="33" t="str">
        <f t="shared" si="68"/>
        <v/>
      </c>
      <c r="V132" s="33" t="str">
        <f t="shared" si="69"/>
        <v/>
      </c>
      <c r="X132" s="33" t="str">
        <f t="shared" ref="X132:X195" si="103">IF($A132="","",IF($A132&gt;prazo_subp,"",IF($Y$6="PMT [diferença]",J132-IF(Q132="",0,Q132),IF($Y$6="A + J",Y132+Z132,(J132-Q132)*pmt_subp))))</f>
        <v/>
      </c>
      <c r="Y132" s="30" t="str">
        <f t="shared" si="71"/>
        <v/>
      </c>
      <c r="Z132" s="30" t="str">
        <f t="shared" si="72"/>
        <v/>
      </c>
      <c r="AA132" s="30" t="str">
        <f t="shared" si="73"/>
        <v/>
      </c>
      <c r="AB132" s="30" t="str">
        <f t="shared" si="74"/>
        <v/>
      </c>
      <c r="AD132" s="33" t="str">
        <f t="shared" ref="AD132:AD139" si="104">IF($A132="","",IF($A132&gt;prazo_sub,"",IF($AE$6="PMT [diferença]",J132-Q132-X132,(J132-Q132-X132)*pmt_sub)))</f>
        <v/>
      </c>
      <c r="AE132" s="30" t="str">
        <f t="shared" si="76"/>
        <v/>
      </c>
      <c r="AF132" s="30" t="str">
        <f t="shared" si="77"/>
        <v/>
      </c>
      <c r="AG132" s="30" t="str">
        <f t="shared" si="78"/>
        <v/>
      </c>
      <c r="AH132" s="30" t="str">
        <f t="shared" si="79"/>
        <v/>
      </c>
      <c r="AJ132" s="85" t="str">
        <f>IF($A132="","",J132-IF(AD132="",0,AD132)-IF(Q132="",0,Q132)-IF(X132="",0,X132))</f>
        <v/>
      </c>
      <c r="AK132" s="86" t="str">
        <f t="shared" si="98"/>
        <v/>
      </c>
      <c r="AL132" s="86" t="str">
        <f t="shared" si="99"/>
        <v/>
      </c>
      <c r="AM132" s="86" t="str">
        <f t="shared" si="100"/>
        <v/>
      </c>
      <c r="AN132" s="86" t="str">
        <f t="shared" si="101"/>
        <v/>
      </c>
      <c r="AO132" s="86" t="str">
        <f t="shared" si="102"/>
        <v/>
      </c>
      <c r="AQ132" s="33" t="str">
        <f>IF(A132="","",IF(AJ132&lt;=0,AJ132,0))</f>
        <v/>
      </c>
      <c r="AR132" s="30" t="str">
        <f t="shared" si="81"/>
        <v/>
      </c>
      <c r="AU132" s="20">
        <f t="shared" si="82"/>
        <v>0</v>
      </c>
      <c r="AV132" s="20">
        <f t="shared" si="83"/>
        <v>0</v>
      </c>
      <c r="AW132" s="19">
        <f t="shared" si="89"/>
        <v>0</v>
      </c>
      <c r="AX132" s="19">
        <f t="shared" si="90"/>
        <v>0</v>
      </c>
      <c r="AY132" s="19">
        <f t="shared" si="91"/>
        <v>0</v>
      </c>
      <c r="AZ132" s="19">
        <f t="shared" si="92"/>
        <v>0</v>
      </c>
      <c r="BA132" s="19">
        <f t="shared" si="93"/>
        <v>0</v>
      </c>
      <c r="BB132" s="19">
        <f t="shared" si="94"/>
        <v>0</v>
      </c>
      <c r="BC132" s="19">
        <f t="shared" si="95"/>
        <v>0</v>
      </c>
      <c r="BD132" s="19">
        <f>-IF(CUSTOS!B132="",0,CUSTOS!B132)</f>
        <v>0</v>
      </c>
      <c r="BF132" s="20">
        <f t="shared" si="96"/>
        <v>0</v>
      </c>
      <c r="BG132" s="20">
        <f t="shared" si="97"/>
        <v>0</v>
      </c>
      <c r="BH132" s="116">
        <f t="shared" si="97"/>
        <v>0</v>
      </c>
    </row>
    <row r="133" spans="1:60" ht="15" x14ac:dyDescent="0.25">
      <c r="A133" s="66" t="str">
        <f>IF(LARGE($A$11:A132,1)=$F$2,"",A132+1)</f>
        <v/>
      </c>
      <c r="B133" s="27" t="str">
        <f t="shared" si="56"/>
        <v/>
      </c>
      <c r="C133" s="28" t="str">
        <f t="shared" si="84"/>
        <v/>
      </c>
      <c r="D133" s="28" t="str">
        <f t="shared" si="57"/>
        <v/>
      </c>
      <c r="E133" s="28" t="str">
        <f t="shared" si="58"/>
        <v/>
      </c>
      <c r="F133" s="29" t="str">
        <f t="shared" si="59"/>
        <v/>
      </c>
      <c r="G133" s="29" t="str">
        <f t="shared" si="60"/>
        <v/>
      </c>
      <c r="H133" s="30" t="str">
        <f t="shared" si="61"/>
        <v/>
      </c>
      <c r="I133" s="30" t="str">
        <f t="shared" si="62"/>
        <v/>
      </c>
      <c r="J133" s="30" t="str">
        <f>IF(A133="","",H133+CUSTOS!B133)</f>
        <v/>
      </c>
      <c r="K133" s="30" t="str">
        <f t="shared" si="85"/>
        <v/>
      </c>
      <c r="L133" s="30" t="str">
        <f t="shared" si="86"/>
        <v/>
      </c>
      <c r="M133" s="30" t="str">
        <f t="shared" si="87"/>
        <v/>
      </c>
      <c r="N133" s="30" t="str">
        <f t="shared" si="63"/>
        <v/>
      </c>
      <c r="O133" s="31" t="str">
        <f t="shared" si="88"/>
        <v/>
      </c>
      <c r="P133" s="32"/>
      <c r="Q133" s="33" t="str">
        <f t="shared" si="64"/>
        <v/>
      </c>
      <c r="R133" s="33" t="str">
        <f t="shared" si="65"/>
        <v/>
      </c>
      <c r="S133" s="33" t="str">
        <f t="shared" si="66"/>
        <v/>
      </c>
      <c r="T133" s="33" t="str">
        <f t="shared" si="67"/>
        <v/>
      </c>
      <c r="U133" s="33" t="str">
        <f t="shared" si="68"/>
        <v/>
      </c>
      <c r="V133" s="33" t="str">
        <f t="shared" si="69"/>
        <v/>
      </c>
      <c r="X133" s="33" t="str">
        <f t="shared" si="103"/>
        <v/>
      </c>
      <c r="Y133" s="30" t="str">
        <f t="shared" si="71"/>
        <v/>
      </c>
      <c r="Z133" s="30" t="str">
        <f t="shared" si="72"/>
        <v/>
      </c>
      <c r="AA133" s="30" t="str">
        <f t="shared" si="73"/>
        <v/>
      </c>
      <c r="AB133" s="30" t="str">
        <f t="shared" si="74"/>
        <v/>
      </c>
      <c r="AD133" s="33" t="str">
        <f t="shared" si="104"/>
        <v/>
      </c>
      <c r="AE133" s="30" t="str">
        <f t="shared" si="76"/>
        <v/>
      </c>
      <c r="AF133" s="30" t="str">
        <f t="shared" si="77"/>
        <v/>
      </c>
      <c r="AG133" s="30" t="str">
        <f t="shared" si="78"/>
        <v/>
      </c>
      <c r="AH133" s="30" t="str">
        <f t="shared" si="79"/>
        <v/>
      </c>
      <c r="AJ133" s="85" t="str">
        <f t="shared" ref="AJ133:AJ191" si="105">IF($A133="","",J133-IF(AD133="",0,AD133)-IF(Q133="",0,Q133)-IF(X133="",0,X133))</f>
        <v/>
      </c>
      <c r="AK133" s="86" t="str">
        <f t="shared" si="98"/>
        <v/>
      </c>
      <c r="AL133" s="86" t="str">
        <f t="shared" si="99"/>
        <v/>
      </c>
      <c r="AM133" s="86" t="str">
        <f t="shared" si="100"/>
        <v/>
      </c>
      <c r="AN133" s="86" t="str">
        <f t="shared" si="101"/>
        <v/>
      </c>
      <c r="AO133" s="86" t="str">
        <f t="shared" si="102"/>
        <v/>
      </c>
      <c r="AQ133" s="33" t="str">
        <f t="shared" si="80"/>
        <v/>
      </c>
      <c r="AR133" s="30" t="str">
        <f t="shared" si="81"/>
        <v/>
      </c>
      <c r="AU133" s="20">
        <f t="shared" si="82"/>
        <v>0</v>
      </c>
      <c r="AV133" s="20">
        <f t="shared" si="83"/>
        <v>0</v>
      </c>
      <c r="AW133" s="19">
        <f t="shared" si="89"/>
        <v>0</v>
      </c>
      <c r="AX133" s="19">
        <f t="shared" si="90"/>
        <v>0</v>
      </c>
      <c r="AY133" s="19">
        <f t="shared" si="91"/>
        <v>0</v>
      </c>
      <c r="AZ133" s="19">
        <f t="shared" si="92"/>
        <v>0</v>
      </c>
      <c r="BA133" s="19">
        <f t="shared" si="93"/>
        <v>0</v>
      </c>
      <c r="BB133" s="19">
        <f t="shared" si="94"/>
        <v>0</v>
      </c>
      <c r="BC133" s="19">
        <f t="shared" si="95"/>
        <v>0</v>
      </c>
      <c r="BD133" s="19">
        <f>-IF(CUSTOS!B133="",0,CUSTOS!B133)</f>
        <v>0</v>
      </c>
      <c r="BF133" s="20">
        <f t="shared" si="96"/>
        <v>0</v>
      </c>
      <c r="BG133" s="20">
        <f t="shared" si="97"/>
        <v>0</v>
      </c>
      <c r="BH133" s="116">
        <f t="shared" si="97"/>
        <v>0</v>
      </c>
    </row>
    <row r="134" spans="1:60" ht="15" x14ac:dyDescent="0.25">
      <c r="A134" s="66" t="str">
        <f>IF(LARGE($A$11:A133,1)=$F$2,"",A133+1)</f>
        <v/>
      </c>
      <c r="B134" s="27" t="str">
        <f t="shared" si="56"/>
        <v/>
      </c>
      <c r="C134" s="28" t="str">
        <f t="shared" si="84"/>
        <v/>
      </c>
      <c r="D134" s="28" t="str">
        <f t="shared" si="57"/>
        <v/>
      </c>
      <c r="E134" s="28" t="str">
        <f t="shared" si="58"/>
        <v/>
      </c>
      <c r="F134" s="29" t="str">
        <f t="shared" si="59"/>
        <v/>
      </c>
      <c r="G134" s="29" t="str">
        <f t="shared" si="60"/>
        <v/>
      </c>
      <c r="H134" s="30" t="str">
        <f t="shared" si="61"/>
        <v/>
      </c>
      <c r="I134" s="30" t="str">
        <f t="shared" si="62"/>
        <v/>
      </c>
      <c r="J134" s="30" t="str">
        <f>IF(A134="","",H134+CUSTOS!B134)</f>
        <v/>
      </c>
      <c r="K134" s="30" t="str">
        <f t="shared" si="85"/>
        <v/>
      </c>
      <c r="L134" s="30" t="str">
        <f t="shared" si="86"/>
        <v/>
      </c>
      <c r="M134" s="30" t="str">
        <f t="shared" si="87"/>
        <v/>
      </c>
      <c r="N134" s="30" t="str">
        <f t="shared" si="63"/>
        <v/>
      </c>
      <c r="O134" s="31" t="str">
        <f t="shared" si="88"/>
        <v/>
      </c>
      <c r="P134" s="32"/>
      <c r="Q134" s="33" t="str">
        <f>IF($A134="","",IF($A134&gt;prazo_se,"",IF($R$6="A + J",SR134+S134,J134*pmt_se)))</f>
        <v/>
      </c>
      <c r="R134" s="33" t="str">
        <f t="shared" si="65"/>
        <v/>
      </c>
      <c r="S134" s="33" t="str">
        <f t="shared" si="66"/>
        <v/>
      </c>
      <c r="T134" s="33" t="str">
        <f t="shared" si="67"/>
        <v/>
      </c>
      <c r="U134" s="33" t="str">
        <f t="shared" si="68"/>
        <v/>
      </c>
      <c r="V134" s="33" t="str">
        <f t="shared" si="69"/>
        <v/>
      </c>
      <c r="X134" s="33" t="str">
        <f t="shared" si="103"/>
        <v/>
      </c>
      <c r="Y134" s="30" t="str">
        <f t="shared" si="71"/>
        <v/>
      </c>
      <c r="Z134" s="30" t="str">
        <f t="shared" si="72"/>
        <v/>
      </c>
      <c r="AA134" s="30" t="str">
        <f t="shared" si="73"/>
        <v/>
      </c>
      <c r="AB134" s="30" t="str">
        <f t="shared" si="74"/>
        <v/>
      </c>
      <c r="AD134" s="33" t="str">
        <f t="shared" si="104"/>
        <v/>
      </c>
      <c r="AE134" s="30" t="str">
        <f t="shared" si="76"/>
        <v/>
      </c>
      <c r="AF134" s="30" t="str">
        <f t="shared" si="77"/>
        <v/>
      </c>
      <c r="AG134" s="30" t="str">
        <f t="shared" si="78"/>
        <v/>
      </c>
      <c r="AH134" s="30" t="str">
        <f t="shared" si="79"/>
        <v/>
      </c>
      <c r="AJ134" s="85" t="str">
        <f t="shared" si="105"/>
        <v/>
      </c>
      <c r="AK134" s="86" t="str">
        <f t="shared" si="98"/>
        <v/>
      </c>
      <c r="AL134" s="86" t="str">
        <f t="shared" si="99"/>
        <v/>
      </c>
      <c r="AM134" s="86" t="str">
        <f t="shared" si="100"/>
        <v/>
      </c>
      <c r="AN134" s="86" t="str">
        <f t="shared" si="101"/>
        <v/>
      </c>
      <c r="AO134" s="86" t="str">
        <f t="shared" si="102"/>
        <v/>
      </c>
      <c r="AQ134" s="33" t="str">
        <f t="shared" si="80"/>
        <v/>
      </c>
      <c r="AR134" s="30" t="str">
        <f t="shared" si="81"/>
        <v/>
      </c>
      <c r="AU134" s="20">
        <f t="shared" si="82"/>
        <v>0</v>
      </c>
      <c r="AV134" s="20">
        <f t="shared" si="83"/>
        <v>0</v>
      </c>
      <c r="AW134" s="19">
        <f t="shared" si="89"/>
        <v>0</v>
      </c>
      <c r="AX134" s="19">
        <f t="shared" si="90"/>
        <v>0</v>
      </c>
      <c r="AY134" s="19">
        <f t="shared" si="91"/>
        <v>0</v>
      </c>
      <c r="AZ134" s="19">
        <f t="shared" si="92"/>
        <v>0</v>
      </c>
      <c r="BA134" s="19">
        <f t="shared" si="93"/>
        <v>0</v>
      </c>
      <c r="BB134" s="19">
        <f t="shared" si="94"/>
        <v>0</v>
      </c>
      <c r="BC134" s="19">
        <f t="shared" si="95"/>
        <v>0</v>
      </c>
      <c r="BD134" s="19">
        <f>-IF(CUSTOS!B134="",0,CUSTOS!B134)</f>
        <v>0</v>
      </c>
      <c r="BF134" s="20">
        <f t="shared" si="96"/>
        <v>0</v>
      </c>
      <c r="BG134" s="20">
        <f t="shared" si="97"/>
        <v>0</v>
      </c>
      <c r="BH134" s="116">
        <f t="shared" si="97"/>
        <v>0</v>
      </c>
    </row>
    <row r="135" spans="1:60" ht="15" x14ac:dyDescent="0.25">
      <c r="A135" s="66" t="str">
        <f>IF(LARGE($A$11:A134,1)=$F$2,"",A134+1)</f>
        <v/>
      </c>
      <c r="B135" s="27" t="str">
        <f t="shared" si="56"/>
        <v/>
      </c>
      <c r="C135" s="28" t="str">
        <f t="shared" si="84"/>
        <v/>
      </c>
      <c r="D135" s="28" t="str">
        <f t="shared" si="57"/>
        <v/>
      </c>
      <c r="E135" s="28" t="str">
        <f t="shared" si="58"/>
        <v/>
      </c>
      <c r="F135" s="29" t="str">
        <f t="shared" si="59"/>
        <v/>
      </c>
      <c r="G135" s="29" t="str">
        <f t="shared" si="60"/>
        <v/>
      </c>
      <c r="H135" s="30" t="str">
        <f t="shared" si="61"/>
        <v/>
      </c>
      <c r="I135" s="30" t="str">
        <f t="shared" si="62"/>
        <v/>
      </c>
      <c r="J135" s="30" t="str">
        <f>IF(A135="","",H135+CUSTOS!B135)</f>
        <v/>
      </c>
      <c r="K135" s="30" t="str">
        <f t="shared" si="85"/>
        <v/>
      </c>
      <c r="L135" s="30" t="str">
        <f t="shared" si="86"/>
        <v/>
      </c>
      <c r="M135" s="30" t="str">
        <f t="shared" si="87"/>
        <v/>
      </c>
      <c r="N135" s="30" t="str">
        <f t="shared" si="63"/>
        <v/>
      </c>
      <c r="O135" s="31" t="str">
        <f t="shared" si="88"/>
        <v/>
      </c>
      <c r="P135" s="32"/>
      <c r="Q135" s="33" t="str">
        <f t="shared" si="64"/>
        <v/>
      </c>
      <c r="R135" s="33" t="str">
        <f t="shared" si="65"/>
        <v/>
      </c>
      <c r="S135" s="33" t="str">
        <f t="shared" si="66"/>
        <v/>
      </c>
      <c r="T135" s="33" t="str">
        <f t="shared" si="67"/>
        <v/>
      </c>
      <c r="U135" s="33" t="str">
        <f t="shared" si="68"/>
        <v/>
      </c>
      <c r="V135" s="33" t="str">
        <f t="shared" si="69"/>
        <v/>
      </c>
      <c r="X135" s="33" t="str">
        <f t="shared" si="103"/>
        <v/>
      </c>
      <c r="Y135" s="30" t="str">
        <f t="shared" si="71"/>
        <v/>
      </c>
      <c r="Z135" s="30" t="str">
        <f t="shared" si="72"/>
        <v/>
      </c>
      <c r="AA135" s="30" t="str">
        <f t="shared" si="73"/>
        <v/>
      </c>
      <c r="AB135" s="30" t="str">
        <f t="shared" si="74"/>
        <v/>
      </c>
      <c r="AD135" s="33" t="str">
        <f t="shared" si="104"/>
        <v/>
      </c>
      <c r="AE135" s="30" t="str">
        <f t="shared" si="76"/>
        <v/>
      </c>
      <c r="AF135" s="30" t="str">
        <f t="shared" si="77"/>
        <v/>
      </c>
      <c r="AG135" s="30" t="str">
        <f t="shared" si="78"/>
        <v/>
      </c>
      <c r="AH135" s="30" t="str">
        <f t="shared" si="79"/>
        <v/>
      </c>
      <c r="AJ135" s="85" t="str">
        <f t="shared" si="105"/>
        <v/>
      </c>
      <c r="AK135" s="86" t="str">
        <f t="shared" si="98"/>
        <v/>
      </c>
      <c r="AL135" s="86" t="str">
        <f t="shared" si="99"/>
        <v/>
      </c>
      <c r="AM135" s="86" t="str">
        <f t="shared" si="100"/>
        <v/>
      </c>
      <c r="AN135" s="86" t="str">
        <f t="shared" si="101"/>
        <v/>
      </c>
      <c r="AO135" s="86" t="str">
        <f t="shared" si="102"/>
        <v/>
      </c>
      <c r="AQ135" s="33" t="str">
        <f t="shared" si="80"/>
        <v/>
      </c>
      <c r="AR135" s="30" t="str">
        <f t="shared" si="81"/>
        <v/>
      </c>
      <c r="AU135" s="20">
        <f t="shared" si="82"/>
        <v>0</v>
      </c>
      <c r="AV135" s="20">
        <f t="shared" si="83"/>
        <v>0</v>
      </c>
      <c r="AW135" s="19">
        <f t="shared" si="89"/>
        <v>0</v>
      </c>
      <c r="AX135" s="19">
        <f t="shared" si="90"/>
        <v>0</v>
      </c>
      <c r="AY135" s="19">
        <f t="shared" si="91"/>
        <v>0</v>
      </c>
      <c r="AZ135" s="19">
        <f t="shared" si="92"/>
        <v>0</v>
      </c>
      <c r="BA135" s="19">
        <f t="shared" si="93"/>
        <v>0</v>
      </c>
      <c r="BB135" s="19">
        <f t="shared" si="94"/>
        <v>0</v>
      </c>
      <c r="BC135" s="19">
        <f t="shared" si="95"/>
        <v>0</v>
      </c>
      <c r="BD135" s="19">
        <f>-IF(CUSTOS!B135="",0,CUSTOS!B135)</f>
        <v>0</v>
      </c>
      <c r="BF135" s="20">
        <f t="shared" si="96"/>
        <v>0</v>
      </c>
      <c r="BG135" s="20">
        <f t="shared" si="97"/>
        <v>0</v>
      </c>
      <c r="BH135" s="116">
        <f t="shared" si="97"/>
        <v>0</v>
      </c>
    </row>
    <row r="136" spans="1:60" ht="15" x14ac:dyDescent="0.25">
      <c r="A136" s="66" t="str">
        <f>IF(LARGE($A$11:A135,1)=$F$2,"",A135+1)</f>
        <v/>
      </c>
      <c r="B136" s="27" t="str">
        <f t="shared" si="56"/>
        <v/>
      </c>
      <c r="C136" s="28" t="str">
        <f t="shared" si="84"/>
        <v/>
      </c>
      <c r="D136" s="28" t="str">
        <f t="shared" si="57"/>
        <v/>
      </c>
      <c r="E136" s="28" t="str">
        <f t="shared" si="58"/>
        <v/>
      </c>
      <c r="F136" s="29" t="str">
        <f t="shared" si="59"/>
        <v/>
      </c>
      <c r="G136" s="29" t="str">
        <f t="shared" si="60"/>
        <v/>
      </c>
      <c r="H136" s="30" t="str">
        <f t="shared" si="61"/>
        <v/>
      </c>
      <c r="I136" s="30" t="str">
        <f t="shared" si="62"/>
        <v/>
      </c>
      <c r="J136" s="30" t="str">
        <f>IF(A136="","",H136+CUSTOS!B136)</f>
        <v/>
      </c>
      <c r="K136" s="30" t="str">
        <f t="shared" si="85"/>
        <v/>
      </c>
      <c r="L136" s="30" t="str">
        <f t="shared" si="86"/>
        <v/>
      </c>
      <c r="M136" s="30" t="str">
        <f t="shared" si="87"/>
        <v/>
      </c>
      <c r="N136" s="30" t="str">
        <f t="shared" si="63"/>
        <v/>
      </c>
      <c r="O136" s="31" t="str">
        <f t="shared" si="88"/>
        <v/>
      </c>
      <c r="P136" s="32"/>
      <c r="Q136" s="33" t="str">
        <f t="shared" si="64"/>
        <v/>
      </c>
      <c r="R136" s="33" t="str">
        <f t="shared" si="65"/>
        <v/>
      </c>
      <c r="S136" s="33" t="str">
        <f t="shared" si="66"/>
        <v/>
      </c>
      <c r="T136" s="33" t="str">
        <f t="shared" si="67"/>
        <v/>
      </c>
      <c r="U136" s="33" t="str">
        <f t="shared" si="68"/>
        <v/>
      </c>
      <c r="V136" s="33" t="str">
        <f t="shared" si="69"/>
        <v/>
      </c>
      <c r="X136" s="33" t="str">
        <f t="shared" si="103"/>
        <v/>
      </c>
      <c r="Y136" s="30" t="str">
        <f t="shared" si="71"/>
        <v/>
      </c>
      <c r="Z136" s="30" t="str">
        <f t="shared" si="72"/>
        <v/>
      </c>
      <c r="AA136" s="30" t="str">
        <f t="shared" si="73"/>
        <v/>
      </c>
      <c r="AB136" s="30" t="str">
        <f t="shared" si="74"/>
        <v/>
      </c>
      <c r="AD136" s="33" t="str">
        <f t="shared" si="104"/>
        <v/>
      </c>
      <c r="AE136" s="30" t="str">
        <f t="shared" si="76"/>
        <v/>
      </c>
      <c r="AF136" s="30" t="str">
        <f t="shared" si="77"/>
        <v/>
      </c>
      <c r="AG136" s="30" t="str">
        <f t="shared" si="78"/>
        <v/>
      </c>
      <c r="AH136" s="30" t="str">
        <f t="shared" si="79"/>
        <v/>
      </c>
      <c r="AJ136" s="85" t="str">
        <f t="shared" si="105"/>
        <v/>
      </c>
      <c r="AK136" s="86" t="str">
        <f t="shared" si="98"/>
        <v/>
      </c>
      <c r="AL136" s="86" t="str">
        <f t="shared" si="99"/>
        <v/>
      </c>
      <c r="AM136" s="86" t="str">
        <f t="shared" si="100"/>
        <v/>
      </c>
      <c r="AN136" s="86" t="str">
        <f t="shared" si="101"/>
        <v/>
      </c>
      <c r="AO136" s="86" t="str">
        <f t="shared" si="102"/>
        <v/>
      </c>
      <c r="AQ136" s="33" t="str">
        <f t="shared" si="80"/>
        <v/>
      </c>
      <c r="AR136" s="30" t="str">
        <f t="shared" si="81"/>
        <v/>
      </c>
      <c r="AU136" s="20">
        <f t="shared" si="82"/>
        <v>0</v>
      </c>
      <c r="AV136" s="20">
        <f t="shared" si="83"/>
        <v>0</v>
      </c>
      <c r="AW136" s="19">
        <f t="shared" si="89"/>
        <v>0</v>
      </c>
      <c r="AX136" s="19">
        <f t="shared" si="90"/>
        <v>0</v>
      </c>
      <c r="AY136" s="19">
        <f t="shared" si="91"/>
        <v>0</v>
      </c>
      <c r="AZ136" s="19">
        <f t="shared" si="92"/>
        <v>0</v>
      </c>
      <c r="BA136" s="19">
        <f t="shared" si="93"/>
        <v>0</v>
      </c>
      <c r="BB136" s="19">
        <f t="shared" si="94"/>
        <v>0</v>
      </c>
      <c r="BC136" s="19">
        <f t="shared" si="95"/>
        <v>0</v>
      </c>
      <c r="BD136" s="19">
        <f>-IF(CUSTOS!B136="",0,CUSTOS!B136)</f>
        <v>0</v>
      </c>
      <c r="BF136" s="20">
        <f t="shared" si="96"/>
        <v>0</v>
      </c>
      <c r="BG136" s="20">
        <f t="shared" si="97"/>
        <v>0</v>
      </c>
      <c r="BH136" s="116">
        <f t="shared" si="97"/>
        <v>0</v>
      </c>
    </row>
    <row r="137" spans="1:60" ht="15" x14ac:dyDescent="0.25">
      <c r="A137" s="66" t="str">
        <f>IF(LARGE($A$11:A136,1)=$F$2,"",A136+1)</f>
        <v/>
      </c>
      <c r="B137" s="27" t="str">
        <f t="shared" si="56"/>
        <v/>
      </c>
      <c r="C137" s="28" t="str">
        <f t="shared" si="84"/>
        <v/>
      </c>
      <c r="D137" s="28" t="str">
        <f t="shared" si="57"/>
        <v/>
      </c>
      <c r="E137" s="28" t="str">
        <f t="shared" si="58"/>
        <v/>
      </c>
      <c r="F137" s="29" t="str">
        <f t="shared" si="59"/>
        <v/>
      </c>
      <c r="G137" s="29" t="str">
        <f t="shared" si="60"/>
        <v/>
      </c>
      <c r="H137" s="30" t="str">
        <f t="shared" si="61"/>
        <v/>
      </c>
      <c r="I137" s="30" t="str">
        <f t="shared" si="62"/>
        <v/>
      </c>
      <c r="J137" s="30" t="str">
        <f>IF(A137="","",H137+CUSTOS!B137)</f>
        <v/>
      </c>
      <c r="K137" s="30" t="str">
        <f t="shared" si="85"/>
        <v/>
      </c>
      <c r="L137" s="30" t="str">
        <f t="shared" si="86"/>
        <v/>
      </c>
      <c r="M137" s="30" t="str">
        <f t="shared" si="87"/>
        <v/>
      </c>
      <c r="N137" s="30" t="str">
        <f t="shared" si="63"/>
        <v/>
      </c>
      <c r="O137" s="31" t="str">
        <f t="shared" si="88"/>
        <v/>
      </c>
      <c r="P137" s="32"/>
      <c r="Q137" s="33" t="str">
        <f t="shared" si="64"/>
        <v/>
      </c>
      <c r="R137" s="33" t="str">
        <f t="shared" si="65"/>
        <v/>
      </c>
      <c r="S137" s="33" t="str">
        <f t="shared" si="66"/>
        <v/>
      </c>
      <c r="T137" s="33" t="str">
        <f t="shared" si="67"/>
        <v/>
      </c>
      <c r="U137" s="33" t="str">
        <f t="shared" si="68"/>
        <v/>
      </c>
      <c r="V137" s="33" t="str">
        <f t="shared" si="69"/>
        <v/>
      </c>
      <c r="X137" s="33" t="str">
        <f t="shared" si="103"/>
        <v/>
      </c>
      <c r="Y137" s="30" t="str">
        <f t="shared" si="71"/>
        <v/>
      </c>
      <c r="Z137" s="30" t="str">
        <f t="shared" si="72"/>
        <v/>
      </c>
      <c r="AA137" s="30" t="str">
        <f t="shared" si="73"/>
        <v/>
      </c>
      <c r="AB137" s="30" t="str">
        <f t="shared" si="74"/>
        <v/>
      </c>
      <c r="AD137" s="33" t="str">
        <f t="shared" si="104"/>
        <v/>
      </c>
      <c r="AE137" s="30" t="str">
        <f t="shared" si="76"/>
        <v/>
      </c>
      <c r="AF137" s="30" t="str">
        <f t="shared" si="77"/>
        <v/>
      </c>
      <c r="AG137" s="30" t="str">
        <f t="shared" si="78"/>
        <v/>
      </c>
      <c r="AH137" s="30" t="str">
        <f t="shared" si="79"/>
        <v/>
      </c>
      <c r="AJ137" s="85" t="str">
        <f t="shared" si="105"/>
        <v/>
      </c>
      <c r="AK137" s="86" t="str">
        <f t="shared" si="98"/>
        <v/>
      </c>
      <c r="AL137" s="86" t="str">
        <f t="shared" si="99"/>
        <v/>
      </c>
      <c r="AM137" s="86" t="str">
        <f t="shared" si="100"/>
        <v/>
      </c>
      <c r="AN137" s="86" t="str">
        <f t="shared" si="101"/>
        <v/>
      </c>
      <c r="AO137" s="86" t="str">
        <f t="shared" si="102"/>
        <v/>
      </c>
      <c r="AQ137" s="33" t="str">
        <f t="shared" si="80"/>
        <v/>
      </c>
      <c r="AR137" s="30" t="str">
        <f t="shared" si="81"/>
        <v/>
      </c>
      <c r="AU137" s="20">
        <f t="shared" si="82"/>
        <v>0</v>
      </c>
      <c r="AV137" s="20">
        <f t="shared" si="83"/>
        <v>0</v>
      </c>
      <c r="AW137" s="19">
        <f t="shared" si="89"/>
        <v>0</v>
      </c>
      <c r="AX137" s="19">
        <f t="shared" si="90"/>
        <v>0</v>
      </c>
      <c r="AY137" s="19">
        <f t="shared" si="91"/>
        <v>0</v>
      </c>
      <c r="AZ137" s="19">
        <f t="shared" si="92"/>
        <v>0</v>
      </c>
      <c r="BA137" s="19">
        <f t="shared" si="93"/>
        <v>0</v>
      </c>
      <c r="BB137" s="19">
        <f t="shared" si="94"/>
        <v>0</v>
      </c>
      <c r="BC137" s="19">
        <f t="shared" si="95"/>
        <v>0</v>
      </c>
      <c r="BD137" s="19">
        <f>-IF(CUSTOS!B137="",0,CUSTOS!B137)</f>
        <v>0</v>
      </c>
      <c r="BF137" s="20">
        <f t="shared" si="96"/>
        <v>0</v>
      </c>
      <c r="BG137" s="20">
        <f t="shared" si="97"/>
        <v>0</v>
      </c>
      <c r="BH137" s="116">
        <f t="shared" si="97"/>
        <v>0</v>
      </c>
    </row>
    <row r="138" spans="1:60" ht="15" x14ac:dyDescent="0.25">
      <c r="A138" s="66" t="str">
        <f>IF(LARGE($A$11:A137,1)=$F$2,"",A137+1)</f>
        <v/>
      </c>
      <c r="B138" s="27" t="str">
        <f t="shared" si="56"/>
        <v/>
      </c>
      <c r="C138" s="28" t="str">
        <f t="shared" si="84"/>
        <v/>
      </c>
      <c r="D138" s="28" t="str">
        <f t="shared" si="57"/>
        <v/>
      </c>
      <c r="E138" s="28" t="str">
        <f t="shared" si="58"/>
        <v/>
      </c>
      <c r="F138" s="29" t="str">
        <f t="shared" si="59"/>
        <v/>
      </c>
      <c r="G138" s="29" t="str">
        <f t="shared" si="60"/>
        <v/>
      </c>
      <c r="H138" s="30" t="str">
        <f t="shared" si="61"/>
        <v/>
      </c>
      <c r="I138" s="30" t="str">
        <f t="shared" si="62"/>
        <v/>
      </c>
      <c r="J138" s="30" t="str">
        <f>IF(A138="","",H138+CUSTOS!B138)</f>
        <v/>
      </c>
      <c r="K138" s="30" t="str">
        <f t="shared" si="85"/>
        <v/>
      </c>
      <c r="L138" s="30" t="str">
        <f t="shared" si="86"/>
        <v/>
      </c>
      <c r="M138" s="30" t="str">
        <f t="shared" si="87"/>
        <v/>
      </c>
      <c r="N138" s="30" t="str">
        <f t="shared" si="63"/>
        <v/>
      </c>
      <c r="O138" s="31" t="str">
        <f t="shared" si="88"/>
        <v/>
      </c>
      <c r="P138" s="32"/>
      <c r="Q138" s="33" t="str">
        <f t="shared" si="64"/>
        <v/>
      </c>
      <c r="R138" s="33" t="str">
        <f t="shared" si="65"/>
        <v/>
      </c>
      <c r="S138" s="33" t="str">
        <f t="shared" si="66"/>
        <v/>
      </c>
      <c r="T138" s="33" t="str">
        <f t="shared" si="67"/>
        <v/>
      </c>
      <c r="U138" s="33" t="str">
        <f t="shared" si="68"/>
        <v/>
      </c>
      <c r="V138" s="33" t="str">
        <f t="shared" si="69"/>
        <v/>
      </c>
      <c r="X138" s="33" t="str">
        <f t="shared" si="103"/>
        <v/>
      </c>
      <c r="Y138" s="30" t="str">
        <f t="shared" si="71"/>
        <v/>
      </c>
      <c r="Z138" s="30" t="str">
        <f t="shared" si="72"/>
        <v/>
      </c>
      <c r="AA138" s="30" t="str">
        <f t="shared" si="73"/>
        <v/>
      </c>
      <c r="AB138" s="30" t="str">
        <f t="shared" si="74"/>
        <v/>
      </c>
      <c r="AD138" s="33" t="str">
        <f t="shared" si="104"/>
        <v/>
      </c>
      <c r="AE138" s="30" t="str">
        <f t="shared" si="76"/>
        <v/>
      </c>
      <c r="AF138" s="30" t="str">
        <f t="shared" si="77"/>
        <v/>
      </c>
      <c r="AG138" s="30" t="str">
        <f t="shared" si="78"/>
        <v/>
      </c>
      <c r="AH138" s="30" t="str">
        <f t="shared" si="79"/>
        <v/>
      </c>
      <c r="AJ138" s="85" t="str">
        <f t="shared" si="105"/>
        <v/>
      </c>
      <c r="AK138" s="86" t="str">
        <f t="shared" si="98"/>
        <v/>
      </c>
      <c r="AL138" s="86" t="str">
        <f t="shared" si="99"/>
        <v/>
      </c>
      <c r="AM138" s="86" t="str">
        <f t="shared" si="100"/>
        <v/>
      </c>
      <c r="AN138" s="86" t="str">
        <f t="shared" si="101"/>
        <v/>
      </c>
      <c r="AO138" s="86" t="str">
        <f t="shared" si="102"/>
        <v/>
      </c>
      <c r="AQ138" s="33" t="str">
        <f t="shared" si="80"/>
        <v/>
      </c>
      <c r="AR138" s="30" t="str">
        <f t="shared" si="81"/>
        <v/>
      </c>
      <c r="AU138" s="20">
        <f t="shared" si="82"/>
        <v>0</v>
      </c>
      <c r="AV138" s="20">
        <f t="shared" si="83"/>
        <v>0</v>
      </c>
      <c r="AW138" s="19">
        <f t="shared" si="89"/>
        <v>0</v>
      </c>
      <c r="AX138" s="19">
        <f t="shared" si="90"/>
        <v>0</v>
      </c>
      <c r="AY138" s="19">
        <f t="shared" si="91"/>
        <v>0</v>
      </c>
      <c r="AZ138" s="19">
        <f t="shared" si="92"/>
        <v>0</v>
      </c>
      <c r="BA138" s="19">
        <f t="shared" si="93"/>
        <v>0</v>
      </c>
      <c r="BB138" s="19">
        <f t="shared" si="94"/>
        <v>0</v>
      </c>
      <c r="BC138" s="19">
        <f t="shared" si="95"/>
        <v>0</v>
      </c>
      <c r="BD138" s="19">
        <f>-IF(CUSTOS!B138="",0,CUSTOS!B138)</f>
        <v>0</v>
      </c>
      <c r="BF138" s="20">
        <f t="shared" si="96"/>
        <v>0</v>
      </c>
      <c r="BG138" s="20">
        <f t="shared" si="97"/>
        <v>0</v>
      </c>
      <c r="BH138" s="116">
        <f t="shared" si="97"/>
        <v>0</v>
      </c>
    </row>
    <row r="139" spans="1:60" ht="15" x14ac:dyDescent="0.25">
      <c r="A139" s="66" t="str">
        <f>IF(LARGE($A$11:A138,1)=$F$2,"",A138+1)</f>
        <v/>
      </c>
      <c r="B139" s="27" t="str">
        <f t="shared" si="56"/>
        <v/>
      </c>
      <c r="C139" s="28" t="str">
        <f t="shared" si="84"/>
        <v/>
      </c>
      <c r="D139" s="28" t="str">
        <f t="shared" si="57"/>
        <v/>
      </c>
      <c r="E139" s="28" t="str">
        <f t="shared" si="58"/>
        <v/>
      </c>
      <c r="F139" s="29" t="str">
        <f t="shared" si="59"/>
        <v/>
      </c>
      <c r="G139" s="29" t="str">
        <f t="shared" si="60"/>
        <v/>
      </c>
      <c r="H139" s="30" t="str">
        <f t="shared" si="61"/>
        <v/>
      </c>
      <c r="I139" s="30" t="str">
        <f t="shared" si="62"/>
        <v/>
      </c>
      <c r="J139" s="30" t="str">
        <f>IF(A139="","",H139+CUSTOS!B139)</f>
        <v/>
      </c>
      <c r="K139" s="30" t="str">
        <f t="shared" si="85"/>
        <v/>
      </c>
      <c r="L139" s="30" t="str">
        <f t="shared" si="86"/>
        <v/>
      </c>
      <c r="M139" s="30" t="str">
        <f t="shared" si="87"/>
        <v/>
      </c>
      <c r="N139" s="30" t="str">
        <f t="shared" si="63"/>
        <v/>
      </c>
      <c r="O139" s="31" t="str">
        <f t="shared" si="88"/>
        <v/>
      </c>
      <c r="P139" s="32"/>
      <c r="Q139" s="33" t="str">
        <f t="shared" si="64"/>
        <v/>
      </c>
      <c r="R139" s="33" t="str">
        <f t="shared" si="65"/>
        <v/>
      </c>
      <c r="S139" s="33" t="str">
        <f t="shared" si="66"/>
        <v/>
      </c>
      <c r="T139" s="33" t="str">
        <f t="shared" si="67"/>
        <v/>
      </c>
      <c r="U139" s="33" t="str">
        <f t="shared" si="68"/>
        <v/>
      </c>
      <c r="V139" s="33" t="str">
        <f t="shared" si="69"/>
        <v/>
      </c>
      <c r="X139" s="33" t="str">
        <f t="shared" si="103"/>
        <v/>
      </c>
      <c r="Y139" s="30" t="str">
        <f t="shared" si="71"/>
        <v/>
      </c>
      <c r="Z139" s="30" t="str">
        <f t="shared" si="72"/>
        <v/>
      </c>
      <c r="AA139" s="30" t="str">
        <f t="shared" si="73"/>
        <v/>
      </c>
      <c r="AB139" s="30" t="str">
        <f t="shared" si="74"/>
        <v/>
      </c>
      <c r="AD139" s="33" t="str">
        <f t="shared" si="104"/>
        <v/>
      </c>
      <c r="AE139" s="30" t="str">
        <f t="shared" si="76"/>
        <v/>
      </c>
      <c r="AF139" s="30" t="str">
        <f t="shared" si="77"/>
        <v/>
      </c>
      <c r="AG139" s="30" t="str">
        <f t="shared" si="78"/>
        <v/>
      </c>
      <c r="AH139" s="30" t="str">
        <f t="shared" si="79"/>
        <v/>
      </c>
      <c r="AJ139" s="85" t="str">
        <f t="shared" si="105"/>
        <v/>
      </c>
      <c r="AK139" s="86" t="str">
        <f t="shared" si="98"/>
        <v/>
      </c>
      <c r="AL139" s="86" t="str">
        <f t="shared" si="99"/>
        <v/>
      </c>
      <c r="AM139" s="86" t="str">
        <f t="shared" si="100"/>
        <v/>
      </c>
      <c r="AN139" s="86" t="str">
        <f t="shared" si="101"/>
        <v/>
      </c>
      <c r="AO139" s="86" t="str">
        <f t="shared" si="102"/>
        <v/>
      </c>
      <c r="AQ139" s="33" t="str">
        <f t="shared" si="80"/>
        <v/>
      </c>
      <c r="AR139" s="30" t="str">
        <f t="shared" si="81"/>
        <v/>
      </c>
      <c r="AU139" s="20">
        <f t="shared" si="82"/>
        <v>0</v>
      </c>
      <c r="AV139" s="20">
        <f t="shared" si="83"/>
        <v>0</v>
      </c>
      <c r="AW139" s="19">
        <f t="shared" si="89"/>
        <v>0</v>
      </c>
      <c r="AX139" s="19">
        <f t="shared" si="90"/>
        <v>0</v>
      </c>
      <c r="AY139" s="19">
        <f t="shared" si="91"/>
        <v>0</v>
      </c>
      <c r="AZ139" s="19">
        <f t="shared" si="92"/>
        <v>0</v>
      </c>
      <c r="BA139" s="19">
        <f t="shared" si="93"/>
        <v>0</v>
      </c>
      <c r="BB139" s="19">
        <f t="shared" si="94"/>
        <v>0</v>
      </c>
      <c r="BC139" s="19">
        <f t="shared" si="95"/>
        <v>0</v>
      </c>
      <c r="BD139" s="19">
        <f>-IF(CUSTOS!B139="",0,CUSTOS!B139)</f>
        <v>0</v>
      </c>
      <c r="BF139" s="20">
        <f t="shared" si="96"/>
        <v>0</v>
      </c>
      <c r="BG139" s="20">
        <f t="shared" si="97"/>
        <v>0</v>
      </c>
      <c r="BH139" s="116">
        <f t="shared" si="97"/>
        <v>0</v>
      </c>
    </row>
    <row r="140" spans="1:60" ht="15" x14ac:dyDescent="0.25">
      <c r="A140" s="66" t="str">
        <f>IF(LARGE($A$11:A139,1)=$F$2,"",A139+1)</f>
        <v/>
      </c>
      <c r="B140" s="27" t="str">
        <f t="shared" ref="B140:B203" si="106">IF($A140="","",DATE(YEAR(EDATE(C140,-def_fluxo)),MONTH(EDATE(C140,-def_fluxo)),1))</f>
        <v/>
      </c>
      <c r="C140" s="28" t="str">
        <f t="shared" si="84"/>
        <v/>
      </c>
      <c r="D140" s="28" t="str">
        <f t="shared" ref="D140:D203" si="107">IF($A140="","",WORKDAY(C140-1,1,holiday))</f>
        <v/>
      </c>
      <c r="E140" s="28" t="str">
        <f t="shared" ref="E140:E203" si="108">IF($A140="","",WORKDAY(D140,def_pgto,holiday))</f>
        <v/>
      </c>
      <c r="F140" s="29" t="str">
        <f t="shared" ref="F140:F203" si="109">IF(A140="","",IF(base_calc=252,NETWORKDAYS(D140,D140,holiday)-1,IF(base_calc=360,DAYS360(EDATE(C140,-1),C140,0),"")))</f>
        <v/>
      </c>
      <c r="G140" s="29" t="str">
        <f t="shared" ref="G140:G203" si="110">IF(A140="","",IF(base_calc=252,NETWORKDAYS($F$3,D140,holiday)-1,IF(base_calc=360,DAYS360($F$3,C140),"")))</f>
        <v/>
      </c>
      <c r="H140" s="30" t="str">
        <f t="shared" ref="H140:H203" si="111">IF($A140="","",IF(C140&gt;=$F$5,IF($C$5&gt;0,$C$5,PMT((1+tx_lastro)^(1/12)-1,prazo_op,-$C$6)),0))</f>
        <v/>
      </c>
      <c r="I140" s="30" t="str">
        <f t="shared" ref="I140:I203" si="112">IF(A140="","",H140/(1+tx_lastro)^(G140/base_calc))</f>
        <v/>
      </c>
      <c r="J140" s="30" t="str">
        <f>IF(A140="","",H140+CUSTOS!B140)</f>
        <v/>
      </c>
      <c r="K140" s="30" t="str">
        <f t="shared" si="85"/>
        <v/>
      </c>
      <c r="L140" s="30" t="str">
        <f t="shared" si="86"/>
        <v/>
      </c>
      <c r="M140" s="30" t="str">
        <f t="shared" si="87"/>
        <v/>
      </c>
      <c r="N140" s="30" t="str">
        <f t="shared" ref="N140:N203" si="113">IF(A140="","",J140/(1+tx_lastro)^(G140/base_calc))</f>
        <v/>
      </c>
      <c r="O140" s="31" t="str">
        <f t="shared" si="88"/>
        <v/>
      </c>
      <c r="P140" s="32"/>
      <c r="Q140" s="33" t="str">
        <f t="shared" ref="Q140:Q203" si="114">IF($A140="","",IF($A140&gt;prazo_se,"",IF($R$6="A + J",R140+S140,J140*pmt_se)))</f>
        <v/>
      </c>
      <c r="R140" s="33" t="str">
        <f t="shared" ref="R140:R203" si="115">IF($A140="","",IF($A140&gt;prazo_se,"",IF(OR(H140=0,A140&lt;=carência_se),-S140,IF($R$6="A + J",O140*T139,Q140-S140))))</f>
        <v/>
      </c>
      <c r="S140" s="33" t="str">
        <f t="shared" ref="S140:S203" si="116">IF($A140="","",IF($A140&gt;prazo_se,"",T139*((1+tx_se)^(IF(A140&gt;1,F140,G140)/base_calc)-1)))</f>
        <v/>
      </c>
      <c r="T140" s="33" t="str">
        <f t="shared" ref="T140:T203" si="117">IF($A140="","",IF($A140&gt;prazo_se,"",T139-R140))</f>
        <v/>
      </c>
      <c r="U140" s="33" t="str">
        <f t="shared" ref="U140:U203" si="118">IF($A140="","",IF($A140&gt;prazo_se,"",Q140/(1+tx_se)^(G140/base_calc)))</f>
        <v/>
      </c>
      <c r="V140" s="33" t="str">
        <f t="shared" ref="V140:V203" si="119">IF($A140="","",IF($A140&gt;prazo_se,"",Q140/(1+tx_se2)^(G140/base_calc)))</f>
        <v/>
      </c>
      <c r="X140" s="33" t="str">
        <f t="shared" si="103"/>
        <v/>
      </c>
      <c r="Y140" s="30" t="str">
        <f t="shared" ref="Y140:Y203" si="120">IF($A140="","",IF($A140&gt;prazo_subp,"",IF(A140&lt;=carência_subp,-Z140,IF($Y$6="A + J",O140*AA139,X140-Z140))))</f>
        <v/>
      </c>
      <c r="Z140" s="30" t="str">
        <f t="shared" ref="Z140:Z203" si="121">IF($A140="","",IF($A140&gt;prazo_subp,"",AA139*((1+tx_subp)^(IF(A140&gt;1,F140,G140)/base_calc)-1)))</f>
        <v/>
      </c>
      <c r="AA140" s="30" t="str">
        <f t="shared" ref="AA140:AA203" si="122">IF($A140="","",IF($A140&gt;prazo_subp,"",AA139-Y140))</f>
        <v/>
      </c>
      <c r="AB140" s="30" t="str">
        <f t="shared" ref="AB140:AB203" si="123">IF($A140="","",IF($A140&gt;prazo_subp,"",X140/(1+tx_subp)^(G140/base_calc)))</f>
        <v/>
      </c>
      <c r="AD140" s="33" t="str">
        <f t="shared" ref="AD140:AD203" si="124">IF($A140="","",IF($A140&gt;prazo_sub,"",IF($AE$6="PMT [diferença]",J140-Q140-X140,(J140-Q140-X140)*pmt_sub)))</f>
        <v/>
      </c>
      <c r="AE140" s="30" t="str">
        <f t="shared" ref="AE140:AE203" si="125">IF($A140="","",IF($A140&gt;prazo_sub,"",IF(A140&lt;=carência_sub,-AF140,IF($AE$6="% PMT",O140*AG139,AD140-AF140))))</f>
        <v/>
      </c>
      <c r="AF140" s="30" t="str">
        <f t="shared" ref="AF140:AF203" si="126">IF($A140="","",IF($A140&gt;prazo_sub,"",AG139*((1+tx_sub)^(IF(A140&gt;1,F140,G140)/base_calc)-1)))</f>
        <v/>
      </c>
      <c r="AG140" s="30" t="str">
        <f t="shared" ref="AG140:AG203" si="127">IF($A140="","",IF($A140&gt;prazo_sub,"",AG139-AE140))</f>
        <v/>
      </c>
      <c r="AH140" s="30" t="str">
        <f t="shared" ref="AH140:AH203" si="128">IF($A140="","",IF($A140&gt;prazo_sub,"",AD140/(1+tx_sub)^(G140/base_calc)))</f>
        <v/>
      </c>
      <c r="AJ140" s="85" t="str">
        <f t="shared" si="105"/>
        <v/>
      </c>
      <c r="AK140" s="86" t="str">
        <f t="shared" si="98"/>
        <v/>
      </c>
      <c r="AL140" s="86" t="str">
        <f t="shared" si="99"/>
        <v/>
      </c>
      <c r="AM140" s="86" t="str">
        <f t="shared" si="100"/>
        <v/>
      </c>
      <c r="AN140" s="86" t="str">
        <f t="shared" si="101"/>
        <v/>
      </c>
      <c r="AO140" s="86" t="str">
        <f t="shared" si="102"/>
        <v/>
      </c>
      <c r="AQ140" s="33" t="str">
        <f t="shared" ref="AQ140:AQ203" si="129">IF(A140="","",IF(AJ140&lt;=0,AJ140,0))</f>
        <v/>
      </c>
      <c r="AR140" s="30" t="str">
        <f t="shared" ref="AR140:AR203" si="130">IF(A140="","",IF(AJ140&gt;0,AJ140,0))</f>
        <v/>
      </c>
      <c r="AU140" s="20">
        <f t="shared" ref="AU140:AU203" si="131">IF(H140="",0,H140)</f>
        <v>0</v>
      </c>
      <c r="AV140" s="20">
        <f t="shared" ref="AV140:AV203" si="132">IF(J140="",0,J140)</f>
        <v>0</v>
      </c>
      <c r="AW140" s="19">
        <f t="shared" si="89"/>
        <v>0</v>
      </c>
      <c r="AX140" s="19">
        <f t="shared" si="90"/>
        <v>0</v>
      </c>
      <c r="AY140" s="19">
        <f t="shared" si="91"/>
        <v>0</v>
      </c>
      <c r="AZ140" s="19">
        <f t="shared" si="92"/>
        <v>0</v>
      </c>
      <c r="BA140" s="19">
        <f t="shared" si="93"/>
        <v>0</v>
      </c>
      <c r="BB140" s="19">
        <f t="shared" si="94"/>
        <v>0</v>
      </c>
      <c r="BC140" s="19">
        <f t="shared" si="95"/>
        <v>0</v>
      </c>
      <c r="BD140" s="19">
        <f>-IF(CUSTOS!B140="",0,CUSTOS!B140)</f>
        <v>0</v>
      </c>
      <c r="BF140" s="20">
        <f t="shared" si="96"/>
        <v>0</v>
      </c>
      <c r="BG140" s="20">
        <f t="shared" si="97"/>
        <v>0</v>
      </c>
      <c r="BH140" s="116">
        <f t="shared" si="97"/>
        <v>0</v>
      </c>
    </row>
    <row r="141" spans="1:60" ht="15" x14ac:dyDescent="0.25">
      <c r="A141" s="66" t="str">
        <f>IF(LARGE($A$11:A140,1)=$F$2,"",A140+1)</f>
        <v/>
      </c>
      <c r="B141" s="27" t="str">
        <f t="shared" si="106"/>
        <v/>
      </c>
      <c r="C141" s="28" t="str">
        <f t="shared" ref="C141:C204" si="133">IF($A141="","",IF(OR(DAY($C$12)=30,DAY($C$12)=31),EOMONTH(EDATE(C140,1),0),EDATE(C140,1)))</f>
        <v/>
      </c>
      <c r="D141" s="28" t="str">
        <f t="shared" si="107"/>
        <v/>
      </c>
      <c r="E141" s="28" t="str">
        <f t="shared" si="108"/>
        <v/>
      </c>
      <c r="F141" s="29" t="str">
        <f t="shared" si="109"/>
        <v/>
      </c>
      <c r="G141" s="29" t="str">
        <f t="shared" si="110"/>
        <v/>
      </c>
      <c r="H141" s="30" t="str">
        <f t="shared" si="111"/>
        <v/>
      </c>
      <c r="I141" s="30" t="str">
        <f t="shared" si="112"/>
        <v/>
      </c>
      <c r="J141" s="30" t="str">
        <f>IF(A141="","",H141+CUSTOS!B141)</f>
        <v/>
      </c>
      <c r="K141" s="30" t="str">
        <f t="shared" ref="K141:K204" si="134">IF(A141="","",J141-L141)</f>
        <v/>
      </c>
      <c r="L141" s="30" t="str">
        <f t="shared" ref="L141:L204" si="135">IF(A141="","",M140*((1+tx_lastro)^(F141/base_calc)-1))</f>
        <v/>
      </c>
      <c r="M141" s="30" t="str">
        <f t="shared" ref="M141:M204" si="136">IF(A141="","",M140-K141)</f>
        <v/>
      </c>
      <c r="N141" s="30" t="str">
        <f t="shared" si="113"/>
        <v/>
      </c>
      <c r="O141" s="31" t="str">
        <f t="shared" ref="O141:O204" si="137">IF(A141="","",IFERROR(K141/M140,0))</f>
        <v/>
      </c>
      <c r="P141" s="32"/>
      <c r="Q141" s="33" t="str">
        <f t="shared" si="114"/>
        <v/>
      </c>
      <c r="R141" s="33" t="str">
        <f t="shared" si="115"/>
        <v/>
      </c>
      <c r="S141" s="33" t="str">
        <f t="shared" si="116"/>
        <v/>
      </c>
      <c r="T141" s="33" t="str">
        <f t="shared" si="117"/>
        <v/>
      </c>
      <c r="U141" s="33" t="str">
        <f t="shared" si="118"/>
        <v/>
      </c>
      <c r="V141" s="33" t="str">
        <f t="shared" si="119"/>
        <v/>
      </c>
      <c r="X141" s="33" t="str">
        <f t="shared" si="103"/>
        <v/>
      </c>
      <c r="Y141" s="30" t="str">
        <f t="shared" si="120"/>
        <v/>
      </c>
      <c r="Z141" s="30" t="str">
        <f t="shared" si="121"/>
        <v/>
      </c>
      <c r="AA141" s="30" t="str">
        <f t="shared" si="122"/>
        <v/>
      </c>
      <c r="AB141" s="30" t="str">
        <f t="shared" si="123"/>
        <v/>
      </c>
      <c r="AD141" s="33" t="str">
        <f t="shared" si="124"/>
        <v/>
      </c>
      <c r="AE141" s="30" t="str">
        <f t="shared" si="125"/>
        <v/>
      </c>
      <c r="AF141" s="30" t="str">
        <f t="shared" si="126"/>
        <v/>
      </c>
      <c r="AG141" s="30" t="str">
        <f t="shared" si="127"/>
        <v/>
      </c>
      <c r="AH141" s="30" t="str">
        <f t="shared" si="128"/>
        <v/>
      </c>
      <c r="AJ141" s="85" t="str">
        <f t="shared" si="105"/>
        <v/>
      </c>
      <c r="AK141" s="86" t="str">
        <f t="shared" si="98"/>
        <v/>
      </c>
      <c r="AL141" s="86" t="str">
        <f t="shared" si="99"/>
        <v/>
      </c>
      <c r="AM141" s="86" t="str">
        <f t="shared" si="100"/>
        <v/>
      </c>
      <c r="AN141" s="86" t="str">
        <f t="shared" si="101"/>
        <v/>
      </c>
      <c r="AO141" s="86" t="str">
        <f t="shared" si="102"/>
        <v/>
      </c>
      <c r="AQ141" s="33" t="str">
        <f t="shared" si="129"/>
        <v/>
      </c>
      <c r="AR141" s="30" t="str">
        <f t="shared" si="130"/>
        <v/>
      </c>
      <c r="AU141" s="20">
        <f t="shared" si="131"/>
        <v>0</v>
      </c>
      <c r="AV141" s="20">
        <f t="shared" si="132"/>
        <v>0</v>
      </c>
      <c r="AW141" s="19">
        <f t="shared" ref="AW141:AW204" si="138">IF(Q141="",0,Q141)</f>
        <v>0</v>
      </c>
      <c r="AX141" s="19">
        <f t="shared" ref="AX141:AX204" si="139">IF(X141="",0,X141)</f>
        <v>0</v>
      </c>
      <c r="AY141" s="19">
        <f t="shared" ref="AY141:AY204" si="140">IF(AD141="",0,AD141)</f>
        <v>0</v>
      </c>
      <c r="AZ141" s="19">
        <f t="shared" ref="AZ141:AZ204" si="141">IF(AJ141="",0,AJ141)</f>
        <v>0</v>
      </c>
      <c r="BA141" s="19">
        <f t="shared" ref="BA141:BA204" si="142">AX141</f>
        <v>0</v>
      </c>
      <c r="BB141" s="19">
        <f t="shared" ref="BB141:BB204" si="143">AY141</f>
        <v>0</v>
      </c>
      <c r="BC141" s="19">
        <f t="shared" ref="BC141:BC204" si="144">AZ141</f>
        <v>0</v>
      </c>
      <c r="BD141" s="19">
        <f>-IF(CUSTOS!B141="",0,CUSTOS!B141)</f>
        <v>0</v>
      </c>
      <c r="BF141" s="20">
        <f t="shared" ref="BF141:BF204" si="145">AW141+AX141+AY141+BD141</f>
        <v>0</v>
      </c>
      <c r="BG141" s="20">
        <f t="shared" ref="BG141:BH204" si="146">BF141</f>
        <v>0</v>
      </c>
      <c r="BH141" s="116">
        <f t="shared" si="146"/>
        <v>0</v>
      </c>
    </row>
    <row r="142" spans="1:60" ht="15" x14ac:dyDescent="0.25">
      <c r="A142" s="66" t="str">
        <f>IF(LARGE($A$11:A141,1)=$F$2,"",A141+1)</f>
        <v/>
      </c>
      <c r="B142" s="27" t="str">
        <f t="shared" si="106"/>
        <v/>
      </c>
      <c r="C142" s="28" t="str">
        <f t="shared" si="133"/>
        <v/>
      </c>
      <c r="D142" s="28" t="str">
        <f t="shared" si="107"/>
        <v/>
      </c>
      <c r="E142" s="28" t="str">
        <f t="shared" si="108"/>
        <v/>
      </c>
      <c r="F142" s="29" t="str">
        <f t="shared" si="109"/>
        <v/>
      </c>
      <c r="G142" s="29" t="str">
        <f t="shared" si="110"/>
        <v/>
      </c>
      <c r="H142" s="30" t="str">
        <f t="shared" si="111"/>
        <v/>
      </c>
      <c r="I142" s="30" t="str">
        <f t="shared" si="112"/>
        <v/>
      </c>
      <c r="J142" s="30" t="str">
        <f>IF(A142="","",H142+CUSTOS!B142)</f>
        <v/>
      </c>
      <c r="K142" s="30" t="str">
        <f t="shared" si="134"/>
        <v/>
      </c>
      <c r="L142" s="30" t="str">
        <f t="shared" si="135"/>
        <v/>
      </c>
      <c r="M142" s="30" t="str">
        <f t="shared" si="136"/>
        <v/>
      </c>
      <c r="N142" s="30" t="str">
        <f t="shared" si="113"/>
        <v/>
      </c>
      <c r="O142" s="31" t="str">
        <f t="shared" si="137"/>
        <v/>
      </c>
      <c r="P142" s="32"/>
      <c r="Q142" s="33" t="str">
        <f t="shared" si="114"/>
        <v/>
      </c>
      <c r="R142" s="33" t="str">
        <f t="shared" si="115"/>
        <v/>
      </c>
      <c r="S142" s="33" t="str">
        <f t="shared" si="116"/>
        <v/>
      </c>
      <c r="T142" s="33" t="str">
        <f t="shared" si="117"/>
        <v/>
      </c>
      <c r="U142" s="33" t="str">
        <f t="shared" si="118"/>
        <v/>
      </c>
      <c r="V142" s="33" t="str">
        <f t="shared" si="119"/>
        <v/>
      </c>
      <c r="X142" s="33" t="str">
        <f t="shared" si="103"/>
        <v/>
      </c>
      <c r="Y142" s="30" t="str">
        <f t="shared" si="120"/>
        <v/>
      </c>
      <c r="Z142" s="30" t="str">
        <f t="shared" si="121"/>
        <v/>
      </c>
      <c r="AA142" s="30" t="str">
        <f t="shared" si="122"/>
        <v/>
      </c>
      <c r="AB142" s="30" t="str">
        <f t="shared" si="123"/>
        <v/>
      </c>
      <c r="AD142" s="33" t="str">
        <f t="shared" si="124"/>
        <v/>
      </c>
      <c r="AE142" s="30" t="str">
        <f t="shared" si="125"/>
        <v/>
      </c>
      <c r="AF142" s="30" t="str">
        <f t="shared" si="126"/>
        <v/>
      </c>
      <c r="AG142" s="30" t="str">
        <f t="shared" si="127"/>
        <v/>
      </c>
      <c r="AH142" s="30" t="str">
        <f t="shared" si="128"/>
        <v/>
      </c>
      <c r="AJ142" s="85" t="str">
        <f t="shared" si="105"/>
        <v/>
      </c>
      <c r="AK142" s="86" t="str">
        <f t="shared" ref="AK142:AK205" si="147">IF($A142="","",AJ142-AL142)</f>
        <v/>
      </c>
      <c r="AL142" s="86" t="str">
        <f t="shared" ref="AL142:AL205" si="148">IF(A142="","",AM141*((1+tx_over)^(IF(A142&gt;1,F142,G142)/base_calc)-1))</f>
        <v/>
      </c>
      <c r="AM142" s="86" t="str">
        <f t="shared" ref="AM142:AM205" si="149">IF(A142="","",AM141-AK142)</f>
        <v/>
      </c>
      <c r="AN142" s="86" t="str">
        <f t="shared" ref="AN142:AN205" si="150">IF($A142="","",AJ142/(1+tx_over)^(G142/base_calc))</f>
        <v/>
      </c>
      <c r="AO142" s="86" t="str">
        <f t="shared" ref="AO142:AO205" si="151">IF($A142="","",AJ142/(1+tx_lastro)^(G142/base_calc))</f>
        <v/>
      </c>
      <c r="AQ142" s="33" t="str">
        <f t="shared" si="129"/>
        <v/>
      </c>
      <c r="AR142" s="30" t="str">
        <f t="shared" si="130"/>
        <v/>
      </c>
      <c r="AU142" s="20">
        <f t="shared" si="131"/>
        <v>0</v>
      </c>
      <c r="AV142" s="20">
        <f t="shared" si="132"/>
        <v>0</v>
      </c>
      <c r="AW142" s="19">
        <f t="shared" si="138"/>
        <v>0</v>
      </c>
      <c r="AX142" s="19">
        <f t="shared" si="139"/>
        <v>0</v>
      </c>
      <c r="AY142" s="19">
        <f t="shared" si="140"/>
        <v>0</v>
      </c>
      <c r="AZ142" s="19">
        <f t="shared" si="141"/>
        <v>0</v>
      </c>
      <c r="BA142" s="19">
        <f t="shared" si="142"/>
        <v>0</v>
      </c>
      <c r="BB142" s="19">
        <f t="shared" si="143"/>
        <v>0</v>
      </c>
      <c r="BC142" s="19">
        <f t="shared" si="144"/>
        <v>0</v>
      </c>
      <c r="BD142" s="19">
        <f>-IF(CUSTOS!B142="",0,CUSTOS!B142)</f>
        <v>0</v>
      </c>
      <c r="BF142" s="20">
        <f t="shared" si="145"/>
        <v>0</v>
      </c>
      <c r="BG142" s="20">
        <f t="shared" si="146"/>
        <v>0</v>
      </c>
      <c r="BH142" s="116">
        <f t="shared" si="146"/>
        <v>0</v>
      </c>
    </row>
    <row r="143" spans="1:60" ht="15" x14ac:dyDescent="0.25">
      <c r="A143" s="66" t="str">
        <f>IF(LARGE($A$11:A142,1)=$F$2,"",A142+1)</f>
        <v/>
      </c>
      <c r="B143" s="27" t="str">
        <f t="shared" si="106"/>
        <v/>
      </c>
      <c r="C143" s="28" t="str">
        <f t="shared" si="133"/>
        <v/>
      </c>
      <c r="D143" s="28" t="str">
        <f t="shared" si="107"/>
        <v/>
      </c>
      <c r="E143" s="28" t="str">
        <f t="shared" si="108"/>
        <v/>
      </c>
      <c r="F143" s="29" t="str">
        <f t="shared" si="109"/>
        <v/>
      </c>
      <c r="G143" s="29" t="str">
        <f t="shared" si="110"/>
        <v/>
      </c>
      <c r="H143" s="30" t="str">
        <f t="shared" si="111"/>
        <v/>
      </c>
      <c r="I143" s="30" t="str">
        <f t="shared" si="112"/>
        <v/>
      </c>
      <c r="J143" s="30" t="str">
        <f>IF(A143="","",H143+CUSTOS!B143)</f>
        <v/>
      </c>
      <c r="K143" s="30" t="str">
        <f t="shared" si="134"/>
        <v/>
      </c>
      <c r="L143" s="30" t="str">
        <f t="shared" si="135"/>
        <v/>
      </c>
      <c r="M143" s="30" t="str">
        <f t="shared" si="136"/>
        <v/>
      </c>
      <c r="N143" s="30" t="str">
        <f t="shared" si="113"/>
        <v/>
      </c>
      <c r="O143" s="31" t="str">
        <f t="shared" si="137"/>
        <v/>
      </c>
      <c r="P143" s="32"/>
      <c r="Q143" s="33" t="str">
        <f t="shared" si="114"/>
        <v/>
      </c>
      <c r="R143" s="33" t="str">
        <f t="shared" si="115"/>
        <v/>
      </c>
      <c r="S143" s="33" t="str">
        <f t="shared" si="116"/>
        <v/>
      </c>
      <c r="T143" s="33" t="str">
        <f t="shared" si="117"/>
        <v/>
      </c>
      <c r="U143" s="33" t="str">
        <f t="shared" si="118"/>
        <v/>
      </c>
      <c r="V143" s="33" t="str">
        <f t="shared" si="119"/>
        <v/>
      </c>
      <c r="X143" s="33" t="str">
        <f t="shared" si="103"/>
        <v/>
      </c>
      <c r="Y143" s="30" t="str">
        <f t="shared" si="120"/>
        <v/>
      </c>
      <c r="Z143" s="30" t="str">
        <f t="shared" si="121"/>
        <v/>
      </c>
      <c r="AA143" s="30" t="str">
        <f t="shared" si="122"/>
        <v/>
      </c>
      <c r="AB143" s="30" t="str">
        <f t="shared" si="123"/>
        <v/>
      </c>
      <c r="AD143" s="33" t="str">
        <f t="shared" si="124"/>
        <v/>
      </c>
      <c r="AE143" s="30" t="str">
        <f t="shared" si="125"/>
        <v/>
      </c>
      <c r="AF143" s="30" t="str">
        <f t="shared" si="126"/>
        <v/>
      </c>
      <c r="AG143" s="30" t="str">
        <f t="shared" si="127"/>
        <v/>
      </c>
      <c r="AH143" s="30" t="str">
        <f t="shared" si="128"/>
        <v/>
      </c>
      <c r="AJ143" s="85" t="str">
        <f t="shared" si="105"/>
        <v/>
      </c>
      <c r="AK143" s="86" t="str">
        <f t="shared" si="147"/>
        <v/>
      </c>
      <c r="AL143" s="86" t="str">
        <f t="shared" si="148"/>
        <v/>
      </c>
      <c r="AM143" s="86" t="str">
        <f t="shared" si="149"/>
        <v/>
      </c>
      <c r="AN143" s="86" t="str">
        <f t="shared" si="150"/>
        <v/>
      </c>
      <c r="AO143" s="86" t="str">
        <f t="shared" si="151"/>
        <v/>
      </c>
      <c r="AQ143" s="33" t="str">
        <f t="shared" si="129"/>
        <v/>
      </c>
      <c r="AR143" s="30" t="str">
        <f t="shared" si="130"/>
        <v/>
      </c>
      <c r="AU143" s="20">
        <f t="shared" si="131"/>
        <v>0</v>
      </c>
      <c r="AV143" s="20">
        <f t="shared" si="132"/>
        <v>0</v>
      </c>
      <c r="AW143" s="19">
        <f t="shared" si="138"/>
        <v>0</v>
      </c>
      <c r="AX143" s="19">
        <f t="shared" si="139"/>
        <v>0</v>
      </c>
      <c r="AY143" s="19">
        <f t="shared" si="140"/>
        <v>0</v>
      </c>
      <c r="AZ143" s="19">
        <f t="shared" si="141"/>
        <v>0</v>
      </c>
      <c r="BA143" s="19">
        <f t="shared" si="142"/>
        <v>0</v>
      </c>
      <c r="BB143" s="19">
        <f t="shared" si="143"/>
        <v>0</v>
      </c>
      <c r="BC143" s="19">
        <f t="shared" si="144"/>
        <v>0</v>
      </c>
      <c r="BD143" s="19">
        <f>-IF(CUSTOS!B143="",0,CUSTOS!B143)</f>
        <v>0</v>
      </c>
      <c r="BF143" s="20">
        <f t="shared" si="145"/>
        <v>0</v>
      </c>
      <c r="BG143" s="20">
        <f t="shared" si="146"/>
        <v>0</v>
      </c>
      <c r="BH143" s="116">
        <f t="shared" si="146"/>
        <v>0</v>
      </c>
    </row>
    <row r="144" spans="1:60" ht="15" x14ac:dyDescent="0.25">
      <c r="A144" s="66" t="str">
        <f>IF(LARGE($A$11:A143,1)=$F$2,"",A143+1)</f>
        <v/>
      </c>
      <c r="B144" s="27" t="str">
        <f t="shared" si="106"/>
        <v/>
      </c>
      <c r="C144" s="28" t="str">
        <f t="shared" si="133"/>
        <v/>
      </c>
      <c r="D144" s="28" t="str">
        <f t="shared" si="107"/>
        <v/>
      </c>
      <c r="E144" s="28" t="str">
        <f t="shared" si="108"/>
        <v/>
      </c>
      <c r="F144" s="29" t="str">
        <f t="shared" si="109"/>
        <v/>
      </c>
      <c r="G144" s="29" t="str">
        <f t="shared" si="110"/>
        <v/>
      </c>
      <c r="H144" s="30" t="str">
        <f t="shared" si="111"/>
        <v/>
      </c>
      <c r="I144" s="30" t="str">
        <f t="shared" si="112"/>
        <v/>
      </c>
      <c r="J144" s="30" t="str">
        <f>IF(A144="","",H144+CUSTOS!B144)</f>
        <v/>
      </c>
      <c r="K144" s="30" t="str">
        <f t="shared" si="134"/>
        <v/>
      </c>
      <c r="L144" s="30" t="str">
        <f t="shared" si="135"/>
        <v/>
      </c>
      <c r="M144" s="30" t="str">
        <f t="shared" si="136"/>
        <v/>
      </c>
      <c r="N144" s="30" t="str">
        <f t="shared" si="113"/>
        <v/>
      </c>
      <c r="O144" s="31" t="str">
        <f t="shared" si="137"/>
        <v/>
      </c>
      <c r="P144" s="32"/>
      <c r="Q144" s="33" t="str">
        <f t="shared" si="114"/>
        <v/>
      </c>
      <c r="R144" s="33" t="str">
        <f t="shared" si="115"/>
        <v/>
      </c>
      <c r="S144" s="33" t="str">
        <f t="shared" si="116"/>
        <v/>
      </c>
      <c r="T144" s="33" t="str">
        <f t="shared" si="117"/>
        <v/>
      </c>
      <c r="U144" s="33" t="str">
        <f t="shared" si="118"/>
        <v/>
      </c>
      <c r="V144" s="33" t="str">
        <f t="shared" si="119"/>
        <v/>
      </c>
      <c r="X144" s="33" t="str">
        <f t="shared" si="103"/>
        <v/>
      </c>
      <c r="Y144" s="30" t="str">
        <f t="shared" si="120"/>
        <v/>
      </c>
      <c r="Z144" s="30" t="str">
        <f t="shared" si="121"/>
        <v/>
      </c>
      <c r="AA144" s="30" t="str">
        <f t="shared" si="122"/>
        <v/>
      </c>
      <c r="AB144" s="30" t="str">
        <f t="shared" si="123"/>
        <v/>
      </c>
      <c r="AD144" s="33" t="str">
        <f t="shared" si="124"/>
        <v/>
      </c>
      <c r="AE144" s="30" t="str">
        <f t="shared" si="125"/>
        <v/>
      </c>
      <c r="AF144" s="30" t="str">
        <f t="shared" si="126"/>
        <v/>
      </c>
      <c r="AG144" s="30" t="str">
        <f t="shared" si="127"/>
        <v/>
      </c>
      <c r="AH144" s="30" t="str">
        <f t="shared" si="128"/>
        <v/>
      </c>
      <c r="AJ144" s="85" t="str">
        <f t="shared" si="105"/>
        <v/>
      </c>
      <c r="AK144" s="86" t="str">
        <f t="shared" si="147"/>
        <v/>
      </c>
      <c r="AL144" s="86" t="str">
        <f t="shared" si="148"/>
        <v/>
      </c>
      <c r="AM144" s="86" t="str">
        <f t="shared" si="149"/>
        <v/>
      </c>
      <c r="AN144" s="86" t="str">
        <f t="shared" si="150"/>
        <v/>
      </c>
      <c r="AO144" s="86" t="str">
        <f t="shared" si="151"/>
        <v/>
      </c>
      <c r="AQ144" s="33" t="str">
        <f t="shared" si="129"/>
        <v/>
      </c>
      <c r="AR144" s="30" t="str">
        <f t="shared" si="130"/>
        <v/>
      </c>
      <c r="AU144" s="20">
        <f t="shared" si="131"/>
        <v>0</v>
      </c>
      <c r="AV144" s="20">
        <f t="shared" si="132"/>
        <v>0</v>
      </c>
      <c r="AW144" s="19">
        <f t="shared" si="138"/>
        <v>0</v>
      </c>
      <c r="AX144" s="19">
        <f t="shared" si="139"/>
        <v>0</v>
      </c>
      <c r="AY144" s="19">
        <f t="shared" si="140"/>
        <v>0</v>
      </c>
      <c r="AZ144" s="19">
        <f t="shared" si="141"/>
        <v>0</v>
      </c>
      <c r="BA144" s="19">
        <f t="shared" si="142"/>
        <v>0</v>
      </c>
      <c r="BB144" s="19">
        <f t="shared" si="143"/>
        <v>0</v>
      </c>
      <c r="BC144" s="19">
        <f t="shared" si="144"/>
        <v>0</v>
      </c>
      <c r="BD144" s="19">
        <f>-IF(CUSTOS!B144="",0,CUSTOS!B144)</f>
        <v>0</v>
      </c>
      <c r="BF144" s="20">
        <f t="shared" si="145"/>
        <v>0</v>
      </c>
      <c r="BG144" s="20">
        <f t="shared" si="146"/>
        <v>0</v>
      </c>
      <c r="BH144" s="116">
        <f t="shared" si="146"/>
        <v>0</v>
      </c>
    </row>
    <row r="145" spans="1:60" ht="15" x14ac:dyDescent="0.25">
      <c r="A145" s="66" t="str">
        <f>IF(LARGE($A$11:A144,1)=$F$2,"",A144+1)</f>
        <v/>
      </c>
      <c r="B145" s="27" t="str">
        <f t="shared" si="106"/>
        <v/>
      </c>
      <c r="C145" s="28" t="str">
        <f t="shared" si="133"/>
        <v/>
      </c>
      <c r="D145" s="28" t="str">
        <f t="shared" si="107"/>
        <v/>
      </c>
      <c r="E145" s="28" t="str">
        <f t="shared" si="108"/>
        <v/>
      </c>
      <c r="F145" s="29" t="str">
        <f t="shared" si="109"/>
        <v/>
      </c>
      <c r="G145" s="29" t="str">
        <f t="shared" si="110"/>
        <v/>
      </c>
      <c r="H145" s="30" t="str">
        <f t="shared" si="111"/>
        <v/>
      </c>
      <c r="I145" s="30" t="str">
        <f t="shared" si="112"/>
        <v/>
      </c>
      <c r="J145" s="30" t="str">
        <f>IF(A145="","",H145+CUSTOS!B145)</f>
        <v/>
      </c>
      <c r="K145" s="30" t="str">
        <f t="shared" si="134"/>
        <v/>
      </c>
      <c r="L145" s="30" t="str">
        <f t="shared" si="135"/>
        <v/>
      </c>
      <c r="M145" s="30" t="str">
        <f t="shared" si="136"/>
        <v/>
      </c>
      <c r="N145" s="30" t="str">
        <f t="shared" si="113"/>
        <v/>
      </c>
      <c r="O145" s="31" t="str">
        <f t="shared" si="137"/>
        <v/>
      </c>
      <c r="P145" s="32"/>
      <c r="Q145" s="33" t="str">
        <f t="shared" si="114"/>
        <v/>
      </c>
      <c r="R145" s="33" t="str">
        <f t="shared" si="115"/>
        <v/>
      </c>
      <c r="S145" s="33" t="str">
        <f t="shared" si="116"/>
        <v/>
      </c>
      <c r="T145" s="33" t="str">
        <f t="shared" si="117"/>
        <v/>
      </c>
      <c r="U145" s="33" t="str">
        <f t="shared" si="118"/>
        <v/>
      </c>
      <c r="V145" s="33" t="str">
        <f t="shared" si="119"/>
        <v/>
      </c>
      <c r="X145" s="33" t="str">
        <f t="shared" si="103"/>
        <v/>
      </c>
      <c r="Y145" s="30" t="str">
        <f t="shared" si="120"/>
        <v/>
      </c>
      <c r="Z145" s="30" t="str">
        <f t="shared" si="121"/>
        <v/>
      </c>
      <c r="AA145" s="30" t="str">
        <f t="shared" si="122"/>
        <v/>
      </c>
      <c r="AB145" s="30" t="str">
        <f t="shared" si="123"/>
        <v/>
      </c>
      <c r="AD145" s="33" t="str">
        <f t="shared" si="124"/>
        <v/>
      </c>
      <c r="AE145" s="30" t="str">
        <f t="shared" si="125"/>
        <v/>
      </c>
      <c r="AF145" s="30" t="str">
        <f t="shared" si="126"/>
        <v/>
      </c>
      <c r="AG145" s="30" t="str">
        <f t="shared" si="127"/>
        <v/>
      </c>
      <c r="AH145" s="30" t="str">
        <f t="shared" si="128"/>
        <v/>
      </c>
      <c r="AJ145" s="85" t="str">
        <f t="shared" si="105"/>
        <v/>
      </c>
      <c r="AK145" s="86" t="str">
        <f t="shared" si="147"/>
        <v/>
      </c>
      <c r="AL145" s="86" t="str">
        <f t="shared" si="148"/>
        <v/>
      </c>
      <c r="AM145" s="86" t="str">
        <f t="shared" si="149"/>
        <v/>
      </c>
      <c r="AN145" s="86" t="str">
        <f t="shared" si="150"/>
        <v/>
      </c>
      <c r="AO145" s="86" t="str">
        <f t="shared" si="151"/>
        <v/>
      </c>
      <c r="AQ145" s="33" t="str">
        <f t="shared" si="129"/>
        <v/>
      </c>
      <c r="AR145" s="30" t="str">
        <f t="shared" si="130"/>
        <v/>
      </c>
      <c r="AU145" s="20">
        <f t="shared" si="131"/>
        <v>0</v>
      </c>
      <c r="AV145" s="20">
        <f t="shared" si="132"/>
        <v>0</v>
      </c>
      <c r="AW145" s="19">
        <f t="shared" si="138"/>
        <v>0</v>
      </c>
      <c r="AX145" s="19">
        <f t="shared" si="139"/>
        <v>0</v>
      </c>
      <c r="AY145" s="19">
        <f t="shared" si="140"/>
        <v>0</v>
      </c>
      <c r="AZ145" s="19">
        <f t="shared" si="141"/>
        <v>0</v>
      </c>
      <c r="BA145" s="19">
        <f t="shared" si="142"/>
        <v>0</v>
      </c>
      <c r="BB145" s="19">
        <f t="shared" si="143"/>
        <v>0</v>
      </c>
      <c r="BC145" s="19">
        <f t="shared" si="144"/>
        <v>0</v>
      </c>
      <c r="BD145" s="19">
        <f>-IF(CUSTOS!B145="",0,CUSTOS!B145)</f>
        <v>0</v>
      </c>
      <c r="BF145" s="20">
        <f t="shared" si="145"/>
        <v>0</v>
      </c>
      <c r="BG145" s="20">
        <f t="shared" si="146"/>
        <v>0</v>
      </c>
      <c r="BH145" s="116">
        <f t="shared" si="146"/>
        <v>0</v>
      </c>
    </row>
    <row r="146" spans="1:60" ht="15" x14ac:dyDescent="0.25">
      <c r="A146" s="66" t="str">
        <f>IF(LARGE($A$11:A145,1)=$F$2,"",A145+1)</f>
        <v/>
      </c>
      <c r="B146" s="27" t="str">
        <f t="shared" si="106"/>
        <v/>
      </c>
      <c r="C146" s="28" t="str">
        <f t="shared" si="133"/>
        <v/>
      </c>
      <c r="D146" s="28" t="str">
        <f t="shared" si="107"/>
        <v/>
      </c>
      <c r="E146" s="28" t="str">
        <f t="shared" si="108"/>
        <v/>
      </c>
      <c r="F146" s="29" t="str">
        <f t="shared" si="109"/>
        <v/>
      </c>
      <c r="G146" s="29" t="str">
        <f t="shared" si="110"/>
        <v/>
      </c>
      <c r="H146" s="30" t="str">
        <f t="shared" si="111"/>
        <v/>
      </c>
      <c r="I146" s="30" t="str">
        <f t="shared" si="112"/>
        <v/>
      </c>
      <c r="J146" s="30" t="str">
        <f>IF(A146="","",H146+CUSTOS!B146)</f>
        <v/>
      </c>
      <c r="K146" s="30" t="str">
        <f t="shared" si="134"/>
        <v/>
      </c>
      <c r="L146" s="30" t="str">
        <f t="shared" si="135"/>
        <v/>
      </c>
      <c r="M146" s="30" t="str">
        <f t="shared" si="136"/>
        <v/>
      </c>
      <c r="N146" s="30" t="str">
        <f t="shared" si="113"/>
        <v/>
      </c>
      <c r="O146" s="31" t="str">
        <f t="shared" si="137"/>
        <v/>
      </c>
      <c r="P146" s="32"/>
      <c r="Q146" s="33" t="str">
        <f t="shared" si="114"/>
        <v/>
      </c>
      <c r="R146" s="33" t="str">
        <f t="shared" si="115"/>
        <v/>
      </c>
      <c r="S146" s="33" t="str">
        <f t="shared" si="116"/>
        <v/>
      </c>
      <c r="T146" s="33" t="str">
        <f t="shared" si="117"/>
        <v/>
      </c>
      <c r="U146" s="33" t="str">
        <f t="shared" si="118"/>
        <v/>
      </c>
      <c r="V146" s="33" t="str">
        <f t="shared" si="119"/>
        <v/>
      </c>
      <c r="X146" s="33" t="str">
        <f t="shared" si="103"/>
        <v/>
      </c>
      <c r="Y146" s="30" t="str">
        <f t="shared" si="120"/>
        <v/>
      </c>
      <c r="Z146" s="30" t="str">
        <f t="shared" si="121"/>
        <v/>
      </c>
      <c r="AA146" s="30" t="str">
        <f t="shared" si="122"/>
        <v/>
      </c>
      <c r="AB146" s="30" t="str">
        <f t="shared" si="123"/>
        <v/>
      </c>
      <c r="AD146" s="33" t="str">
        <f t="shared" si="124"/>
        <v/>
      </c>
      <c r="AE146" s="30" t="str">
        <f t="shared" si="125"/>
        <v/>
      </c>
      <c r="AF146" s="30" t="str">
        <f t="shared" si="126"/>
        <v/>
      </c>
      <c r="AG146" s="30" t="str">
        <f t="shared" si="127"/>
        <v/>
      </c>
      <c r="AH146" s="30" t="str">
        <f t="shared" si="128"/>
        <v/>
      </c>
      <c r="AJ146" s="85" t="str">
        <f t="shared" si="105"/>
        <v/>
      </c>
      <c r="AK146" s="86" t="str">
        <f t="shared" si="147"/>
        <v/>
      </c>
      <c r="AL146" s="86" t="str">
        <f t="shared" si="148"/>
        <v/>
      </c>
      <c r="AM146" s="86" t="str">
        <f t="shared" si="149"/>
        <v/>
      </c>
      <c r="AN146" s="86" t="str">
        <f t="shared" si="150"/>
        <v/>
      </c>
      <c r="AO146" s="86" t="str">
        <f t="shared" si="151"/>
        <v/>
      </c>
      <c r="AQ146" s="33" t="str">
        <f t="shared" si="129"/>
        <v/>
      </c>
      <c r="AR146" s="30" t="str">
        <f t="shared" si="130"/>
        <v/>
      </c>
      <c r="AU146" s="20">
        <f t="shared" si="131"/>
        <v>0</v>
      </c>
      <c r="AV146" s="20">
        <f t="shared" si="132"/>
        <v>0</v>
      </c>
      <c r="AW146" s="19">
        <f t="shared" si="138"/>
        <v>0</v>
      </c>
      <c r="AX146" s="19">
        <f t="shared" si="139"/>
        <v>0</v>
      </c>
      <c r="AY146" s="19">
        <f t="shared" si="140"/>
        <v>0</v>
      </c>
      <c r="AZ146" s="19">
        <f t="shared" si="141"/>
        <v>0</v>
      </c>
      <c r="BA146" s="19">
        <f t="shared" si="142"/>
        <v>0</v>
      </c>
      <c r="BB146" s="19">
        <f t="shared" si="143"/>
        <v>0</v>
      </c>
      <c r="BC146" s="19">
        <f t="shared" si="144"/>
        <v>0</v>
      </c>
      <c r="BD146" s="19">
        <f>-IF(CUSTOS!B146="",0,CUSTOS!B146)</f>
        <v>0</v>
      </c>
      <c r="BF146" s="20">
        <f t="shared" si="145"/>
        <v>0</v>
      </c>
      <c r="BG146" s="20">
        <f t="shared" si="146"/>
        <v>0</v>
      </c>
      <c r="BH146" s="116">
        <f t="shared" si="146"/>
        <v>0</v>
      </c>
    </row>
    <row r="147" spans="1:60" ht="15" x14ac:dyDescent="0.25">
      <c r="A147" s="66" t="str">
        <f>IF(LARGE($A$11:A146,1)=$F$2,"",A146+1)</f>
        <v/>
      </c>
      <c r="B147" s="27" t="str">
        <f t="shared" si="106"/>
        <v/>
      </c>
      <c r="C147" s="28" t="str">
        <f t="shared" si="133"/>
        <v/>
      </c>
      <c r="D147" s="28" t="str">
        <f t="shared" si="107"/>
        <v/>
      </c>
      <c r="E147" s="28" t="str">
        <f t="shared" si="108"/>
        <v/>
      </c>
      <c r="F147" s="29" t="str">
        <f t="shared" si="109"/>
        <v/>
      </c>
      <c r="G147" s="29" t="str">
        <f t="shared" si="110"/>
        <v/>
      </c>
      <c r="H147" s="30" t="str">
        <f t="shared" si="111"/>
        <v/>
      </c>
      <c r="I147" s="30" t="str">
        <f t="shared" si="112"/>
        <v/>
      </c>
      <c r="J147" s="30" t="str">
        <f>IF(A147="","",H147+CUSTOS!B147)</f>
        <v/>
      </c>
      <c r="K147" s="30" t="str">
        <f t="shared" si="134"/>
        <v/>
      </c>
      <c r="L147" s="30" t="str">
        <f t="shared" si="135"/>
        <v/>
      </c>
      <c r="M147" s="30" t="str">
        <f t="shared" si="136"/>
        <v/>
      </c>
      <c r="N147" s="30" t="str">
        <f t="shared" si="113"/>
        <v/>
      </c>
      <c r="O147" s="31" t="str">
        <f t="shared" si="137"/>
        <v/>
      </c>
      <c r="P147" s="32"/>
      <c r="Q147" s="33" t="str">
        <f t="shared" si="114"/>
        <v/>
      </c>
      <c r="R147" s="33" t="str">
        <f t="shared" si="115"/>
        <v/>
      </c>
      <c r="S147" s="33" t="str">
        <f t="shared" si="116"/>
        <v/>
      </c>
      <c r="T147" s="33" t="str">
        <f t="shared" si="117"/>
        <v/>
      </c>
      <c r="U147" s="33" t="str">
        <f t="shared" si="118"/>
        <v/>
      </c>
      <c r="V147" s="33" t="str">
        <f t="shared" si="119"/>
        <v/>
      </c>
      <c r="X147" s="33" t="str">
        <f t="shared" si="103"/>
        <v/>
      </c>
      <c r="Y147" s="30" t="str">
        <f t="shared" si="120"/>
        <v/>
      </c>
      <c r="Z147" s="30" t="str">
        <f t="shared" si="121"/>
        <v/>
      </c>
      <c r="AA147" s="30" t="str">
        <f t="shared" si="122"/>
        <v/>
      </c>
      <c r="AB147" s="30" t="str">
        <f t="shared" si="123"/>
        <v/>
      </c>
      <c r="AD147" s="33" t="str">
        <f t="shared" si="124"/>
        <v/>
      </c>
      <c r="AE147" s="30" t="str">
        <f t="shared" si="125"/>
        <v/>
      </c>
      <c r="AF147" s="30" t="str">
        <f t="shared" si="126"/>
        <v/>
      </c>
      <c r="AG147" s="30" t="str">
        <f t="shared" si="127"/>
        <v/>
      </c>
      <c r="AH147" s="30" t="str">
        <f t="shared" si="128"/>
        <v/>
      </c>
      <c r="AJ147" s="85" t="str">
        <f t="shared" si="105"/>
        <v/>
      </c>
      <c r="AK147" s="86" t="str">
        <f t="shared" si="147"/>
        <v/>
      </c>
      <c r="AL147" s="86" t="str">
        <f t="shared" si="148"/>
        <v/>
      </c>
      <c r="AM147" s="86" t="str">
        <f t="shared" si="149"/>
        <v/>
      </c>
      <c r="AN147" s="86" t="str">
        <f t="shared" si="150"/>
        <v/>
      </c>
      <c r="AO147" s="86" t="str">
        <f t="shared" si="151"/>
        <v/>
      </c>
      <c r="AQ147" s="33" t="str">
        <f t="shared" si="129"/>
        <v/>
      </c>
      <c r="AR147" s="30" t="str">
        <f t="shared" si="130"/>
        <v/>
      </c>
      <c r="AU147" s="20">
        <f t="shared" si="131"/>
        <v>0</v>
      </c>
      <c r="AV147" s="20">
        <f t="shared" si="132"/>
        <v>0</v>
      </c>
      <c r="AW147" s="19">
        <f t="shared" si="138"/>
        <v>0</v>
      </c>
      <c r="AX147" s="19">
        <f t="shared" si="139"/>
        <v>0</v>
      </c>
      <c r="AY147" s="19">
        <f t="shared" si="140"/>
        <v>0</v>
      </c>
      <c r="AZ147" s="19">
        <f t="shared" si="141"/>
        <v>0</v>
      </c>
      <c r="BA147" s="19">
        <f t="shared" si="142"/>
        <v>0</v>
      </c>
      <c r="BB147" s="19">
        <f t="shared" si="143"/>
        <v>0</v>
      </c>
      <c r="BC147" s="19">
        <f t="shared" si="144"/>
        <v>0</v>
      </c>
      <c r="BD147" s="19">
        <f>-IF(CUSTOS!B147="",0,CUSTOS!B147)</f>
        <v>0</v>
      </c>
      <c r="BF147" s="20">
        <f t="shared" si="145"/>
        <v>0</v>
      </c>
      <c r="BG147" s="20">
        <f t="shared" si="146"/>
        <v>0</v>
      </c>
      <c r="BH147" s="116">
        <f t="shared" si="146"/>
        <v>0</v>
      </c>
    </row>
    <row r="148" spans="1:60" ht="15" x14ac:dyDescent="0.25">
      <c r="A148" s="66" t="str">
        <f>IF(LARGE($A$11:A147,1)=$F$2,"",A147+1)</f>
        <v/>
      </c>
      <c r="B148" s="27" t="str">
        <f t="shared" si="106"/>
        <v/>
      </c>
      <c r="C148" s="28" t="str">
        <f t="shared" si="133"/>
        <v/>
      </c>
      <c r="D148" s="28" t="str">
        <f t="shared" si="107"/>
        <v/>
      </c>
      <c r="E148" s="28" t="str">
        <f t="shared" si="108"/>
        <v/>
      </c>
      <c r="F148" s="29" t="str">
        <f t="shared" si="109"/>
        <v/>
      </c>
      <c r="G148" s="29" t="str">
        <f t="shared" si="110"/>
        <v/>
      </c>
      <c r="H148" s="30" t="str">
        <f t="shared" si="111"/>
        <v/>
      </c>
      <c r="I148" s="30" t="str">
        <f t="shared" si="112"/>
        <v/>
      </c>
      <c r="J148" s="30" t="str">
        <f>IF(A148="","",H148+CUSTOS!B148)</f>
        <v/>
      </c>
      <c r="K148" s="30" t="str">
        <f t="shared" si="134"/>
        <v/>
      </c>
      <c r="L148" s="30" t="str">
        <f t="shared" si="135"/>
        <v/>
      </c>
      <c r="M148" s="30" t="str">
        <f t="shared" si="136"/>
        <v/>
      </c>
      <c r="N148" s="30" t="str">
        <f t="shared" si="113"/>
        <v/>
      </c>
      <c r="O148" s="31" t="str">
        <f t="shared" si="137"/>
        <v/>
      </c>
      <c r="P148" s="32"/>
      <c r="Q148" s="33" t="str">
        <f t="shared" si="114"/>
        <v/>
      </c>
      <c r="R148" s="33" t="str">
        <f t="shared" si="115"/>
        <v/>
      </c>
      <c r="S148" s="33" t="str">
        <f t="shared" si="116"/>
        <v/>
      </c>
      <c r="T148" s="33" t="str">
        <f t="shared" si="117"/>
        <v/>
      </c>
      <c r="U148" s="33" t="str">
        <f t="shared" si="118"/>
        <v/>
      </c>
      <c r="V148" s="33" t="str">
        <f t="shared" si="119"/>
        <v/>
      </c>
      <c r="X148" s="33" t="str">
        <f t="shared" si="103"/>
        <v/>
      </c>
      <c r="Y148" s="30" t="str">
        <f t="shared" si="120"/>
        <v/>
      </c>
      <c r="Z148" s="30" t="str">
        <f t="shared" si="121"/>
        <v/>
      </c>
      <c r="AA148" s="30" t="str">
        <f t="shared" si="122"/>
        <v/>
      </c>
      <c r="AB148" s="30" t="str">
        <f t="shared" si="123"/>
        <v/>
      </c>
      <c r="AD148" s="33" t="str">
        <f t="shared" si="124"/>
        <v/>
      </c>
      <c r="AE148" s="30" t="str">
        <f t="shared" si="125"/>
        <v/>
      </c>
      <c r="AF148" s="30" t="str">
        <f t="shared" si="126"/>
        <v/>
      </c>
      <c r="AG148" s="30" t="str">
        <f t="shared" si="127"/>
        <v/>
      </c>
      <c r="AH148" s="30" t="str">
        <f t="shared" si="128"/>
        <v/>
      </c>
      <c r="AJ148" s="85" t="str">
        <f t="shared" si="105"/>
        <v/>
      </c>
      <c r="AK148" s="86" t="str">
        <f t="shared" si="147"/>
        <v/>
      </c>
      <c r="AL148" s="86" t="str">
        <f t="shared" si="148"/>
        <v/>
      </c>
      <c r="AM148" s="86" t="str">
        <f t="shared" si="149"/>
        <v/>
      </c>
      <c r="AN148" s="86" t="str">
        <f t="shared" si="150"/>
        <v/>
      </c>
      <c r="AO148" s="86" t="str">
        <f t="shared" si="151"/>
        <v/>
      </c>
      <c r="AQ148" s="33" t="str">
        <f t="shared" si="129"/>
        <v/>
      </c>
      <c r="AR148" s="30" t="str">
        <f t="shared" si="130"/>
        <v/>
      </c>
      <c r="AU148" s="20">
        <f t="shared" si="131"/>
        <v>0</v>
      </c>
      <c r="AV148" s="20">
        <f t="shared" si="132"/>
        <v>0</v>
      </c>
      <c r="AW148" s="19">
        <f t="shared" si="138"/>
        <v>0</v>
      </c>
      <c r="AX148" s="19">
        <f t="shared" si="139"/>
        <v>0</v>
      </c>
      <c r="AY148" s="19">
        <f t="shared" si="140"/>
        <v>0</v>
      </c>
      <c r="AZ148" s="19">
        <f t="shared" si="141"/>
        <v>0</v>
      </c>
      <c r="BA148" s="19">
        <f t="shared" si="142"/>
        <v>0</v>
      </c>
      <c r="BB148" s="19">
        <f t="shared" si="143"/>
        <v>0</v>
      </c>
      <c r="BC148" s="19">
        <f t="shared" si="144"/>
        <v>0</v>
      </c>
      <c r="BD148" s="19">
        <f>-IF(CUSTOS!B148="",0,CUSTOS!B148)</f>
        <v>0</v>
      </c>
      <c r="BF148" s="20">
        <f t="shared" si="145"/>
        <v>0</v>
      </c>
      <c r="BG148" s="20">
        <f t="shared" si="146"/>
        <v>0</v>
      </c>
      <c r="BH148" s="116">
        <f t="shared" si="146"/>
        <v>0</v>
      </c>
    </row>
    <row r="149" spans="1:60" ht="15" x14ac:dyDescent="0.25">
      <c r="A149" s="66" t="str">
        <f>IF(LARGE($A$11:A148,1)=$F$2,"",A148+1)</f>
        <v/>
      </c>
      <c r="B149" s="27" t="str">
        <f t="shared" si="106"/>
        <v/>
      </c>
      <c r="C149" s="28" t="str">
        <f t="shared" si="133"/>
        <v/>
      </c>
      <c r="D149" s="28" t="str">
        <f t="shared" si="107"/>
        <v/>
      </c>
      <c r="E149" s="28" t="str">
        <f t="shared" si="108"/>
        <v/>
      </c>
      <c r="F149" s="29" t="str">
        <f t="shared" si="109"/>
        <v/>
      </c>
      <c r="G149" s="29" t="str">
        <f t="shared" si="110"/>
        <v/>
      </c>
      <c r="H149" s="30" t="str">
        <f t="shared" si="111"/>
        <v/>
      </c>
      <c r="I149" s="30" t="str">
        <f t="shared" si="112"/>
        <v/>
      </c>
      <c r="J149" s="30" t="str">
        <f>IF(A149="","",H149+CUSTOS!B149)</f>
        <v/>
      </c>
      <c r="K149" s="30" t="str">
        <f t="shared" si="134"/>
        <v/>
      </c>
      <c r="L149" s="30" t="str">
        <f t="shared" si="135"/>
        <v/>
      </c>
      <c r="M149" s="30" t="str">
        <f t="shared" si="136"/>
        <v/>
      </c>
      <c r="N149" s="30" t="str">
        <f t="shared" si="113"/>
        <v/>
      </c>
      <c r="O149" s="31" t="str">
        <f t="shared" si="137"/>
        <v/>
      </c>
      <c r="P149" s="32"/>
      <c r="Q149" s="33" t="str">
        <f t="shared" si="114"/>
        <v/>
      </c>
      <c r="R149" s="33" t="str">
        <f t="shared" si="115"/>
        <v/>
      </c>
      <c r="S149" s="33" t="str">
        <f t="shared" si="116"/>
        <v/>
      </c>
      <c r="T149" s="33" t="str">
        <f t="shared" si="117"/>
        <v/>
      </c>
      <c r="U149" s="33" t="str">
        <f t="shared" si="118"/>
        <v/>
      </c>
      <c r="V149" s="33" t="str">
        <f t="shared" si="119"/>
        <v/>
      </c>
      <c r="X149" s="33" t="str">
        <f t="shared" si="103"/>
        <v/>
      </c>
      <c r="Y149" s="30" t="str">
        <f t="shared" si="120"/>
        <v/>
      </c>
      <c r="Z149" s="30" t="str">
        <f t="shared" si="121"/>
        <v/>
      </c>
      <c r="AA149" s="30" t="str">
        <f t="shared" si="122"/>
        <v/>
      </c>
      <c r="AB149" s="30" t="str">
        <f t="shared" si="123"/>
        <v/>
      </c>
      <c r="AD149" s="33" t="str">
        <f t="shared" si="124"/>
        <v/>
      </c>
      <c r="AE149" s="30" t="str">
        <f t="shared" si="125"/>
        <v/>
      </c>
      <c r="AF149" s="30" t="str">
        <f t="shared" si="126"/>
        <v/>
      </c>
      <c r="AG149" s="30" t="str">
        <f t="shared" si="127"/>
        <v/>
      </c>
      <c r="AH149" s="30" t="str">
        <f t="shared" si="128"/>
        <v/>
      </c>
      <c r="AJ149" s="85" t="str">
        <f t="shared" si="105"/>
        <v/>
      </c>
      <c r="AK149" s="86" t="str">
        <f t="shared" si="147"/>
        <v/>
      </c>
      <c r="AL149" s="86" t="str">
        <f t="shared" si="148"/>
        <v/>
      </c>
      <c r="AM149" s="86" t="str">
        <f t="shared" si="149"/>
        <v/>
      </c>
      <c r="AN149" s="86" t="str">
        <f t="shared" si="150"/>
        <v/>
      </c>
      <c r="AO149" s="86" t="str">
        <f t="shared" si="151"/>
        <v/>
      </c>
      <c r="AQ149" s="33" t="str">
        <f t="shared" si="129"/>
        <v/>
      </c>
      <c r="AR149" s="30" t="str">
        <f t="shared" si="130"/>
        <v/>
      </c>
      <c r="AU149" s="20">
        <f t="shared" si="131"/>
        <v>0</v>
      </c>
      <c r="AV149" s="20">
        <f t="shared" si="132"/>
        <v>0</v>
      </c>
      <c r="AW149" s="19">
        <f t="shared" si="138"/>
        <v>0</v>
      </c>
      <c r="AX149" s="19">
        <f t="shared" si="139"/>
        <v>0</v>
      </c>
      <c r="AY149" s="19">
        <f t="shared" si="140"/>
        <v>0</v>
      </c>
      <c r="AZ149" s="19">
        <f t="shared" si="141"/>
        <v>0</v>
      </c>
      <c r="BA149" s="19">
        <f t="shared" si="142"/>
        <v>0</v>
      </c>
      <c r="BB149" s="19">
        <f t="shared" si="143"/>
        <v>0</v>
      </c>
      <c r="BC149" s="19">
        <f t="shared" si="144"/>
        <v>0</v>
      </c>
      <c r="BD149" s="19">
        <f>-IF(CUSTOS!B149="",0,CUSTOS!B149)</f>
        <v>0</v>
      </c>
      <c r="BF149" s="20">
        <f t="shared" si="145"/>
        <v>0</v>
      </c>
      <c r="BG149" s="20">
        <f t="shared" si="146"/>
        <v>0</v>
      </c>
      <c r="BH149" s="116">
        <f t="shared" si="146"/>
        <v>0</v>
      </c>
    </row>
    <row r="150" spans="1:60" ht="15" x14ac:dyDescent="0.25">
      <c r="A150" s="66" t="str">
        <f>IF(LARGE($A$11:A149,1)=$F$2,"",A149+1)</f>
        <v/>
      </c>
      <c r="B150" s="27" t="str">
        <f t="shared" si="106"/>
        <v/>
      </c>
      <c r="C150" s="28" t="str">
        <f t="shared" si="133"/>
        <v/>
      </c>
      <c r="D150" s="28" t="str">
        <f t="shared" si="107"/>
        <v/>
      </c>
      <c r="E150" s="28" t="str">
        <f t="shared" si="108"/>
        <v/>
      </c>
      <c r="F150" s="29" t="str">
        <f t="shared" si="109"/>
        <v/>
      </c>
      <c r="G150" s="29" t="str">
        <f t="shared" si="110"/>
        <v/>
      </c>
      <c r="H150" s="30" t="str">
        <f t="shared" si="111"/>
        <v/>
      </c>
      <c r="I150" s="30" t="str">
        <f t="shared" si="112"/>
        <v/>
      </c>
      <c r="J150" s="30" t="str">
        <f>IF(A150="","",H150+CUSTOS!B150)</f>
        <v/>
      </c>
      <c r="K150" s="30" t="str">
        <f t="shared" si="134"/>
        <v/>
      </c>
      <c r="L150" s="30" t="str">
        <f t="shared" si="135"/>
        <v/>
      </c>
      <c r="M150" s="30" t="str">
        <f t="shared" si="136"/>
        <v/>
      </c>
      <c r="N150" s="30" t="str">
        <f t="shared" si="113"/>
        <v/>
      </c>
      <c r="O150" s="31" t="str">
        <f t="shared" si="137"/>
        <v/>
      </c>
      <c r="P150" s="32"/>
      <c r="Q150" s="33" t="str">
        <f t="shared" si="114"/>
        <v/>
      </c>
      <c r="R150" s="33" t="str">
        <f t="shared" si="115"/>
        <v/>
      </c>
      <c r="S150" s="33" t="str">
        <f t="shared" si="116"/>
        <v/>
      </c>
      <c r="T150" s="33" t="str">
        <f t="shared" si="117"/>
        <v/>
      </c>
      <c r="U150" s="33" t="str">
        <f t="shared" si="118"/>
        <v/>
      </c>
      <c r="V150" s="33" t="str">
        <f t="shared" si="119"/>
        <v/>
      </c>
      <c r="X150" s="33" t="str">
        <f t="shared" si="103"/>
        <v/>
      </c>
      <c r="Y150" s="30" t="str">
        <f t="shared" si="120"/>
        <v/>
      </c>
      <c r="Z150" s="30" t="str">
        <f t="shared" si="121"/>
        <v/>
      </c>
      <c r="AA150" s="30" t="str">
        <f t="shared" si="122"/>
        <v/>
      </c>
      <c r="AB150" s="30" t="str">
        <f t="shared" si="123"/>
        <v/>
      </c>
      <c r="AD150" s="33" t="str">
        <f t="shared" si="124"/>
        <v/>
      </c>
      <c r="AE150" s="30" t="str">
        <f t="shared" si="125"/>
        <v/>
      </c>
      <c r="AF150" s="30" t="str">
        <f t="shared" si="126"/>
        <v/>
      </c>
      <c r="AG150" s="30" t="str">
        <f t="shared" si="127"/>
        <v/>
      </c>
      <c r="AH150" s="30" t="str">
        <f t="shared" si="128"/>
        <v/>
      </c>
      <c r="AJ150" s="85" t="str">
        <f t="shared" si="105"/>
        <v/>
      </c>
      <c r="AK150" s="86" t="str">
        <f t="shared" si="147"/>
        <v/>
      </c>
      <c r="AL150" s="86" t="str">
        <f t="shared" si="148"/>
        <v/>
      </c>
      <c r="AM150" s="86" t="str">
        <f t="shared" si="149"/>
        <v/>
      </c>
      <c r="AN150" s="86" t="str">
        <f t="shared" si="150"/>
        <v/>
      </c>
      <c r="AO150" s="86" t="str">
        <f t="shared" si="151"/>
        <v/>
      </c>
      <c r="AQ150" s="33" t="str">
        <f t="shared" si="129"/>
        <v/>
      </c>
      <c r="AR150" s="30" t="str">
        <f t="shared" si="130"/>
        <v/>
      </c>
      <c r="AU150" s="20">
        <f t="shared" si="131"/>
        <v>0</v>
      </c>
      <c r="AV150" s="20">
        <f t="shared" si="132"/>
        <v>0</v>
      </c>
      <c r="AW150" s="19">
        <f t="shared" si="138"/>
        <v>0</v>
      </c>
      <c r="AX150" s="19">
        <f t="shared" si="139"/>
        <v>0</v>
      </c>
      <c r="AY150" s="19">
        <f t="shared" si="140"/>
        <v>0</v>
      </c>
      <c r="AZ150" s="19">
        <f t="shared" si="141"/>
        <v>0</v>
      </c>
      <c r="BA150" s="19">
        <f t="shared" si="142"/>
        <v>0</v>
      </c>
      <c r="BB150" s="19">
        <f t="shared" si="143"/>
        <v>0</v>
      </c>
      <c r="BC150" s="19">
        <f t="shared" si="144"/>
        <v>0</v>
      </c>
      <c r="BD150" s="19">
        <f>-IF(CUSTOS!B150="",0,CUSTOS!B150)</f>
        <v>0</v>
      </c>
      <c r="BF150" s="20">
        <f t="shared" si="145"/>
        <v>0</v>
      </c>
      <c r="BG150" s="20">
        <f t="shared" si="146"/>
        <v>0</v>
      </c>
      <c r="BH150" s="116">
        <f t="shared" si="146"/>
        <v>0</v>
      </c>
    </row>
    <row r="151" spans="1:60" ht="15" x14ac:dyDescent="0.25">
      <c r="A151" s="66" t="str">
        <f>IF(LARGE($A$11:A150,1)=$F$2,"",A150+1)</f>
        <v/>
      </c>
      <c r="B151" s="27" t="str">
        <f t="shared" si="106"/>
        <v/>
      </c>
      <c r="C151" s="28" t="str">
        <f t="shared" si="133"/>
        <v/>
      </c>
      <c r="D151" s="28" t="str">
        <f t="shared" si="107"/>
        <v/>
      </c>
      <c r="E151" s="28" t="str">
        <f t="shared" si="108"/>
        <v/>
      </c>
      <c r="F151" s="29" t="str">
        <f t="shared" si="109"/>
        <v/>
      </c>
      <c r="G151" s="29" t="str">
        <f t="shared" si="110"/>
        <v/>
      </c>
      <c r="H151" s="30" t="str">
        <f t="shared" si="111"/>
        <v/>
      </c>
      <c r="I151" s="30" t="str">
        <f t="shared" si="112"/>
        <v/>
      </c>
      <c r="J151" s="30" t="str">
        <f>IF(A151="","",H151+CUSTOS!B151)</f>
        <v/>
      </c>
      <c r="K151" s="30" t="str">
        <f t="shared" si="134"/>
        <v/>
      </c>
      <c r="L151" s="30" t="str">
        <f t="shared" si="135"/>
        <v/>
      </c>
      <c r="M151" s="30" t="str">
        <f t="shared" si="136"/>
        <v/>
      </c>
      <c r="N151" s="30" t="str">
        <f t="shared" si="113"/>
        <v/>
      </c>
      <c r="O151" s="31" t="str">
        <f t="shared" si="137"/>
        <v/>
      </c>
      <c r="P151" s="32"/>
      <c r="Q151" s="33" t="str">
        <f t="shared" si="114"/>
        <v/>
      </c>
      <c r="R151" s="33" t="str">
        <f t="shared" si="115"/>
        <v/>
      </c>
      <c r="S151" s="33" t="str">
        <f t="shared" si="116"/>
        <v/>
      </c>
      <c r="T151" s="33" t="str">
        <f t="shared" si="117"/>
        <v/>
      </c>
      <c r="U151" s="33" t="str">
        <f t="shared" si="118"/>
        <v/>
      </c>
      <c r="V151" s="33" t="str">
        <f t="shared" si="119"/>
        <v/>
      </c>
      <c r="X151" s="33" t="str">
        <f t="shared" si="103"/>
        <v/>
      </c>
      <c r="Y151" s="30" t="str">
        <f t="shared" si="120"/>
        <v/>
      </c>
      <c r="Z151" s="30" t="str">
        <f t="shared" si="121"/>
        <v/>
      </c>
      <c r="AA151" s="30" t="str">
        <f t="shared" si="122"/>
        <v/>
      </c>
      <c r="AB151" s="30" t="str">
        <f t="shared" si="123"/>
        <v/>
      </c>
      <c r="AD151" s="33" t="str">
        <f t="shared" si="124"/>
        <v/>
      </c>
      <c r="AE151" s="30" t="str">
        <f t="shared" si="125"/>
        <v/>
      </c>
      <c r="AF151" s="30" t="str">
        <f t="shared" si="126"/>
        <v/>
      </c>
      <c r="AG151" s="30" t="str">
        <f t="shared" si="127"/>
        <v/>
      </c>
      <c r="AH151" s="30" t="str">
        <f t="shared" si="128"/>
        <v/>
      </c>
      <c r="AJ151" s="85" t="str">
        <f t="shared" si="105"/>
        <v/>
      </c>
      <c r="AK151" s="86" t="str">
        <f t="shared" si="147"/>
        <v/>
      </c>
      <c r="AL151" s="86" t="str">
        <f t="shared" si="148"/>
        <v/>
      </c>
      <c r="AM151" s="86" t="str">
        <f t="shared" si="149"/>
        <v/>
      </c>
      <c r="AN151" s="86" t="str">
        <f t="shared" si="150"/>
        <v/>
      </c>
      <c r="AO151" s="86" t="str">
        <f t="shared" si="151"/>
        <v/>
      </c>
      <c r="AQ151" s="33" t="str">
        <f t="shared" si="129"/>
        <v/>
      </c>
      <c r="AR151" s="30" t="str">
        <f t="shared" si="130"/>
        <v/>
      </c>
      <c r="AU151" s="20">
        <f t="shared" si="131"/>
        <v>0</v>
      </c>
      <c r="AV151" s="20">
        <f t="shared" si="132"/>
        <v>0</v>
      </c>
      <c r="AW151" s="19">
        <f t="shared" si="138"/>
        <v>0</v>
      </c>
      <c r="AX151" s="19">
        <f t="shared" si="139"/>
        <v>0</v>
      </c>
      <c r="AY151" s="19">
        <f t="shared" si="140"/>
        <v>0</v>
      </c>
      <c r="AZ151" s="19">
        <f t="shared" si="141"/>
        <v>0</v>
      </c>
      <c r="BA151" s="19">
        <f t="shared" si="142"/>
        <v>0</v>
      </c>
      <c r="BB151" s="19">
        <f t="shared" si="143"/>
        <v>0</v>
      </c>
      <c r="BC151" s="19">
        <f t="shared" si="144"/>
        <v>0</v>
      </c>
      <c r="BD151" s="19">
        <f>-IF(CUSTOS!B151="",0,CUSTOS!B151)</f>
        <v>0</v>
      </c>
      <c r="BF151" s="20">
        <f t="shared" si="145"/>
        <v>0</v>
      </c>
      <c r="BG151" s="20">
        <f t="shared" si="146"/>
        <v>0</v>
      </c>
      <c r="BH151" s="116">
        <f t="shared" si="146"/>
        <v>0</v>
      </c>
    </row>
    <row r="152" spans="1:60" ht="15" x14ac:dyDescent="0.25">
      <c r="A152" s="66" t="str">
        <f>IF(LARGE($A$11:A151,1)=$F$2,"",A151+1)</f>
        <v/>
      </c>
      <c r="B152" s="27" t="str">
        <f t="shared" si="106"/>
        <v/>
      </c>
      <c r="C152" s="28" t="str">
        <f t="shared" si="133"/>
        <v/>
      </c>
      <c r="D152" s="28" t="str">
        <f t="shared" si="107"/>
        <v/>
      </c>
      <c r="E152" s="28" t="str">
        <f t="shared" si="108"/>
        <v/>
      </c>
      <c r="F152" s="29" t="str">
        <f t="shared" si="109"/>
        <v/>
      </c>
      <c r="G152" s="29" t="str">
        <f t="shared" si="110"/>
        <v/>
      </c>
      <c r="H152" s="30" t="str">
        <f t="shared" si="111"/>
        <v/>
      </c>
      <c r="I152" s="30" t="str">
        <f t="shared" si="112"/>
        <v/>
      </c>
      <c r="J152" s="30" t="str">
        <f>IF(A152="","",H152+CUSTOS!B152)</f>
        <v/>
      </c>
      <c r="K152" s="30" t="str">
        <f t="shared" si="134"/>
        <v/>
      </c>
      <c r="L152" s="30" t="str">
        <f t="shared" si="135"/>
        <v/>
      </c>
      <c r="M152" s="30" t="str">
        <f t="shared" si="136"/>
        <v/>
      </c>
      <c r="N152" s="30" t="str">
        <f t="shared" si="113"/>
        <v/>
      </c>
      <c r="O152" s="31" t="str">
        <f t="shared" si="137"/>
        <v/>
      </c>
      <c r="P152" s="32"/>
      <c r="Q152" s="33" t="str">
        <f t="shared" si="114"/>
        <v/>
      </c>
      <c r="R152" s="33" t="str">
        <f t="shared" si="115"/>
        <v/>
      </c>
      <c r="S152" s="33" t="str">
        <f t="shared" si="116"/>
        <v/>
      </c>
      <c r="T152" s="33" t="str">
        <f t="shared" si="117"/>
        <v/>
      </c>
      <c r="U152" s="33" t="str">
        <f t="shared" si="118"/>
        <v/>
      </c>
      <c r="V152" s="33" t="str">
        <f t="shared" si="119"/>
        <v/>
      </c>
      <c r="X152" s="33" t="str">
        <f t="shared" si="103"/>
        <v/>
      </c>
      <c r="Y152" s="30" t="str">
        <f t="shared" si="120"/>
        <v/>
      </c>
      <c r="Z152" s="30" t="str">
        <f t="shared" si="121"/>
        <v/>
      </c>
      <c r="AA152" s="30" t="str">
        <f t="shared" si="122"/>
        <v/>
      </c>
      <c r="AB152" s="30" t="str">
        <f t="shared" si="123"/>
        <v/>
      </c>
      <c r="AD152" s="33" t="str">
        <f t="shared" si="124"/>
        <v/>
      </c>
      <c r="AE152" s="30" t="str">
        <f t="shared" si="125"/>
        <v/>
      </c>
      <c r="AF152" s="30" t="str">
        <f t="shared" si="126"/>
        <v/>
      </c>
      <c r="AG152" s="30" t="str">
        <f t="shared" si="127"/>
        <v/>
      </c>
      <c r="AH152" s="30" t="str">
        <f t="shared" si="128"/>
        <v/>
      </c>
      <c r="AJ152" s="85" t="str">
        <f t="shared" si="105"/>
        <v/>
      </c>
      <c r="AK152" s="86" t="str">
        <f t="shared" si="147"/>
        <v/>
      </c>
      <c r="AL152" s="86" t="str">
        <f t="shared" si="148"/>
        <v/>
      </c>
      <c r="AM152" s="86" t="str">
        <f t="shared" si="149"/>
        <v/>
      </c>
      <c r="AN152" s="86" t="str">
        <f t="shared" si="150"/>
        <v/>
      </c>
      <c r="AO152" s="86" t="str">
        <f t="shared" si="151"/>
        <v/>
      </c>
      <c r="AQ152" s="33" t="str">
        <f t="shared" si="129"/>
        <v/>
      </c>
      <c r="AR152" s="30" t="str">
        <f t="shared" si="130"/>
        <v/>
      </c>
      <c r="AU152" s="20">
        <f t="shared" si="131"/>
        <v>0</v>
      </c>
      <c r="AV152" s="20">
        <f t="shared" si="132"/>
        <v>0</v>
      </c>
      <c r="AW152" s="19">
        <f t="shared" si="138"/>
        <v>0</v>
      </c>
      <c r="AX152" s="19">
        <f t="shared" si="139"/>
        <v>0</v>
      </c>
      <c r="AY152" s="19">
        <f t="shared" si="140"/>
        <v>0</v>
      </c>
      <c r="AZ152" s="19">
        <f t="shared" si="141"/>
        <v>0</v>
      </c>
      <c r="BA152" s="19">
        <f t="shared" si="142"/>
        <v>0</v>
      </c>
      <c r="BB152" s="19">
        <f t="shared" si="143"/>
        <v>0</v>
      </c>
      <c r="BC152" s="19">
        <f t="shared" si="144"/>
        <v>0</v>
      </c>
      <c r="BD152" s="19">
        <f>-IF(CUSTOS!B152="",0,CUSTOS!B152)</f>
        <v>0</v>
      </c>
      <c r="BF152" s="20">
        <f t="shared" si="145"/>
        <v>0</v>
      </c>
      <c r="BG152" s="20">
        <f t="shared" si="146"/>
        <v>0</v>
      </c>
      <c r="BH152" s="116">
        <f t="shared" si="146"/>
        <v>0</v>
      </c>
    </row>
    <row r="153" spans="1:60" ht="15" x14ac:dyDescent="0.25">
      <c r="A153" s="66" t="str">
        <f>IF(LARGE($A$11:A152,1)=$F$2,"",A152+1)</f>
        <v/>
      </c>
      <c r="B153" s="27" t="str">
        <f t="shared" si="106"/>
        <v/>
      </c>
      <c r="C153" s="28" t="str">
        <f t="shared" si="133"/>
        <v/>
      </c>
      <c r="D153" s="28" t="str">
        <f t="shared" si="107"/>
        <v/>
      </c>
      <c r="E153" s="28" t="str">
        <f t="shared" si="108"/>
        <v/>
      </c>
      <c r="F153" s="29" t="str">
        <f t="shared" si="109"/>
        <v/>
      </c>
      <c r="G153" s="29" t="str">
        <f t="shared" si="110"/>
        <v/>
      </c>
      <c r="H153" s="30" t="str">
        <f t="shared" si="111"/>
        <v/>
      </c>
      <c r="I153" s="30" t="str">
        <f t="shared" si="112"/>
        <v/>
      </c>
      <c r="J153" s="30" t="str">
        <f>IF(A153="","",H153+CUSTOS!B153)</f>
        <v/>
      </c>
      <c r="K153" s="30" t="str">
        <f t="shared" si="134"/>
        <v/>
      </c>
      <c r="L153" s="30" t="str">
        <f t="shared" si="135"/>
        <v/>
      </c>
      <c r="M153" s="30" t="str">
        <f t="shared" si="136"/>
        <v/>
      </c>
      <c r="N153" s="30" t="str">
        <f t="shared" si="113"/>
        <v/>
      </c>
      <c r="O153" s="31" t="str">
        <f t="shared" si="137"/>
        <v/>
      </c>
      <c r="P153" s="32"/>
      <c r="Q153" s="33" t="str">
        <f t="shared" si="114"/>
        <v/>
      </c>
      <c r="R153" s="33" t="str">
        <f t="shared" si="115"/>
        <v/>
      </c>
      <c r="S153" s="33" t="str">
        <f t="shared" si="116"/>
        <v/>
      </c>
      <c r="T153" s="33" t="str">
        <f t="shared" si="117"/>
        <v/>
      </c>
      <c r="U153" s="33" t="str">
        <f t="shared" si="118"/>
        <v/>
      </c>
      <c r="V153" s="33" t="str">
        <f t="shared" si="119"/>
        <v/>
      </c>
      <c r="X153" s="33" t="str">
        <f t="shared" si="103"/>
        <v/>
      </c>
      <c r="Y153" s="30" t="str">
        <f t="shared" si="120"/>
        <v/>
      </c>
      <c r="Z153" s="30" t="str">
        <f t="shared" si="121"/>
        <v/>
      </c>
      <c r="AA153" s="30" t="str">
        <f t="shared" si="122"/>
        <v/>
      </c>
      <c r="AB153" s="30" t="str">
        <f t="shared" si="123"/>
        <v/>
      </c>
      <c r="AD153" s="33" t="str">
        <f t="shared" si="124"/>
        <v/>
      </c>
      <c r="AE153" s="30" t="str">
        <f t="shared" si="125"/>
        <v/>
      </c>
      <c r="AF153" s="30" t="str">
        <f t="shared" si="126"/>
        <v/>
      </c>
      <c r="AG153" s="30" t="str">
        <f t="shared" si="127"/>
        <v/>
      </c>
      <c r="AH153" s="30" t="str">
        <f t="shared" si="128"/>
        <v/>
      </c>
      <c r="AJ153" s="85" t="str">
        <f t="shared" si="105"/>
        <v/>
      </c>
      <c r="AK153" s="86" t="str">
        <f t="shared" si="147"/>
        <v/>
      </c>
      <c r="AL153" s="86" t="str">
        <f t="shared" si="148"/>
        <v/>
      </c>
      <c r="AM153" s="86" t="str">
        <f t="shared" si="149"/>
        <v/>
      </c>
      <c r="AN153" s="86" t="str">
        <f t="shared" si="150"/>
        <v/>
      </c>
      <c r="AO153" s="86" t="str">
        <f t="shared" si="151"/>
        <v/>
      </c>
      <c r="AQ153" s="33" t="str">
        <f t="shared" si="129"/>
        <v/>
      </c>
      <c r="AR153" s="30" t="str">
        <f t="shared" si="130"/>
        <v/>
      </c>
      <c r="AU153" s="20">
        <f t="shared" si="131"/>
        <v>0</v>
      </c>
      <c r="AV153" s="20">
        <f t="shared" si="132"/>
        <v>0</v>
      </c>
      <c r="AW153" s="19">
        <f t="shared" si="138"/>
        <v>0</v>
      </c>
      <c r="AX153" s="19">
        <f t="shared" si="139"/>
        <v>0</v>
      </c>
      <c r="AY153" s="19">
        <f t="shared" si="140"/>
        <v>0</v>
      </c>
      <c r="AZ153" s="19">
        <f t="shared" si="141"/>
        <v>0</v>
      </c>
      <c r="BA153" s="19">
        <f t="shared" si="142"/>
        <v>0</v>
      </c>
      <c r="BB153" s="19">
        <f t="shared" si="143"/>
        <v>0</v>
      </c>
      <c r="BC153" s="19">
        <f t="shared" si="144"/>
        <v>0</v>
      </c>
      <c r="BD153" s="19">
        <f>-IF(CUSTOS!B153="",0,CUSTOS!B153)</f>
        <v>0</v>
      </c>
      <c r="BF153" s="20">
        <f t="shared" si="145"/>
        <v>0</v>
      </c>
      <c r="BG153" s="20">
        <f t="shared" si="146"/>
        <v>0</v>
      </c>
      <c r="BH153" s="116">
        <f t="shared" si="146"/>
        <v>0</v>
      </c>
    </row>
    <row r="154" spans="1:60" ht="15" x14ac:dyDescent="0.25">
      <c r="A154" s="66" t="str">
        <f>IF(LARGE($A$11:A153,1)=$F$2,"",A153+1)</f>
        <v/>
      </c>
      <c r="B154" s="27" t="str">
        <f t="shared" si="106"/>
        <v/>
      </c>
      <c r="C154" s="28" t="str">
        <f t="shared" si="133"/>
        <v/>
      </c>
      <c r="D154" s="28" t="str">
        <f t="shared" si="107"/>
        <v/>
      </c>
      <c r="E154" s="28" t="str">
        <f t="shared" si="108"/>
        <v/>
      </c>
      <c r="F154" s="29" t="str">
        <f t="shared" si="109"/>
        <v/>
      </c>
      <c r="G154" s="29" t="str">
        <f t="shared" si="110"/>
        <v/>
      </c>
      <c r="H154" s="30" t="str">
        <f t="shared" si="111"/>
        <v/>
      </c>
      <c r="I154" s="30" t="str">
        <f t="shared" si="112"/>
        <v/>
      </c>
      <c r="J154" s="30" t="str">
        <f>IF(A154="","",H154+CUSTOS!B154)</f>
        <v/>
      </c>
      <c r="K154" s="30" t="str">
        <f t="shared" si="134"/>
        <v/>
      </c>
      <c r="L154" s="30" t="str">
        <f t="shared" si="135"/>
        <v/>
      </c>
      <c r="M154" s="30" t="str">
        <f t="shared" si="136"/>
        <v/>
      </c>
      <c r="N154" s="30" t="str">
        <f t="shared" si="113"/>
        <v/>
      </c>
      <c r="O154" s="31" t="str">
        <f t="shared" si="137"/>
        <v/>
      </c>
      <c r="P154" s="32"/>
      <c r="Q154" s="33" t="str">
        <f t="shared" si="114"/>
        <v/>
      </c>
      <c r="R154" s="33" t="str">
        <f t="shared" si="115"/>
        <v/>
      </c>
      <c r="S154" s="33" t="str">
        <f t="shared" si="116"/>
        <v/>
      </c>
      <c r="T154" s="33" t="str">
        <f t="shared" si="117"/>
        <v/>
      </c>
      <c r="U154" s="33" t="str">
        <f t="shared" si="118"/>
        <v/>
      </c>
      <c r="V154" s="33" t="str">
        <f t="shared" si="119"/>
        <v/>
      </c>
      <c r="X154" s="33" t="str">
        <f t="shared" si="103"/>
        <v/>
      </c>
      <c r="Y154" s="30" t="str">
        <f t="shared" si="120"/>
        <v/>
      </c>
      <c r="Z154" s="30" t="str">
        <f t="shared" si="121"/>
        <v/>
      </c>
      <c r="AA154" s="30" t="str">
        <f t="shared" si="122"/>
        <v/>
      </c>
      <c r="AB154" s="30" t="str">
        <f t="shared" si="123"/>
        <v/>
      </c>
      <c r="AD154" s="33" t="str">
        <f t="shared" si="124"/>
        <v/>
      </c>
      <c r="AE154" s="30" t="str">
        <f t="shared" si="125"/>
        <v/>
      </c>
      <c r="AF154" s="30" t="str">
        <f t="shared" si="126"/>
        <v/>
      </c>
      <c r="AG154" s="30" t="str">
        <f t="shared" si="127"/>
        <v/>
      </c>
      <c r="AH154" s="30" t="str">
        <f t="shared" si="128"/>
        <v/>
      </c>
      <c r="AJ154" s="85" t="str">
        <f t="shared" si="105"/>
        <v/>
      </c>
      <c r="AK154" s="86" t="str">
        <f t="shared" si="147"/>
        <v/>
      </c>
      <c r="AL154" s="86" t="str">
        <f t="shared" si="148"/>
        <v/>
      </c>
      <c r="AM154" s="86" t="str">
        <f t="shared" si="149"/>
        <v/>
      </c>
      <c r="AN154" s="86" t="str">
        <f t="shared" si="150"/>
        <v/>
      </c>
      <c r="AO154" s="86" t="str">
        <f t="shared" si="151"/>
        <v/>
      </c>
      <c r="AQ154" s="33" t="str">
        <f t="shared" si="129"/>
        <v/>
      </c>
      <c r="AR154" s="30" t="str">
        <f t="shared" si="130"/>
        <v/>
      </c>
      <c r="AU154" s="20">
        <f t="shared" si="131"/>
        <v>0</v>
      </c>
      <c r="AV154" s="20">
        <f t="shared" si="132"/>
        <v>0</v>
      </c>
      <c r="AW154" s="19">
        <f t="shared" si="138"/>
        <v>0</v>
      </c>
      <c r="AX154" s="19">
        <f t="shared" si="139"/>
        <v>0</v>
      </c>
      <c r="AY154" s="19">
        <f t="shared" si="140"/>
        <v>0</v>
      </c>
      <c r="AZ154" s="19">
        <f t="shared" si="141"/>
        <v>0</v>
      </c>
      <c r="BA154" s="19">
        <f t="shared" si="142"/>
        <v>0</v>
      </c>
      <c r="BB154" s="19">
        <f t="shared" si="143"/>
        <v>0</v>
      </c>
      <c r="BC154" s="19">
        <f t="shared" si="144"/>
        <v>0</v>
      </c>
      <c r="BD154" s="19">
        <f>-IF(CUSTOS!B154="",0,CUSTOS!B154)</f>
        <v>0</v>
      </c>
      <c r="BF154" s="20">
        <f t="shared" si="145"/>
        <v>0</v>
      </c>
      <c r="BG154" s="20">
        <f t="shared" si="146"/>
        <v>0</v>
      </c>
      <c r="BH154" s="116">
        <f t="shared" si="146"/>
        <v>0</v>
      </c>
    </row>
    <row r="155" spans="1:60" ht="15" x14ac:dyDescent="0.25">
      <c r="A155" s="66" t="str">
        <f>IF(LARGE($A$11:A154,1)=$F$2,"",A154+1)</f>
        <v/>
      </c>
      <c r="B155" s="27" t="str">
        <f t="shared" si="106"/>
        <v/>
      </c>
      <c r="C155" s="28" t="str">
        <f t="shared" si="133"/>
        <v/>
      </c>
      <c r="D155" s="28" t="str">
        <f t="shared" si="107"/>
        <v/>
      </c>
      <c r="E155" s="28" t="str">
        <f t="shared" si="108"/>
        <v/>
      </c>
      <c r="F155" s="29" t="str">
        <f t="shared" si="109"/>
        <v/>
      </c>
      <c r="G155" s="29" t="str">
        <f t="shared" si="110"/>
        <v/>
      </c>
      <c r="H155" s="30" t="str">
        <f t="shared" si="111"/>
        <v/>
      </c>
      <c r="I155" s="30" t="str">
        <f t="shared" si="112"/>
        <v/>
      </c>
      <c r="J155" s="30" t="str">
        <f>IF(A155="","",H155+CUSTOS!B155)</f>
        <v/>
      </c>
      <c r="K155" s="30" t="str">
        <f t="shared" si="134"/>
        <v/>
      </c>
      <c r="L155" s="30" t="str">
        <f t="shared" si="135"/>
        <v/>
      </c>
      <c r="M155" s="30" t="str">
        <f t="shared" si="136"/>
        <v/>
      </c>
      <c r="N155" s="30" t="str">
        <f t="shared" si="113"/>
        <v/>
      </c>
      <c r="O155" s="31" t="str">
        <f t="shared" si="137"/>
        <v/>
      </c>
      <c r="P155" s="32"/>
      <c r="Q155" s="33" t="str">
        <f t="shared" si="114"/>
        <v/>
      </c>
      <c r="R155" s="33" t="str">
        <f t="shared" si="115"/>
        <v/>
      </c>
      <c r="S155" s="33" t="str">
        <f t="shared" si="116"/>
        <v/>
      </c>
      <c r="T155" s="33" t="str">
        <f t="shared" si="117"/>
        <v/>
      </c>
      <c r="U155" s="33" t="str">
        <f t="shared" si="118"/>
        <v/>
      </c>
      <c r="V155" s="33" t="str">
        <f t="shared" si="119"/>
        <v/>
      </c>
      <c r="X155" s="33" t="str">
        <f t="shared" si="103"/>
        <v/>
      </c>
      <c r="Y155" s="30" t="str">
        <f t="shared" si="120"/>
        <v/>
      </c>
      <c r="Z155" s="30" t="str">
        <f t="shared" si="121"/>
        <v/>
      </c>
      <c r="AA155" s="30" t="str">
        <f t="shared" si="122"/>
        <v/>
      </c>
      <c r="AB155" s="30" t="str">
        <f t="shared" si="123"/>
        <v/>
      </c>
      <c r="AD155" s="33" t="str">
        <f t="shared" si="124"/>
        <v/>
      </c>
      <c r="AE155" s="30" t="str">
        <f t="shared" si="125"/>
        <v/>
      </c>
      <c r="AF155" s="30" t="str">
        <f t="shared" si="126"/>
        <v/>
      </c>
      <c r="AG155" s="30" t="str">
        <f t="shared" si="127"/>
        <v/>
      </c>
      <c r="AH155" s="30" t="str">
        <f t="shared" si="128"/>
        <v/>
      </c>
      <c r="AJ155" s="85" t="str">
        <f t="shared" si="105"/>
        <v/>
      </c>
      <c r="AK155" s="86" t="str">
        <f t="shared" si="147"/>
        <v/>
      </c>
      <c r="AL155" s="86" t="str">
        <f t="shared" si="148"/>
        <v/>
      </c>
      <c r="AM155" s="86" t="str">
        <f t="shared" si="149"/>
        <v/>
      </c>
      <c r="AN155" s="86" t="str">
        <f t="shared" si="150"/>
        <v/>
      </c>
      <c r="AO155" s="86" t="str">
        <f t="shared" si="151"/>
        <v/>
      </c>
      <c r="AQ155" s="33" t="str">
        <f t="shared" si="129"/>
        <v/>
      </c>
      <c r="AR155" s="30" t="str">
        <f t="shared" si="130"/>
        <v/>
      </c>
      <c r="AU155" s="20">
        <f t="shared" si="131"/>
        <v>0</v>
      </c>
      <c r="AV155" s="20">
        <f t="shared" si="132"/>
        <v>0</v>
      </c>
      <c r="AW155" s="19">
        <f t="shared" si="138"/>
        <v>0</v>
      </c>
      <c r="AX155" s="19">
        <f t="shared" si="139"/>
        <v>0</v>
      </c>
      <c r="AY155" s="19">
        <f t="shared" si="140"/>
        <v>0</v>
      </c>
      <c r="AZ155" s="19">
        <f t="shared" si="141"/>
        <v>0</v>
      </c>
      <c r="BA155" s="19">
        <f t="shared" si="142"/>
        <v>0</v>
      </c>
      <c r="BB155" s="19">
        <f t="shared" si="143"/>
        <v>0</v>
      </c>
      <c r="BC155" s="19">
        <f t="shared" si="144"/>
        <v>0</v>
      </c>
      <c r="BD155" s="19">
        <f>-IF(CUSTOS!B155="",0,CUSTOS!B155)</f>
        <v>0</v>
      </c>
      <c r="BF155" s="20">
        <f t="shared" si="145"/>
        <v>0</v>
      </c>
      <c r="BG155" s="20">
        <f t="shared" si="146"/>
        <v>0</v>
      </c>
      <c r="BH155" s="116">
        <f t="shared" si="146"/>
        <v>0</v>
      </c>
    </row>
    <row r="156" spans="1:60" ht="15" x14ac:dyDescent="0.25">
      <c r="A156" s="66" t="str">
        <f>IF(LARGE($A$11:A155,1)=$F$2,"",A155+1)</f>
        <v/>
      </c>
      <c r="B156" s="27" t="str">
        <f t="shared" si="106"/>
        <v/>
      </c>
      <c r="C156" s="28" t="str">
        <f t="shared" si="133"/>
        <v/>
      </c>
      <c r="D156" s="28" t="str">
        <f t="shared" si="107"/>
        <v/>
      </c>
      <c r="E156" s="28" t="str">
        <f t="shared" si="108"/>
        <v/>
      </c>
      <c r="F156" s="29" t="str">
        <f t="shared" si="109"/>
        <v/>
      </c>
      <c r="G156" s="29" t="str">
        <f t="shared" si="110"/>
        <v/>
      </c>
      <c r="H156" s="30" t="str">
        <f t="shared" si="111"/>
        <v/>
      </c>
      <c r="I156" s="30" t="str">
        <f t="shared" si="112"/>
        <v/>
      </c>
      <c r="J156" s="30" t="str">
        <f>IF(A156="","",H156+CUSTOS!B156)</f>
        <v/>
      </c>
      <c r="K156" s="30" t="str">
        <f t="shared" si="134"/>
        <v/>
      </c>
      <c r="L156" s="30" t="str">
        <f t="shared" si="135"/>
        <v/>
      </c>
      <c r="M156" s="30" t="str">
        <f t="shared" si="136"/>
        <v/>
      </c>
      <c r="N156" s="30" t="str">
        <f t="shared" si="113"/>
        <v/>
      </c>
      <c r="O156" s="31" t="str">
        <f t="shared" si="137"/>
        <v/>
      </c>
      <c r="P156" s="32"/>
      <c r="Q156" s="33" t="str">
        <f t="shared" si="114"/>
        <v/>
      </c>
      <c r="R156" s="33" t="str">
        <f t="shared" si="115"/>
        <v/>
      </c>
      <c r="S156" s="33" t="str">
        <f t="shared" si="116"/>
        <v/>
      </c>
      <c r="T156" s="33" t="str">
        <f t="shared" si="117"/>
        <v/>
      </c>
      <c r="U156" s="33" t="str">
        <f t="shared" si="118"/>
        <v/>
      </c>
      <c r="V156" s="33" t="str">
        <f t="shared" si="119"/>
        <v/>
      </c>
      <c r="X156" s="33" t="str">
        <f t="shared" si="103"/>
        <v/>
      </c>
      <c r="Y156" s="30" t="str">
        <f t="shared" si="120"/>
        <v/>
      </c>
      <c r="Z156" s="30" t="str">
        <f t="shared" si="121"/>
        <v/>
      </c>
      <c r="AA156" s="30" t="str">
        <f t="shared" si="122"/>
        <v/>
      </c>
      <c r="AB156" s="30" t="str">
        <f t="shared" si="123"/>
        <v/>
      </c>
      <c r="AD156" s="33" t="str">
        <f t="shared" si="124"/>
        <v/>
      </c>
      <c r="AE156" s="30" t="str">
        <f t="shared" si="125"/>
        <v/>
      </c>
      <c r="AF156" s="30" t="str">
        <f t="shared" si="126"/>
        <v/>
      </c>
      <c r="AG156" s="30" t="str">
        <f t="shared" si="127"/>
        <v/>
      </c>
      <c r="AH156" s="30" t="str">
        <f t="shared" si="128"/>
        <v/>
      </c>
      <c r="AJ156" s="85" t="str">
        <f t="shared" si="105"/>
        <v/>
      </c>
      <c r="AK156" s="86" t="str">
        <f t="shared" si="147"/>
        <v/>
      </c>
      <c r="AL156" s="86" t="str">
        <f t="shared" si="148"/>
        <v/>
      </c>
      <c r="AM156" s="86" t="str">
        <f t="shared" si="149"/>
        <v/>
      </c>
      <c r="AN156" s="86" t="str">
        <f t="shared" si="150"/>
        <v/>
      </c>
      <c r="AO156" s="86" t="str">
        <f t="shared" si="151"/>
        <v/>
      </c>
      <c r="AQ156" s="33" t="str">
        <f t="shared" si="129"/>
        <v/>
      </c>
      <c r="AR156" s="30" t="str">
        <f t="shared" si="130"/>
        <v/>
      </c>
      <c r="AU156" s="20">
        <f t="shared" si="131"/>
        <v>0</v>
      </c>
      <c r="AV156" s="20">
        <f t="shared" si="132"/>
        <v>0</v>
      </c>
      <c r="AW156" s="19">
        <f t="shared" si="138"/>
        <v>0</v>
      </c>
      <c r="AX156" s="19">
        <f t="shared" si="139"/>
        <v>0</v>
      </c>
      <c r="AY156" s="19">
        <f t="shared" si="140"/>
        <v>0</v>
      </c>
      <c r="AZ156" s="19">
        <f t="shared" si="141"/>
        <v>0</v>
      </c>
      <c r="BA156" s="19">
        <f t="shared" si="142"/>
        <v>0</v>
      </c>
      <c r="BB156" s="19">
        <f t="shared" si="143"/>
        <v>0</v>
      </c>
      <c r="BC156" s="19">
        <f t="shared" si="144"/>
        <v>0</v>
      </c>
      <c r="BD156" s="19">
        <f>-IF(CUSTOS!B156="",0,CUSTOS!B156)</f>
        <v>0</v>
      </c>
      <c r="BF156" s="20">
        <f t="shared" si="145"/>
        <v>0</v>
      </c>
      <c r="BG156" s="20">
        <f t="shared" si="146"/>
        <v>0</v>
      </c>
      <c r="BH156" s="116">
        <f t="shared" si="146"/>
        <v>0</v>
      </c>
    </row>
    <row r="157" spans="1:60" ht="15" x14ac:dyDescent="0.25">
      <c r="A157" s="66" t="str">
        <f>IF(LARGE($A$11:A156,1)=$F$2,"",A156+1)</f>
        <v/>
      </c>
      <c r="B157" s="27" t="str">
        <f t="shared" si="106"/>
        <v/>
      </c>
      <c r="C157" s="28" t="str">
        <f t="shared" si="133"/>
        <v/>
      </c>
      <c r="D157" s="28" t="str">
        <f t="shared" si="107"/>
        <v/>
      </c>
      <c r="E157" s="28" t="str">
        <f t="shared" si="108"/>
        <v/>
      </c>
      <c r="F157" s="29" t="str">
        <f t="shared" si="109"/>
        <v/>
      </c>
      <c r="G157" s="29" t="str">
        <f t="shared" si="110"/>
        <v/>
      </c>
      <c r="H157" s="30" t="str">
        <f t="shared" si="111"/>
        <v/>
      </c>
      <c r="I157" s="30" t="str">
        <f t="shared" si="112"/>
        <v/>
      </c>
      <c r="J157" s="30" t="str">
        <f>IF(A157="","",H157+CUSTOS!B157)</f>
        <v/>
      </c>
      <c r="K157" s="30" t="str">
        <f t="shared" si="134"/>
        <v/>
      </c>
      <c r="L157" s="30" t="str">
        <f t="shared" si="135"/>
        <v/>
      </c>
      <c r="M157" s="30" t="str">
        <f t="shared" si="136"/>
        <v/>
      </c>
      <c r="N157" s="30" t="str">
        <f t="shared" si="113"/>
        <v/>
      </c>
      <c r="O157" s="31" t="str">
        <f t="shared" si="137"/>
        <v/>
      </c>
      <c r="P157" s="32"/>
      <c r="Q157" s="33" t="str">
        <f t="shared" si="114"/>
        <v/>
      </c>
      <c r="R157" s="33" t="str">
        <f t="shared" si="115"/>
        <v/>
      </c>
      <c r="S157" s="33" t="str">
        <f t="shared" si="116"/>
        <v/>
      </c>
      <c r="T157" s="33" t="str">
        <f t="shared" si="117"/>
        <v/>
      </c>
      <c r="U157" s="33" t="str">
        <f t="shared" si="118"/>
        <v/>
      </c>
      <c r="V157" s="33" t="str">
        <f t="shared" si="119"/>
        <v/>
      </c>
      <c r="X157" s="33" t="str">
        <f t="shared" si="103"/>
        <v/>
      </c>
      <c r="Y157" s="30" t="str">
        <f t="shared" si="120"/>
        <v/>
      </c>
      <c r="Z157" s="30" t="str">
        <f t="shared" si="121"/>
        <v/>
      </c>
      <c r="AA157" s="30" t="str">
        <f t="shared" si="122"/>
        <v/>
      </c>
      <c r="AB157" s="30" t="str">
        <f t="shared" si="123"/>
        <v/>
      </c>
      <c r="AD157" s="33" t="str">
        <f t="shared" si="124"/>
        <v/>
      </c>
      <c r="AE157" s="30" t="str">
        <f t="shared" si="125"/>
        <v/>
      </c>
      <c r="AF157" s="30" t="str">
        <f t="shared" si="126"/>
        <v/>
      </c>
      <c r="AG157" s="30" t="str">
        <f t="shared" si="127"/>
        <v/>
      </c>
      <c r="AH157" s="30" t="str">
        <f t="shared" si="128"/>
        <v/>
      </c>
      <c r="AJ157" s="85" t="str">
        <f t="shared" si="105"/>
        <v/>
      </c>
      <c r="AK157" s="86" t="str">
        <f t="shared" si="147"/>
        <v/>
      </c>
      <c r="AL157" s="86" t="str">
        <f t="shared" si="148"/>
        <v/>
      </c>
      <c r="AM157" s="86" t="str">
        <f t="shared" si="149"/>
        <v/>
      </c>
      <c r="AN157" s="86" t="str">
        <f t="shared" si="150"/>
        <v/>
      </c>
      <c r="AO157" s="86" t="str">
        <f t="shared" si="151"/>
        <v/>
      </c>
      <c r="AQ157" s="33" t="str">
        <f t="shared" si="129"/>
        <v/>
      </c>
      <c r="AR157" s="30" t="str">
        <f t="shared" si="130"/>
        <v/>
      </c>
      <c r="AU157" s="20">
        <f t="shared" si="131"/>
        <v>0</v>
      </c>
      <c r="AV157" s="20">
        <f t="shared" si="132"/>
        <v>0</v>
      </c>
      <c r="AW157" s="19">
        <f t="shared" si="138"/>
        <v>0</v>
      </c>
      <c r="AX157" s="19">
        <f t="shared" si="139"/>
        <v>0</v>
      </c>
      <c r="AY157" s="19">
        <f t="shared" si="140"/>
        <v>0</v>
      </c>
      <c r="AZ157" s="19">
        <f t="shared" si="141"/>
        <v>0</v>
      </c>
      <c r="BA157" s="19">
        <f t="shared" si="142"/>
        <v>0</v>
      </c>
      <c r="BB157" s="19">
        <f t="shared" si="143"/>
        <v>0</v>
      </c>
      <c r="BC157" s="19">
        <f t="shared" si="144"/>
        <v>0</v>
      </c>
      <c r="BD157" s="19">
        <f>-IF(CUSTOS!B157="",0,CUSTOS!B157)</f>
        <v>0</v>
      </c>
      <c r="BF157" s="20">
        <f t="shared" si="145"/>
        <v>0</v>
      </c>
      <c r="BG157" s="20">
        <f t="shared" si="146"/>
        <v>0</v>
      </c>
      <c r="BH157" s="116">
        <f t="shared" si="146"/>
        <v>0</v>
      </c>
    </row>
    <row r="158" spans="1:60" ht="15" x14ac:dyDescent="0.25">
      <c r="A158" s="66" t="str">
        <f>IF(LARGE($A$11:A157,1)=$F$2,"",A157+1)</f>
        <v/>
      </c>
      <c r="B158" s="27" t="str">
        <f t="shared" si="106"/>
        <v/>
      </c>
      <c r="C158" s="28" t="str">
        <f t="shared" si="133"/>
        <v/>
      </c>
      <c r="D158" s="28" t="str">
        <f t="shared" si="107"/>
        <v/>
      </c>
      <c r="E158" s="28" t="str">
        <f t="shared" si="108"/>
        <v/>
      </c>
      <c r="F158" s="29" t="str">
        <f t="shared" si="109"/>
        <v/>
      </c>
      <c r="G158" s="29" t="str">
        <f t="shared" si="110"/>
        <v/>
      </c>
      <c r="H158" s="30" t="str">
        <f t="shared" si="111"/>
        <v/>
      </c>
      <c r="I158" s="30" t="str">
        <f t="shared" si="112"/>
        <v/>
      </c>
      <c r="J158" s="30" t="str">
        <f>IF(A158="","",H158+CUSTOS!B158)</f>
        <v/>
      </c>
      <c r="K158" s="30" t="str">
        <f t="shared" si="134"/>
        <v/>
      </c>
      <c r="L158" s="30" t="str">
        <f t="shared" si="135"/>
        <v/>
      </c>
      <c r="M158" s="30" t="str">
        <f t="shared" si="136"/>
        <v/>
      </c>
      <c r="N158" s="30" t="str">
        <f t="shared" si="113"/>
        <v/>
      </c>
      <c r="O158" s="31" t="str">
        <f t="shared" si="137"/>
        <v/>
      </c>
      <c r="P158" s="32"/>
      <c r="Q158" s="33" t="str">
        <f t="shared" si="114"/>
        <v/>
      </c>
      <c r="R158" s="33" t="str">
        <f t="shared" si="115"/>
        <v/>
      </c>
      <c r="S158" s="33" t="str">
        <f t="shared" si="116"/>
        <v/>
      </c>
      <c r="T158" s="33" t="str">
        <f t="shared" si="117"/>
        <v/>
      </c>
      <c r="U158" s="33" t="str">
        <f t="shared" si="118"/>
        <v/>
      </c>
      <c r="V158" s="33" t="str">
        <f t="shared" si="119"/>
        <v/>
      </c>
      <c r="X158" s="33" t="str">
        <f t="shared" si="103"/>
        <v/>
      </c>
      <c r="Y158" s="30" t="str">
        <f t="shared" si="120"/>
        <v/>
      </c>
      <c r="Z158" s="30" t="str">
        <f t="shared" si="121"/>
        <v/>
      </c>
      <c r="AA158" s="30" t="str">
        <f t="shared" si="122"/>
        <v/>
      </c>
      <c r="AB158" s="30" t="str">
        <f t="shared" si="123"/>
        <v/>
      </c>
      <c r="AD158" s="33" t="str">
        <f t="shared" si="124"/>
        <v/>
      </c>
      <c r="AE158" s="30" t="str">
        <f t="shared" si="125"/>
        <v/>
      </c>
      <c r="AF158" s="30" t="str">
        <f t="shared" si="126"/>
        <v/>
      </c>
      <c r="AG158" s="30" t="str">
        <f t="shared" si="127"/>
        <v/>
      </c>
      <c r="AH158" s="30" t="str">
        <f t="shared" si="128"/>
        <v/>
      </c>
      <c r="AJ158" s="85" t="str">
        <f t="shared" si="105"/>
        <v/>
      </c>
      <c r="AK158" s="86" t="str">
        <f t="shared" si="147"/>
        <v/>
      </c>
      <c r="AL158" s="86" t="str">
        <f t="shared" si="148"/>
        <v/>
      </c>
      <c r="AM158" s="86" t="str">
        <f t="shared" si="149"/>
        <v/>
      </c>
      <c r="AN158" s="86" t="str">
        <f t="shared" si="150"/>
        <v/>
      </c>
      <c r="AO158" s="86" t="str">
        <f t="shared" si="151"/>
        <v/>
      </c>
      <c r="AQ158" s="33" t="str">
        <f t="shared" si="129"/>
        <v/>
      </c>
      <c r="AR158" s="30" t="str">
        <f t="shared" si="130"/>
        <v/>
      </c>
      <c r="AU158" s="20">
        <f t="shared" si="131"/>
        <v>0</v>
      </c>
      <c r="AV158" s="20">
        <f t="shared" si="132"/>
        <v>0</v>
      </c>
      <c r="AW158" s="19">
        <f t="shared" si="138"/>
        <v>0</v>
      </c>
      <c r="AX158" s="19">
        <f t="shared" si="139"/>
        <v>0</v>
      </c>
      <c r="AY158" s="19">
        <f t="shared" si="140"/>
        <v>0</v>
      </c>
      <c r="AZ158" s="19">
        <f t="shared" si="141"/>
        <v>0</v>
      </c>
      <c r="BA158" s="19">
        <f t="shared" si="142"/>
        <v>0</v>
      </c>
      <c r="BB158" s="19">
        <f t="shared" si="143"/>
        <v>0</v>
      </c>
      <c r="BC158" s="19">
        <f t="shared" si="144"/>
        <v>0</v>
      </c>
      <c r="BD158" s="19">
        <f>-IF(CUSTOS!B158="",0,CUSTOS!B158)</f>
        <v>0</v>
      </c>
      <c r="BF158" s="20">
        <f t="shared" si="145"/>
        <v>0</v>
      </c>
      <c r="BG158" s="20">
        <f t="shared" si="146"/>
        <v>0</v>
      </c>
      <c r="BH158" s="116">
        <f t="shared" si="146"/>
        <v>0</v>
      </c>
    </row>
    <row r="159" spans="1:60" ht="15" x14ac:dyDescent="0.25">
      <c r="A159" s="66" t="str">
        <f>IF(LARGE($A$11:A158,1)=$F$2,"",A158+1)</f>
        <v/>
      </c>
      <c r="B159" s="27" t="str">
        <f t="shared" si="106"/>
        <v/>
      </c>
      <c r="C159" s="28" t="str">
        <f t="shared" si="133"/>
        <v/>
      </c>
      <c r="D159" s="28" t="str">
        <f t="shared" si="107"/>
        <v/>
      </c>
      <c r="E159" s="28" t="str">
        <f t="shared" si="108"/>
        <v/>
      </c>
      <c r="F159" s="29" t="str">
        <f t="shared" si="109"/>
        <v/>
      </c>
      <c r="G159" s="29" t="str">
        <f t="shared" si="110"/>
        <v/>
      </c>
      <c r="H159" s="30" t="str">
        <f t="shared" si="111"/>
        <v/>
      </c>
      <c r="I159" s="30" t="str">
        <f t="shared" si="112"/>
        <v/>
      </c>
      <c r="J159" s="30" t="str">
        <f>IF(A159="","",H159+CUSTOS!B159)</f>
        <v/>
      </c>
      <c r="K159" s="30" t="str">
        <f t="shared" si="134"/>
        <v/>
      </c>
      <c r="L159" s="30" t="str">
        <f t="shared" si="135"/>
        <v/>
      </c>
      <c r="M159" s="30" t="str">
        <f t="shared" si="136"/>
        <v/>
      </c>
      <c r="N159" s="30" t="str">
        <f t="shared" si="113"/>
        <v/>
      </c>
      <c r="O159" s="31" t="str">
        <f t="shared" si="137"/>
        <v/>
      </c>
      <c r="P159" s="32"/>
      <c r="Q159" s="33" t="str">
        <f t="shared" si="114"/>
        <v/>
      </c>
      <c r="R159" s="33" t="str">
        <f t="shared" si="115"/>
        <v/>
      </c>
      <c r="S159" s="33" t="str">
        <f t="shared" si="116"/>
        <v/>
      </c>
      <c r="T159" s="33" t="str">
        <f t="shared" si="117"/>
        <v/>
      </c>
      <c r="U159" s="33" t="str">
        <f t="shared" si="118"/>
        <v/>
      </c>
      <c r="V159" s="33" t="str">
        <f t="shared" si="119"/>
        <v/>
      </c>
      <c r="X159" s="33" t="str">
        <f t="shared" si="103"/>
        <v/>
      </c>
      <c r="Y159" s="30" t="str">
        <f t="shared" si="120"/>
        <v/>
      </c>
      <c r="Z159" s="30" t="str">
        <f t="shared" si="121"/>
        <v/>
      </c>
      <c r="AA159" s="30" t="str">
        <f t="shared" si="122"/>
        <v/>
      </c>
      <c r="AB159" s="30" t="str">
        <f t="shared" si="123"/>
        <v/>
      </c>
      <c r="AD159" s="33" t="str">
        <f t="shared" si="124"/>
        <v/>
      </c>
      <c r="AE159" s="30" t="str">
        <f t="shared" si="125"/>
        <v/>
      </c>
      <c r="AF159" s="30" t="str">
        <f t="shared" si="126"/>
        <v/>
      </c>
      <c r="AG159" s="30" t="str">
        <f t="shared" si="127"/>
        <v/>
      </c>
      <c r="AH159" s="30" t="str">
        <f t="shared" si="128"/>
        <v/>
      </c>
      <c r="AJ159" s="85" t="str">
        <f t="shared" si="105"/>
        <v/>
      </c>
      <c r="AK159" s="86" t="str">
        <f t="shared" si="147"/>
        <v/>
      </c>
      <c r="AL159" s="86" t="str">
        <f t="shared" si="148"/>
        <v/>
      </c>
      <c r="AM159" s="86" t="str">
        <f t="shared" si="149"/>
        <v/>
      </c>
      <c r="AN159" s="86" t="str">
        <f t="shared" si="150"/>
        <v/>
      </c>
      <c r="AO159" s="86" t="str">
        <f t="shared" si="151"/>
        <v/>
      </c>
      <c r="AQ159" s="33" t="str">
        <f t="shared" si="129"/>
        <v/>
      </c>
      <c r="AR159" s="30" t="str">
        <f t="shared" si="130"/>
        <v/>
      </c>
      <c r="AU159" s="20">
        <f t="shared" si="131"/>
        <v>0</v>
      </c>
      <c r="AV159" s="20">
        <f t="shared" si="132"/>
        <v>0</v>
      </c>
      <c r="AW159" s="19">
        <f t="shared" si="138"/>
        <v>0</v>
      </c>
      <c r="AX159" s="19">
        <f t="shared" si="139"/>
        <v>0</v>
      </c>
      <c r="AY159" s="19">
        <f t="shared" si="140"/>
        <v>0</v>
      </c>
      <c r="AZ159" s="19">
        <f t="shared" si="141"/>
        <v>0</v>
      </c>
      <c r="BA159" s="19">
        <f t="shared" si="142"/>
        <v>0</v>
      </c>
      <c r="BB159" s="19">
        <f t="shared" si="143"/>
        <v>0</v>
      </c>
      <c r="BC159" s="19">
        <f t="shared" si="144"/>
        <v>0</v>
      </c>
      <c r="BD159" s="19">
        <f>-IF(CUSTOS!B159="",0,CUSTOS!B159)</f>
        <v>0</v>
      </c>
      <c r="BF159" s="20">
        <f t="shared" si="145"/>
        <v>0</v>
      </c>
      <c r="BG159" s="20">
        <f t="shared" si="146"/>
        <v>0</v>
      </c>
      <c r="BH159" s="116">
        <f t="shared" si="146"/>
        <v>0</v>
      </c>
    </row>
    <row r="160" spans="1:60" ht="15" x14ac:dyDescent="0.25">
      <c r="A160" s="66" t="str">
        <f>IF(LARGE($A$11:A159,1)=$F$2,"",A159+1)</f>
        <v/>
      </c>
      <c r="B160" s="27" t="str">
        <f t="shared" si="106"/>
        <v/>
      </c>
      <c r="C160" s="28" t="str">
        <f t="shared" si="133"/>
        <v/>
      </c>
      <c r="D160" s="28" t="str">
        <f t="shared" si="107"/>
        <v/>
      </c>
      <c r="E160" s="28" t="str">
        <f t="shared" si="108"/>
        <v/>
      </c>
      <c r="F160" s="29" t="str">
        <f t="shared" si="109"/>
        <v/>
      </c>
      <c r="G160" s="29" t="str">
        <f t="shared" si="110"/>
        <v/>
      </c>
      <c r="H160" s="30" t="str">
        <f t="shared" si="111"/>
        <v/>
      </c>
      <c r="I160" s="30" t="str">
        <f t="shared" si="112"/>
        <v/>
      </c>
      <c r="J160" s="30" t="str">
        <f>IF(A160="","",H160+CUSTOS!B160)</f>
        <v/>
      </c>
      <c r="K160" s="30" t="str">
        <f t="shared" si="134"/>
        <v/>
      </c>
      <c r="L160" s="30" t="str">
        <f t="shared" si="135"/>
        <v/>
      </c>
      <c r="M160" s="30" t="str">
        <f t="shared" si="136"/>
        <v/>
      </c>
      <c r="N160" s="30" t="str">
        <f t="shared" si="113"/>
        <v/>
      </c>
      <c r="O160" s="31" t="str">
        <f t="shared" si="137"/>
        <v/>
      </c>
      <c r="P160" s="32"/>
      <c r="Q160" s="33" t="str">
        <f t="shared" si="114"/>
        <v/>
      </c>
      <c r="R160" s="33" t="str">
        <f t="shared" si="115"/>
        <v/>
      </c>
      <c r="S160" s="33" t="str">
        <f t="shared" si="116"/>
        <v/>
      </c>
      <c r="T160" s="33" t="str">
        <f t="shared" si="117"/>
        <v/>
      </c>
      <c r="U160" s="33" t="str">
        <f t="shared" si="118"/>
        <v/>
      </c>
      <c r="V160" s="33" t="str">
        <f t="shared" si="119"/>
        <v/>
      </c>
      <c r="X160" s="33" t="str">
        <f t="shared" si="103"/>
        <v/>
      </c>
      <c r="Y160" s="30" t="str">
        <f t="shared" si="120"/>
        <v/>
      </c>
      <c r="Z160" s="30" t="str">
        <f t="shared" si="121"/>
        <v/>
      </c>
      <c r="AA160" s="30" t="str">
        <f t="shared" si="122"/>
        <v/>
      </c>
      <c r="AB160" s="30" t="str">
        <f t="shared" si="123"/>
        <v/>
      </c>
      <c r="AD160" s="33" t="str">
        <f t="shared" si="124"/>
        <v/>
      </c>
      <c r="AE160" s="30" t="str">
        <f t="shared" si="125"/>
        <v/>
      </c>
      <c r="AF160" s="30" t="str">
        <f t="shared" si="126"/>
        <v/>
      </c>
      <c r="AG160" s="30" t="str">
        <f t="shared" si="127"/>
        <v/>
      </c>
      <c r="AH160" s="30" t="str">
        <f t="shared" si="128"/>
        <v/>
      </c>
      <c r="AJ160" s="85" t="str">
        <f t="shared" si="105"/>
        <v/>
      </c>
      <c r="AK160" s="86" t="str">
        <f t="shared" si="147"/>
        <v/>
      </c>
      <c r="AL160" s="86" t="str">
        <f t="shared" si="148"/>
        <v/>
      </c>
      <c r="AM160" s="86" t="str">
        <f t="shared" si="149"/>
        <v/>
      </c>
      <c r="AN160" s="86" t="str">
        <f t="shared" si="150"/>
        <v/>
      </c>
      <c r="AO160" s="86" t="str">
        <f t="shared" si="151"/>
        <v/>
      </c>
      <c r="AQ160" s="33" t="str">
        <f t="shared" si="129"/>
        <v/>
      </c>
      <c r="AR160" s="30" t="str">
        <f t="shared" si="130"/>
        <v/>
      </c>
      <c r="AU160" s="20">
        <f t="shared" si="131"/>
        <v>0</v>
      </c>
      <c r="AV160" s="20">
        <f t="shared" si="132"/>
        <v>0</v>
      </c>
      <c r="AW160" s="19">
        <f t="shared" si="138"/>
        <v>0</v>
      </c>
      <c r="AX160" s="19">
        <f t="shared" si="139"/>
        <v>0</v>
      </c>
      <c r="AY160" s="19">
        <f t="shared" si="140"/>
        <v>0</v>
      </c>
      <c r="AZ160" s="19">
        <f t="shared" si="141"/>
        <v>0</v>
      </c>
      <c r="BA160" s="19">
        <f t="shared" si="142"/>
        <v>0</v>
      </c>
      <c r="BB160" s="19">
        <f t="shared" si="143"/>
        <v>0</v>
      </c>
      <c r="BC160" s="19">
        <f t="shared" si="144"/>
        <v>0</v>
      </c>
      <c r="BD160" s="19">
        <f>-IF(CUSTOS!B160="",0,CUSTOS!B160)</f>
        <v>0</v>
      </c>
      <c r="BF160" s="20">
        <f t="shared" si="145"/>
        <v>0</v>
      </c>
      <c r="BG160" s="20">
        <f t="shared" si="146"/>
        <v>0</v>
      </c>
      <c r="BH160" s="116">
        <f t="shared" si="146"/>
        <v>0</v>
      </c>
    </row>
    <row r="161" spans="1:60" ht="15" x14ac:dyDescent="0.25">
      <c r="A161" s="66" t="str">
        <f>IF(LARGE($A$11:A160,1)=$F$2,"",A160+1)</f>
        <v/>
      </c>
      <c r="B161" s="27" t="str">
        <f t="shared" si="106"/>
        <v/>
      </c>
      <c r="C161" s="28" t="str">
        <f t="shared" si="133"/>
        <v/>
      </c>
      <c r="D161" s="28" t="str">
        <f t="shared" si="107"/>
        <v/>
      </c>
      <c r="E161" s="28" t="str">
        <f t="shared" si="108"/>
        <v/>
      </c>
      <c r="F161" s="29" t="str">
        <f t="shared" si="109"/>
        <v/>
      </c>
      <c r="G161" s="29" t="str">
        <f t="shared" si="110"/>
        <v/>
      </c>
      <c r="H161" s="30" t="str">
        <f t="shared" si="111"/>
        <v/>
      </c>
      <c r="I161" s="30" t="str">
        <f t="shared" si="112"/>
        <v/>
      </c>
      <c r="J161" s="30" t="str">
        <f>IF(A161="","",H161+CUSTOS!B161)</f>
        <v/>
      </c>
      <c r="K161" s="30" t="str">
        <f t="shared" si="134"/>
        <v/>
      </c>
      <c r="L161" s="30" t="str">
        <f t="shared" si="135"/>
        <v/>
      </c>
      <c r="M161" s="30" t="str">
        <f t="shared" si="136"/>
        <v/>
      </c>
      <c r="N161" s="30" t="str">
        <f t="shared" si="113"/>
        <v/>
      </c>
      <c r="O161" s="31" t="str">
        <f t="shared" si="137"/>
        <v/>
      </c>
      <c r="P161" s="32"/>
      <c r="Q161" s="33" t="str">
        <f t="shared" si="114"/>
        <v/>
      </c>
      <c r="R161" s="33" t="str">
        <f t="shared" si="115"/>
        <v/>
      </c>
      <c r="S161" s="33" t="str">
        <f t="shared" si="116"/>
        <v/>
      </c>
      <c r="T161" s="33" t="str">
        <f t="shared" si="117"/>
        <v/>
      </c>
      <c r="U161" s="33" t="str">
        <f t="shared" si="118"/>
        <v/>
      </c>
      <c r="V161" s="33" t="str">
        <f t="shared" si="119"/>
        <v/>
      </c>
      <c r="X161" s="33" t="str">
        <f t="shared" si="103"/>
        <v/>
      </c>
      <c r="Y161" s="30" t="str">
        <f t="shared" si="120"/>
        <v/>
      </c>
      <c r="Z161" s="30" t="str">
        <f t="shared" si="121"/>
        <v/>
      </c>
      <c r="AA161" s="30" t="str">
        <f t="shared" si="122"/>
        <v/>
      </c>
      <c r="AB161" s="30" t="str">
        <f t="shared" si="123"/>
        <v/>
      </c>
      <c r="AD161" s="33" t="str">
        <f t="shared" si="124"/>
        <v/>
      </c>
      <c r="AE161" s="30" t="str">
        <f t="shared" si="125"/>
        <v/>
      </c>
      <c r="AF161" s="30" t="str">
        <f t="shared" si="126"/>
        <v/>
      </c>
      <c r="AG161" s="30" t="str">
        <f t="shared" si="127"/>
        <v/>
      </c>
      <c r="AH161" s="30" t="str">
        <f t="shared" si="128"/>
        <v/>
      </c>
      <c r="AJ161" s="85" t="str">
        <f t="shared" si="105"/>
        <v/>
      </c>
      <c r="AK161" s="86" t="str">
        <f t="shared" si="147"/>
        <v/>
      </c>
      <c r="AL161" s="86" t="str">
        <f t="shared" si="148"/>
        <v/>
      </c>
      <c r="AM161" s="86" t="str">
        <f t="shared" si="149"/>
        <v/>
      </c>
      <c r="AN161" s="86" t="str">
        <f t="shared" si="150"/>
        <v/>
      </c>
      <c r="AO161" s="86" t="str">
        <f t="shared" si="151"/>
        <v/>
      </c>
      <c r="AQ161" s="33" t="str">
        <f t="shared" si="129"/>
        <v/>
      </c>
      <c r="AR161" s="30" t="str">
        <f t="shared" si="130"/>
        <v/>
      </c>
      <c r="AU161" s="20">
        <f t="shared" si="131"/>
        <v>0</v>
      </c>
      <c r="AV161" s="20">
        <f t="shared" si="132"/>
        <v>0</v>
      </c>
      <c r="AW161" s="19">
        <f t="shared" si="138"/>
        <v>0</v>
      </c>
      <c r="AX161" s="19">
        <f t="shared" si="139"/>
        <v>0</v>
      </c>
      <c r="AY161" s="19">
        <f t="shared" si="140"/>
        <v>0</v>
      </c>
      <c r="AZ161" s="19">
        <f t="shared" si="141"/>
        <v>0</v>
      </c>
      <c r="BA161" s="19">
        <f t="shared" si="142"/>
        <v>0</v>
      </c>
      <c r="BB161" s="19">
        <f t="shared" si="143"/>
        <v>0</v>
      </c>
      <c r="BC161" s="19">
        <f t="shared" si="144"/>
        <v>0</v>
      </c>
      <c r="BD161" s="19">
        <f>-IF(CUSTOS!B161="",0,CUSTOS!B161)</f>
        <v>0</v>
      </c>
      <c r="BF161" s="20">
        <f t="shared" si="145"/>
        <v>0</v>
      </c>
      <c r="BG161" s="20">
        <f t="shared" si="146"/>
        <v>0</v>
      </c>
      <c r="BH161" s="116">
        <f t="shared" si="146"/>
        <v>0</v>
      </c>
    </row>
    <row r="162" spans="1:60" ht="15" x14ac:dyDescent="0.25">
      <c r="A162" s="66" t="str">
        <f>IF(LARGE($A$11:A161,1)=$F$2,"",A161+1)</f>
        <v/>
      </c>
      <c r="B162" s="27" t="str">
        <f t="shared" si="106"/>
        <v/>
      </c>
      <c r="C162" s="28" t="str">
        <f t="shared" si="133"/>
        <v/>
      </c>
      <c r="D162" s="28" t="str">
        <f t="shared" si="107"/>
        <v/>
      </c>
      <c r="E162" s="28" t="str">
        <f t="shared" si="108"/>
        <v/>
      </c>
      <c r="F162" s="29" t="str">
        <f t="shared" si="109"/>
        <v/>
      </c>
      <c r="G162" s="29" t="str">
        <f t="shared" si="110"/>
        <v/>
      </c>
      <c r="H162" s="30" t="str">
        <f t="shared" si="111"/>
        <v/>
      </c>
      <c r="I162" s="30" t="str">
        <f t="shared" si="112"/>
        <v/>
      </c>
      <c r="J162" s="30" t="str">
        <f>IF(A162="","",H162+CUSTOS!B162)</f>
        <v/>
      </c>
      <c r="K162" s="30" t="str">
        <f t="shared" si="134"/>
        <v/>
      </c>
      <c r="L162" s="30" t="str">
        <f t="shared" si="135"/>
        <v/>
      </c>
      <c r="M162" s="30" t="str">
        <f t="shared" si="136"/>
        <v/>
      </c>
      <c r="N162" s="30" t="str">
        <f t="shared" si="113"/>
        <v/>
      </c>
      <c r="O162" s="31" t="str">
        <f t="shared" si="137"/>
        <v/>
      </c>
      <c r="P162" s="32"/>
      <c r="Q162" s="33" t="str">
        <f t="shared" si="114"/>
        <v/>
      </c>
      <c r="R162" s="33" t="str">
        <f t="shared" si="115"/>
        <v/>
      </c>
      <c r="S162" s="33" t="str">
        <f t="shared" si="116"/>
        <v/>
      </c>
      <c r="T162" s="33" t="str">
        <f t="shared" si="117"/>
        <v/>
      </c>
      <c r="U162" s="33" t="str">
        <f t="shared" si="118"/>
        <v/>
      </c>
      <c r="V162" s="33" t="str">
        <f t="shared" si="119"/>
        <v/>
      </c>
      <c r="X162" s="33" t="str">
        <f t="shared" si="103"/>
        <v/>
      </c>
      <c r="Y162" s="30" t="str">
        <f t="shared" si="120"/>
        <v/>
      </c>
      <c r="Z162" s="30" t="str">
        <f t="shared" si="121"/>
        <v/>
      </c>
      <c r="AA162" s="30" t="str">
        <f t="shared" si="122"/>
        <v/>
      </c>
      <c r="AB162" s="30" t="str">
        <f t="shared" si="123"/>
        <v/>
      </c>
      <c r="AD162" s="33" t="str">
        <f t="shared" si="124"/>
        <v/>
      </c>
      <c r="AE162" s="30" t="str">
        <f t="shared" si="125"/>
        <v/>
      </c>
      <c r="AF162" s="30" t="str">
        <f t="shared" si="126"/>
        <v/>
      </c>
      <c r="AG162" s="30" t="str">
        <f t="shared" si="127"/>
        <v/>
      </c>
      <c r="AH162" s="30" t="str">
        <f t="shared" si="128"/>
        <v/>
      </c>
      <c r="AJ162" s="85" t="str">
        <f t="shared" si="105"/>
        <v/>
      </c>
      <c r="AK162" s="86" t="str">
        <f t="shared" si="147"/>
        <v/>
      </c>
      <c r="AL162" s="86" t="str">
        <f t="shared" si="148"/>
        <v/>
      </c>
      <c r="AM162" s="86" t="str">
        <f t="shared" si="149"/>
        <v/>
      </c>
      <c r="AN162" s="86" t="str">
        <f t="shared" si="150"/>
        <v/>
      </c>
      <c r="AO162" s="86" t="str">
        <f t="shared" si="151"/>
        <v/>
      </c>
      <c r="AQ162" s="33" t="str">
        <f t="shared" si="129"/>
        <v/>
      </c>
      <c r="AR162" s="30" t="str">
        <f t="shared" si="130"/>
        <v/>
      </c>
      <c r="AU162" s="20">
        <f t="shared" si="131"/>
        <v>0</v>
      </c>
      <c r="AV162" s="20">
        <f t="shared" si="132"/>
        <v>0</v>
      </c>
      <c r="AW162" s="19">
        <f t="shared" si="138"/>
        <v>0</v>
      </c>
      <c r="AX162" s="19">
        <f t="shared" si="139"/>
        <v>0</v>
      </c>
      <c r="AY162" s="19">
        <f t="shared" si="140"/>
        <v>0</v>
      </c>
      <c r="AZ162" s="19">
        <f t="shared" si="141"/>
        <v>0</v>
      </c>
      <c r="BA162" s="19">
        <f t="shared" si="142"/>
        <v>0</v>
      </c>
      <c r="BB162" s="19">
        <f t="shared" si="143"/>
        <v>0</v>
      </c>
      <c r="BC162" s="19">
        <f t="shared" si="144"/>
        <v>0</v>
      </c>
      <c r="BD162" s="19">
        <f>-IF(CUSTOS!B162="",0,CUSTOS!B162)</f>
        <v>0</v>
      </c>
      <c r="BF162" s="20">
        <f t="shared" si="145"/>
        <v>0</v>
      </c>
      <c r="BG162" s="20">
        <f t="shared" si="146"/>
        <v>0</v>
      </c>
      <c r="BH162" s="116">
        <f t="shared" si="146"/>
        <v>0</v>
      </c>
    </row>
    <row r="163" spans="1:60" ht="15" x14ac:dyDescent="0.25">
      <c r="A163" s="66" t="str">
        <f>IF(LARGE($A$11:A162,1)=$F$2,"",A162+1)</f>
        <v/>
      </c>
      <c r="B163" s="27" t="str">
        <f t="shared" si="106"/>
        <v/>
      </c>
      <c r="C163" s="28" t="str">
        <f t="shared" si="133"/>
        <v/>
      </c>
      <c r="D163" s="28" t="str">
        <f t="shared" si="107"/>
        <v/>
      </c>
      <c r="E163" s="28" t="str">
        <f t="shared" si="108"/>
        <v/>
      </c>
      <c r="F163" s="29" t="str">
        <f t="shared" si="109"/>
        <v/>
      </c>
      <c r="G163" s="29" t="str">
        <f t="shared" si="110"/>
        <v/>
      </c>
      <c r="H163" s="30" t="str">
        <f t="shared" si="111"/>
        <v/>
      </c>
      <c r="I163" s="30" t="str">
        <f t="shared" si="112"/>
        <v/>
      </c>
      <c r="J163" s="30" t="str">
        <f>IF(A163="","",H163+CUSTOS!B163)</f>
        <v/>
      </c>
      <c r="K163" s="30" t="str">
        <f t="shared" si="134"/>
        <v/>
      </c>
      <c r="L163" s="30" t="str">
        <f t="shared" si="135"/>
        <v/>
      </c>
      <c r="M163" s="30" t="str">
        <f t="shared" si="136"/>
        <v/>
      </c>
      <c r="N163" s="30" t="str">
        <f t="shared" si="113"/>
        <v/>
      </c>
      <c r="O163" s="31" t="str">
        <f t="shared" si="137"/>
        <v/>
      </c>
      <c r="P163" s="32"/>
      <c r="Q163" s="33" t="str">
        <f t="shared" si="114"/>
        <v/>
      </c>
      <c r="R163" s="33" t="str">
        <f t="shared" si="115"/>
        <v/>
      </c>
      <c r="S163" s="33" t="str">
        <f t="shared" si="116"/>
        <v/>
      </c>
      <c r="T163" s="33" t="str">
        <f t="shared" si="117"/>
        <v/>
      </c>
      <c r="U163" s="33" t="str">
        <f t="shared" si="118"/>
        <v/>
      </c>
      <c r="V163" s="33" t="str">
        <f t="shared" si="119"/>
        <v/>
      </c>
      <c r="X163" s="33" t="str">
        <f t="shared" si="103"/>
        <v/>
      </c>
      <c r="Y163" s="30" t="str">
        <f t="shared" si="120"/>
        <v/>
      </c>
      <c r="Z163" s="30" t="str">
        <f t="shared" si="121"/>
        <v/>
      </c>
      <c r="AA163" s="30" t="str">
        <f t="shared" si="122"/>
        <v/>
      </c>
      <c r="AB163" s="30" t="str">
        <f t="shared" si="123"/>
        <v/>
      </c>
      <c r="AD163" s="33" t="str">
        <f t="shared" si="124"/>
        <v/>
      </c>
      <c r="AE163" s="30" t="str">
        <f t="shared" si="125"/>
        <v/>
      </c>
      <c r="AF163" s="30" t="str">
        <f t="shared" si="126"/>
        <v/>
      </c>
      <c r="AG163" s="30" t="str">
        <f t="shared" si="127"/>
        <v/>
      </c>
      <c r="AH163" s="30" t="str">
        <f t="shared" si="128"/>
        <v/>
      </c>
      <c r="AJ163" s="85" t="str">
        <f t="shared" si="105"/>
        <v/>
      </c>
      <c r="AK163" s="86" t="str">
        <f t="shared" si="147"/>
        <v/>
      </c>
      <c r="AL163" s="86" t="str">
        <f t="shared" si="148"/>
        <v/>
      </c>
      <c r="AM163" s="86" t="str">
        <f t="shared" si="149"/>
        <v/>
      </c>
      <c r="AN163" s="86" t="str">
        <f t="shared" si="150"/>
        <v/>
      </c>
      <c r="AO163" s="86" t="str">
        <f t="shared" si="151"/>
        <v/>
      </c>
      <c r="AQ163" s="33" t="str">
        <f t="shared" si="129"/>
        <v/>
      </c>
      <c r="AR163" s="30" t="str">
        <f t="shared" si="130"/>
        <v/>
      </c>
      <c r="AU163" s="20">
        <f t="shared" si="131"/>
        <v>0</v>
      </c>
      <c r="AV163" s="20">
        <f t="shared" si="132"/>
        <v>0</v>
      </c>
      <c r="AW163" s="19">
        <f t="shared" si="138"/>
        <v>0</v>
      </c>
      <c r="AX163" s="19">
        <f t="shared" si="139"/>
        <v>0</v>
      </c>
      <c r="AY163" s="19">
        <f t="shared" si="140"/>
        <v>0</v>
      </c>
      <c r="AZ163" s="19">
        <f t="shared" si="141"/>
        <v>0</v>
      </c>
      <c r="BA163" s="19">
        <f t="shared" si="142"/>
        <v>0</v>
      </c>
      <c r="BB163" s="19">
        <f t="shared" si="143"/>
        <v>0</v>
      </c>
      <c r="BC163" s="19">
        <f t="shared" si="144"/>
        <v>0</v>
      </c>
      <c r="BD163" s="19">
        <f>-IF(CUSTOS!B163="",0,CUSTOS!B163)</f>
        <v>0</v>
      </c>
      <c r="BF163" s="20">
        <f t="shared" si="145"/>
        <v>0</v>
      </c>
      <c r="BG163" s="20">
        <f t="shared" si="146"/>
        <v>0</v>
      </c>
      <c r="BH163" s="116">
        <f t="shared" si="146"/>
        <v>0</v>
      </c>
    </row>
    <row r="164" spans="1:60" ht="15" x14ac:dyDescent="0.25">
      <c r="A164" s="66" t="str">
        <f>IF(LARGE($A$11:A163,1)=$F$2,"",A163+1)</f>
        <v/>
      </c>
      <c r="B164" s="27" t="str">
        <f t="shared" si="106"/>
        <v/>
      </c>
      <c r="C164" s="28" t="str">
        <f t="shared" si="133"/>
        <v/>
      </c>
      <c r="D164" s="28" t="str">
        <f t="shared" si="107"/>
        <v/>
      </c>
      <c r="E164" s="28" t="str">
        <f t="shared" si="108"/>
        <v/>
      </c>
      <c r="F164" s="29" t="str">
        <f t="shared" si="109"/>
        <v/>
      </c>
      <c r="G164" s="29" t="str">
        <f t="shared" si="110"/>
        <v/>
      </c>
      <c r="H164" s="30" t="str">
        <f t="shared" si="111"/>
        <v/>
      </c>
      <c r="I164" s="30" t="str">
        <f t="shared" si="112"/>
        <v/>
      </c>
      <c r="J164" s="30" t="str">
        <f>IF(A164="","",H164+CUSTOS!B164)</f>
        <v/>
      </c>
      <c r="K164" s="30" t="str">
        <f t="shared" si="134"/>
        <v/>
      </c>
      <c r="L164" s="30" t="str">
        <f t="shared" si="135"/>
        <v/>
      </c>
      <c r="M164" s="30" t="str">
        <f t="shared" si="136"/>
        <v/>
      </c>
      <c r="N164" s="30" t="str">
        <f t="shared" si="113"/>
        <v/>
      </c>
      <c r="O164" s="31" t="str">
        <f t="shared" si="137"/>
        <v/>
      </c>
      <c r="P164" s="32"/>
      <c r="Q164" s="33" t="str">
        <f t="shared" si="114"/>
        <v/>
      </c>
      <c r="R164" s="33" t="str">
        <f t="shared" si="115"/>
        <v/>
      </c>
      <c r="S164" s="33" t="str">
        <f t="shared" si="116"/>
        <v/>
      </c>
      <c r="T164" s="33" t="str">
        <f t="shared" si="117"/>
        <v/>
      </c>
      <c r="U164" s="33" t="str">
        <f t="shared" si="118"/>
        <v/>
      </c>
      <c r="V164" s="33" t="str">
        <f t="shared" si="119"/>
        <v/>
      </c>
      <c r="X164" s="33" t="str">
        <f t="shared" si="103"/>
        <v/>
      </c>
      <c r="Y164" s="30" t="str">
        <f t="shared" si="120"/>
        <v/>
      </c>
      <c r="Z164" s="30" t="str">
        <f t="shared" si="121"/>
        <v/>
      </c>
      <c r="AA164" s="30" t="str">
        <f t="shared" si="122"/>
        <v/>
      </c>
      <c r="AB164" s="30" t="str">
        <f t="shared" si="123"/>
        <v/>
      </c>
      <c r="AD164" s="33" t="str">
        <f t="shared" si="124"/>
        <v/>
      </c>
      <c r="AE164" s="30" t="str">
        <f t="shared" si="125"/>
        <v/>
      </c>
      <c r="AF164" s="30" t="str">
        <f t="shared" si="126"/>
        <v/>
      </c>
      <c r="AG164" s="30" t="str">
        <f t="shared" si="127"/>
        <v/>
      </c>
      <c r="AH164" s="30" t="str">
        <f t="shared" si="128"/>
        <v/>
      </c>
      <c r="AJ164" s="85" t="str">
        <f t="shared" si="105"/>
        <v/>
      </c>
      <c r="AK164" s="86" t="str">
        <f t="shared" si="147"/>
        <v/>
      </c>
      <c r="AL164" s="86" t="str">
        <f t="shared" si="148"/>
        <v/>
      </c>
      <c r="AM164" s="86" t="str">
        <f t="shared" si="149"/>
        <v/>
      </c>
      <c r="AN164" s="86" t="str">
        <f t="shared" si="150"/>
        <v/>
      </c>
      <c r="AO164" s="86" t="str">
        <f t="shared" si="151"/>
        <v/>
      </c>
      <c r="AQ164" s="33" t="str">
        <f t="shared" si="129"/>
        <v/>
      </c>
      <c r="AR164" s="30" t="str">
        <f t="shared" si="130"/>
        <v/>
      </c>
      <c r="AU164" s="20">
        <f t="shared" si="131"/>
        <v>0</v>
      </c>
      <c r="AV164" s="20">
        <f t="shared" si="132"/>
        <v>0</v>
      </c>
      <c r="AW164" s="19">
        <f t="shared" si="138"/>
        <v>0</v>
      </c>
      <c r="AX164" s="19">
        <f t="shared" si="139"/>
        <v>0</v>
      </c>
      <c r="AY164" s="19">
        <f t="shared" si="140"/>
        <v>0</v>
      </c>
      <c r="AZ164" s="19">
        <f t="shared" si="141"/>
        <v>0</v>
      </c>
      <c r="BA164" s="19">
        <f t="shared" si="142"/>
        <v>0</v>
      </c>
      <c r="BB164" s="19">
        <f t="shared" si="143"/>
        <v>0</v>
      </c>
      <c r="BC164" s="19">
        <f t="shared" si="144"/>
        <v>0</v>
      </c>
      <c r="BD164" s="19">
        <f>-IF(CUSTOS!B164="",0,CUSTOS!B164)</f>
        <v>0</v>
      </c>
      <c r="BF164" s="20">
        <f t="shared" si="145"/>
        <v>0</v>
      </c>
      <c r="BG164" s="20">
        <f t="shared" si="146"/>
        <v>0</v>
      </c>
      <c r="BH164" s="116">
        <f t="shared" si="146"/>
        <v>0</v>
      </c>
    </row>
    <row r="165" spans="1:60" ht="15" x14ac:dyDescent="0.25">
      <c r="A165" s="66" t="str">
        <f>IF(LARGE($A$11:A164,1)=$F$2,"",A164+1)</f>
        <v/>
      </c>
      <c r="B165" s="27" t="str">
        <f t="shared" si="106"/>
        <v/>
      </c>
      <c r="C165" s="28" t="str">
        <f t="shared" si="133"/>
        <v/>
      </c>
      <c r="D165" s="28" t="str">
        <f t="shared" si="107"/>
        <v/>
      </c>
      <c r="E165" s="28" t="str">
        <f t="shared" si="108"/>
        <v/>
      </c>
      <c r="F165" s="29" t="str">
        <f t="shared" si="109"/>
        <v/>
      </c>
      <c r="G165" s="29" t="str">
        <f t="shared" si="110"/>
        <v/>
      </c>
      <c r="H165" s="30" t="str">
        <f t="shared" si="111"/>
        <v/>
      </c>
      <c r="I165" s="30" t="str">
        <f t="shared" si="112"/>
        <v/>
      </c>
      <c r="J165" s="30" t="str">
        <f>IF(A165="","",H165+CUSTOS!B165)</f>
        <v/>
      </c>
      <c r="K165" s="30" t="str">
        <f t="shared" si="134"/>
        <v/>
      </c>
      <c r="L165" s="30" t="str">
        <f t="shared" si="135"/>
        <v/>
      </c>
      <c r="M165" s="30" t="str">
        <f t="shared" si="136"/>
        <v/>
      </c>
      <c r="N165" s="30" t="str">
        <f t="shared" si="113"/>
        <v/>
      </c>
      <c r="O165" s="31" t="str">
        <f t="shared" si="137"/>
        <v/>
      </c>
      <c r="P165" s="32"/>
      <c r="Q165" s="33" t="str">
        <f t="shared" si="114"/>
        <v/>
      </c>
      <c r="R165" s="33" t="str">
        <f t="shared" si="115"/>
        <v/>
      </c>
      <c r="S165" s="33" t="str">
        <f t="shared" si="116"/>
        <v/>
      </c>
      <c r="T165" s="33" t="str">
        <f t="shared" si="117"/>
        <v/>
      </c>
      <c r="U165" s="33" t="str">
        <f t="shared" si="118"/>
        <v/>
      </c>
      <c r="V165" s="33" t="str">
        <f t="shared" si="119"/>
        <v/>
      </c>
      <c r="X165" s="33" t="str">
        <f t="shared" si="103"/>
        <v/>
      </c>
      <c r="Y165" s="30" t="str">
        <f t="shared" si="120"/>
        <v/>
      </c>
      <c r="Z165" s="30" t="str">
        <f t="shared" si="121"/>
        <v/>
      </c>
      <c r="AA165" s="30" t="str">
        <f t="shared" si="122"/>
        <v/>
      </c>
      <c r="AB165" s="30" t="str">
        <f t="shared" si="123"/>
        <v/>
      </c>
      <c r="AD165" s="33" t="str">
        <f t="shared" si="124"/>
        <v/>
      </c>
      <c r="AE165" s="30" t="str">
        <f t="shared" si="125"/>
        <v/>
      </c>
      <c r="AF165" s="30" t="str">
        <f t="shared" si="126"/>
        <v/>
      </c>
      <c r="AG165" s="30" t="str">
        <f t="shared" si="127"/>
        <v/>
      </c>
      <c r="AH165" s="30" t="str">
        <f t="shared" si="128"/>
        <v/>
      </c>
      <c r="AJ165" s="85" t="str">
        <f t="shared" si="105"/>
        <v/>
      </c>
      <c r="AK165" s="86" t="str">
        <f t="shared" si="147"/>
        <v/>
      </c>
      <c r="AL165" s="86" t="str">
        <f t="shared" si="148"/>
        <v/>
      </c>
      <c r="AM165" s="86" t="str">
        <f t="shared" si="149"/>
        <v/>
      </c>
      <c r="AN165" s="86" t="str">
        <f t="shared" si="150"/>
        <v/>
      </c>
      <c r="AO165" s="86" t="str">
        <f t="shared" si="151"/>
        <v/>
      </c>
      <c r="AQ165" s="33" t="str">
        <f t="shared" si="129"/>
        <v/>
      </c>
      <c r="AR165" s="30" t="str">
        <f t="shared" si="130"/>
        <v/>
      </c>
      <c r="AU165" s="20">
        <f t="shared" si="131"/>
        <v>0</v>
      </c>
      <c r="AV165" s="20">
        <f t="shared" si="132"/>
        <v>0</v>
      </c>
      <c r="AW165" s="19">
        <f t="shared" si="138"/>
        <v>0</v>
      </c>
      <c r="AX165" s="19">
        <f t="shared" si="139"/>
        <v>0</v>
      </c>
      <c r="AY165" s="19">
        <f t="shared" si="140"/>
        <v>0</v>
      </c>
      <c r="AZ165" s="19">
        <f t="shared" si="141"/>
        <v>0</v>
      </c>
      <c r="BA165" s="19">
        <f t="shared" si="142"/>
        <v>0</v>
      </c>
      <c r="BB165" s="19">
        <f t="shared" si="143"/>
        <v>0</v>
      </c>
      <c r="BC165" s="19">
        <f t="shared" si="144"/>
        <v>0</v>
      </c>
      <c r="BD165" s="19">
        <f>-IF(CUSTOS!B165="",0,CUSTOS!B165)</f>
        <v>0</v>
      </c>
      <c r="BF165" s="20">
        <f t="shared" si="145"/>
        <v>0</v>
      </c>
      <c r="BG165" s="20">
        <f t="shared" si="146"/>
        <v>0</v>
      </c>
      <c r="BH165" s="116">
        <f t="shared" si="146"/>
        <v>0</v>
      </c>
    </row>
    <row r="166" spans="1:60" ht="15" x14ac:dyDescent="0.25">
      <c r="A166" s="66" t="str">
        <f>IF(LARGE($A$11:A165,1)=$F$2,"",A165+1)</f>
        <v/>
      </c>
      <c r="B166" s="27" t="str">
        <f t="shared" si="106"/>
        <v/>
      </c>
      <c r="C166" s="28" t="str">
        <f t="shared" si="133"/>
        <v/>
      </c>
      <c r="D166" s="28" t="str">
        <f t="shared" si="107"/>
        <v/>
      </c>
      <c r="E166" s="28" t="str">
        <f t="shared" si="108"/>
        <v/>
      </c>
      <c r="F166" s="29" t="str">
        <f t="shared" si="109"/>
        <v/>
      </c>
      <c r="G166" s="29" t="str">
        <f t="shared" si="110"/>
        <v/>
      </c>
      <c r="H166" s="30" t="str">
        <f t="shared" si="111"/>
        <v/>
      </c>
      <c r="I166" s="30" t="str">
        <f t="shared" si="112"/>
        <v/>
      </c>
      <c r="J166" s="30" t="str">
        <f>IF(A166="","",H166+CUSTOS!B166)</f>
        <v/>
      </c>
      <c r="K166" s="30" t="str">
        <f t="shared" si="134"/>
        <v/>
      </c>
      <c r="L166" s="30" t="str">
        <f t="shared" si="135"/>
        <v/>
      </c>
      <c r="M166" s="30" t="str">
        <f t="shared" si="136"/>
        <v/>
      </c>
      <c r="N166" s="30" t="str">
        <f t="shared" si="113"/>
        <v/>
      </c>
      <c r="O166" s="31" t="str">
        <f t="shared" si="137"/>
        <v/>
      </c>
      <c r="P166" s="32"/>
      <c r="Q166" s="33" t="str">
        <f t="shared" si="114"/>
        <v/>
      </c>
      <c r="R166" s="33" t="str">
        <f t="shared" si="115"/>
        <v/>
      </c>
      <c r="S166" s="33" t="str">
        <f t="shared" si="116"/>
        <v/>
      </c>
      <c r="T166" s="33" t="str">
        <f t="shared" si="117"/>
        <v/>
      </c>
      <c r="U166" s="33" t="str">
        <f t="shared" si="118"/>
        <v/>
      </c>
      <c r="V166" s="33" t="str">
        <f t="shared" si="119"/>
        <v/>
      </c>
      <c r="X166" s="33" t="str">
        <f t="shared" si="103"/>
        <v/>
      </c>
      <c r="Y166" s="30" t="str">
        <f t="shared" si="120"/>
        <v/>
      </c>
      <c r="Z166" s="30" t="str">
        <f t="shared" si="121"/>
        <v/>
      </c>
      <c r="AA166" s="30" t="str">
        <f t="shared" si="122"/>
        <v/>
      </c>
      <c r="AB166" s="30" t="str">
        <f t="shared" si="123"/>
        <v/>
      </c>
      <c r="AD166" s="33" t="str">
        <f t="shared" si="124"/>
        <v/>
      </c>
      <c r="AE166" s="30" t="str">
        <f t="shared" si="125"/>
        <v/>
      </c>
      <c r="AF166" s="30" t="str">
        <f t="shared" si="126"/>
        <v/>
      </c>
      <c r="AG166" s="30" t="str">
        <f t="shared" si="127"/>
        <v/>
      </c>
      <c r="AH166" s="30" t="str">
        <f t="shared" si="128"/>
        <v/>
      </c>
      <c r="AJ166" s="85" t="str">
        <f t="shared" si="105"/>
        <v/>
      </c>
      <c r="AK166" s="86" t="str">
        <f t="shared" si="147"/>
        <v/>
      </c>
      <c r="AL166" s="86" t="str">
        <f t="shared" si="148"/>
        <v/>
      </c>
      <c r="AM166" s="86" t="str">
        <f t="shared" si="149"/>
        <v/>
      </c>
      <c r="AN166" s="86" t="str">
        <f t="shared" si="150"/>
        <v/>
      </c>
      <c r="AO166" s="86" t="str">
        <f t="shared" si="151"/>
        <v/>
      </c>
      <c r="AQ166" s="33" t="str">
        <f t="shared" si="129"/>
        <v/>
      </c>
      <c r="AR166" s="30" t="str">
        <f t="shared" si="130"/>
        <v/>
      </c>
      <c r="AU166" s="20">
        <f t="shared" si="131"/>
        <v>0</v>
      </c>
      <c r="AV166" s="20">
        <f t="shared" si="132"/>
        <v>0</v>
      </c>
      <c r="AW166" s="19">
        <f t="shared" si="138"/>
        <v>0</v>
      </c>
      <c r="AX166" s="19">
        <f t="shared" si="139"/>
        <v>0</v>
      </c>
      <c r="AY166" s="19">
        <f t="shared" si="140"/>
        <v>0</v>
      </c>
      <c r="AZ166" s="19">
        <f t="shared" si="141"/>
        <v>0</v>
      </c>
      <c r="BA166" s="19">
        <f t="shared" si="142"/>
        <v>0</v>
      </c>
      <c r="BB166" s="19">
        <f t="shared" si="143"/>
        <v>0</v>
      </c>
      <c r="BC166" s="19">
        <f t="shared" si="144"/>
        <v>0</v>
      </c>
      <c r="BD166" s="19">
        <f>-IF(CUSTOS!B166="",0,CUSTOS!B166)</f>
        <v>0</v>
      </c>
      <c r="BF166" s="20">
        <f t="shared" si="145"/>
        <v>0</v>
      </c>
      <c r="BG166" s="20">
        <f t="shared" si="146"/>
        <v>0</v>
      </c>
      <c r="BH166" s="116">
        <f t="shared" si="146"/>
        <v>0</v>
      </c>
    </row>
    <row r="167" spans="1:60" ht="15" x14ac:dyDescent="0.25">
      <c r="A167" s="66" t="str">
        <f>IF(LARGE($A$11:A166,1)=$F$2,"",A166+1)</f>
        <v/>
      </c>
      <c r="B167" s="27" t="str">
        <f t="shared" si="106"/>
        <v/>
      </c>
      <c r="C167" s="28" t="str">
        <f t="shared" si="133"/>
        <v/>
      </c>
      <c r="D167" s="28" t="str">
        <f t="shared" si="107"/>
        <v/>
      </c>
      <c r="E167" s="28" t="str">
        <f t="shared" si="108"/>
        <v/>
      </c>
      <c r="F167" s="29" t="str">
        <f t="shared" si="109"/>
        <v/>
      </c>
      <c r="G167" s="29" t="str">
        <f t="shared" si="110"/>
        <v/>
      </c>
      <c r="H167" s="30" t="str">
        <f t="shared" si="111"/>
        <v/>
      </c>
      <c r="I167" s="30" t="str">
        <f t="shared" si="112"/>
        <v/>
      </c>
      <c r="J167" s="30" t="str">
        <f>IF(A167="","",H167+CUSTOS!B167)</f>
        <v/>
      </c>
      <c r="K167" s="30" t="str">
        <f t="shared" si="134"/>
        <v/>
      </c>
      <c r="L167" s="30" t="str">
        <f t="shared" si="135"/>
        <v/>
      </c>
      <c r="M167" s="30" t="str">
        <f t="shared" si="136"/>
        <v/>
      </c>
      <c r="N167" s="30" t="str">
        <f t="shared" si="113"/>
        <v/>
      </c>
      <c r="O167" s="31" t="str">
        <f t="shared" si="137"/>
        <v/>
      </c>
      <c r="P167" s="32"/>
      <c r="Q167" s="33" t="str">
        <f t="shared" si="114"/>
        <v/>
      </c>
      <c r="R167" s="33" t="str">
        <f t="shared" si="115"/>
        <v/>
      </c>
      <c r="S167" s="33" t="str">
        <f t="shared" si="116"/>
        <v/>
      </c>
      <c r="T167" s="33" t="str">
        <f t="shared" si="117"/>
        <v/>
      </c>
      <c r="U167" s="33" t="str">
        <f t="shared" si="118"/>
        <v/>
      </c>
      <c r="V167" s="33" t="str">
        <f t="shared" si="119"/>
        <v/>
      </c>
      <c r="X167" s="33" t="str">
        <f t="shared" si="103"/>
        <v/>
      </c>
      <c r="Y167" s="30" t="str">
        <f t="shared" si="120"/>
        <v/>
      </c>
      <c r="Z167" s="30" t="str">
        <f t="shared" si="121"/>
        <v/>
      </c>
      <c r="AA167" s="30" t="str">
        <f t="shared" si="122"/>
        <v/>
      </c>
      <c r="AB167" s="30" t="str">
        <f t="shared" si="123"/>
        <v/>
      </c>
      <c r="AD167" s="33" t="str">
        <f t="shared" si="124"/>
        <v/>
      </c>
      <c r="AE167" s="30" t="str">
        <f t="shared" si="125"/>
        <v/>
      </c>
      <c r="AF167" s="30" t="str">
        <f t="shared" si="126"/>
        <v/>
      </c>
      <c r="AG167" s="30" t="str">
        <f t="shared" si="127"/>
        <v/>
      </c>
      <c r="AH167" s="30" t="str">
        <f t="shared" si="128"/>
        <v/>
      </c>
      <c r="AJ167" s="85" t="str">
        <f t="shared" si="105"/>
        <v/>
      </c>
      <c r="AK167" s="86" t="str">
        <f t="shared" si="147"/>
        <v/>
      </c>
      <c r="AL167" s="86" t="str">
        <f t="shared" si="148"/>
        <v/>
      </c>
      <c r="AM167" s="86" t="str">
        <f t="shared" si="149"/>
        <v/>
      </c>
      <c r="AN167" s="86" t="str">
        <f t="shared" si="150"/>
        <v/>
      </c>
      <c r="AO167" s="86" t="str">
        <f t="shared" si="151"/>
        <v/>
      </c>
      <c r="AQ167" s="33" t="str">
        <f t="shared" si="129"/>
        <v/>
      </c>
      <c r="AR167" s="30" t="str">
        <f t="shared" si="130"/>
        <v/>
      </c>
      <c r="AU167" s="20">
        <f t="shared" si="131"/>
        <v>0</v>
      </c>
      <c r="AV167" s="20">
        <f t="shared" si="132"/>
        <v>0</v>
      </c>
      <c r="AW167" s="19">
        <f t="shared" si="138"/>
        <v>0</v>
      </c>
      <c r="AX167" s="19">
        <f t="shared" si="139"/>
        <v>0</v>
      </c>
      <c r="AY167" s="19">
        <f t="shared" si="140"/>
        <v>0</v>
      </c>
      <c r="AZ167" s="19">
        <f t="shared" si="141"/>
        <v>0</v>
      </c>
      <c r="BA167" s="19">
        <f t="shared" si="142"/>
        <v>0</v>
      </c>
      <c r="BB167" s="19">
        <f t="shared" si="143"/>
        <v>0</v>
      </c>
      <c r="BC167" s="19">
        <f t="shared" si="144"/>
        <v>0</v>
      </c>
      <c r="BD167" s="19">
        <f>-IF(CUSTOS!B167="",0,CUSTOS!B167)</f>
        <v>0</v>
      </c>
      <c r="BF167" s="20">
        <f t="shared" si="145"/>
        <v>0</v>
      </c>
      <c r="BG167" s="20">
        <f t="shared" si="146"/>
        <v>0</v>
      </c>
      <c r="BH167" s="116">
        <f t="shared" si="146"/>
        <v>0</v>
      </c>
    </row>
    <row r="168" spans="1:60" ht="15" x14ac:dyDescent="0.25">
      <c r="A168" s="66" t="str">
        <f>IF(LARGE($A$11:A167,1)=$F$2,"",A167+1)</f>
        <v/>
      </c>
      <c r="B168" s="27" t="str">
        <f t="shared" si="106"/>
        <v/>
      </c>
      <c r="C168" s="28" t="str">
        <f t="shared" si="133"/>
        <v/>
      </c>
      <c r="D168" s="28" t="str">
        <f t="shared" si="107"/>
        <v/>
      </c>
      <c r="E168" s="28" t="str">
        <f t="shared" si="108"/>
        <v/>
      </c>
      <c r="F168" s="29" t="str">
        <f t="shared" si="109"/>
        <v/>
      </c>
      <c r="G168" s="29" t="str">
        <f t="shared" si="110"/>
        <v/>
      </c>
      <c r="H168" s="30" t="str">
        <f t="shared" si="111"/>
        <v/>
      </c>
      <c r="I168" s="30" t="str">
        <f t="shared" si="112"/>
        <v/>
      </c>
      <c r="J168" s="30" t="str">
        <f>IF(A168="","",H168+CUSTOS!B168)</f>
        <v/>
      </c>
      <c r="K168" s="30" t="str">
        <f t="shared" si="134"/>
        <v/>
      </c>
      <c r="L168" s="30" t="str">
        <f t="shared" si="135"/>
        <v/>
      </c>
      <c r="M168" s="30" t="str">
        <f t="shared" si="136"/>
        <v/>
      </c>
      <c r="N168" s="30" t="str">
        <f t="shared" si="113"/>
        <v/>
      </c>
      <c r="O168" s="31" t="str">
        <f t="shared" si="137"/>
        <v/>
      </c>
      <c r="P168" s="32"/>
      <c r="Q168" s="33" t="str">
        <f t="shared" si="114"/>
        <v/>
      </c>
      <c r="R168" s="33" t="str">
        <f t="shared" si="115"/>
        <v/>
      </c>
      <c r="S168" s="33" t="str">
        <f t="shared" si="116"/>
        <v/>
      </c>
      <c r="T168" s="33" t="str">
        <f t="shared" si="117"/>
        <v/>
      </c>
      <c r="U168" s="33" t="str">
        <f t="shared" si="118"/>
        <v/>
      </c>
      <c r="V168" s="33" t="str">
        <f t="shared" si="119"/>
        <v/>
      </c>
      <c r="X168" s="33" t="str">
        <f t="shared" si="103"/>
        <v/>
      </c>
      <c r="Y168" s="30" t="str">
        <f t="shared" si="120"/>
        <v/>
      </c>
      <c r="Z168" s="30" t="str">
        <f t="shared" si="121"/>
        <v/>
      </c>
      <c r="AA168" s="30" t="str">
        <f t="shared" si="122"/>
        <v/>
      </c>
      <c r="AB168" s="30" t="str">
        <f t="shared" si="123"/>
        <v/>
      </c>
      <c r="AD168" s="33" t="str">
        <f t="shared" si="124"/>
        <v/>
      </c>
      <c r="AE168" s="30" t="str">
        <f t="shared" si="125"/>
        <v/>
      </c>
      <c r="AF168" s="30" t="str">
        <f t="shared" si="126"/>
        <v/>
      </c>
      <c r="AG168" s="30" t="str">
        <f t="shared" si="127"/>
        <v/>
      </c>
      <c r="AH168" s="30" t="str">
        <f t="shared" si="128"/>
        <v/>
      </c>
      <c r="AJ168" s="85" t="str">
        <f t="shared" si="105"/>
        <v/>
      </c>
      <c r="AK168" s="86" t="str">
        <f t="shared" si="147"/>
        <v/>
      </c>
      <c r="AL168" s="86" t="str">
        <f t="shared" si="148"/>
        <v/>
      </c>
      <c r="AM168" s="86" t="str">
        <f t="shared" si="149"/>
        <v/>
      </c>
      <c r="AN168" s="86" t="str">
        <f t="shared" si="150"/>
        <v/>
      </c>
      <c r="AO168" s="86" t="str">
        <f t="shared" si="151"/>
        <v/>
      </c>
      <c r="AQ168" s="33" t="str">
        <f t="shared" si="129"/>
        <v/>
      </c>
      <c r="AR168" s="30" t="str">
        <f t="shared" si="130"/>
        <v/>
      </c>
      <c r="AU168" s="20">
        <f t="shared" si="131"/>
        <v>0</v>
      </c>
      <c r="AV168" s="20">
        <f t="shared" si="132"/>
        <v>0</v>
      </c>
      <c r="AW168" s="19">
        <f t="shared" si="138"/>
        <v>0</v>
      </c>
      <c r="AX168" s="19">
        <f t="shared" si="139"/>
        <v>0</v>
      </c>
      <c r="AY168" s="19">
        <f t="shared" si="140"/>
        <v>0</v>
      </c>
      <c r="AZ168" s="19">
        <f t="shared" si="141"/>
        <v>0</v>
      </c>
      <c r="BA168" s="19">
        <f t="shared" si="142"/>
        <v>0</v>
      </c>
      <c r="BB168" s="19">
        <f t="shared" si="143"/>
        <v>0</v>
      </c>
      <c r="BC168" s="19">
        <f t="shared" si="144"/>
        <v>0</v>
      </c>
      <c r="BD168" s="19">
        <f>-IF(CUSTOS!B168="",0,CUSTOS!B168)</f>
        <v>0</v>
      </c>
      <c r="BF168" s="20">
        <f t="shared" si="145"/>
        <v>0</v>
      </c>
      <c r="BG168" s="20">
        <f t="shared" si="146"/>
        <v>0</v>
      </c>
      <c r="BH168" s="116">
        <f t="shared" si="146"/>
        <v>0</v>
      </c>
    </row>
    <row r="169" spans="1:60" ht="15" x14ac:dyDescent="0.25">
      <c r="A169" s="66" t="str">
        <f>IF(LARGE($A$11:A168,1)=$F$2,"",A168+1)</f>
        <v/>
      </c>
      <c r="B169" s="27" t="str">
        <f t="shared" si="106"/>
        <v/>
      </c>
      <c r="C169" s="28" t="str">
        <f t="shared" si="133"/>
        <v/>
      </c>
      <c r="D169" s="28" t="str">
        <f t="shared" si="107"/>
        <v/>
      </c>
      <c r="E169" s="28" t="str">
        <f t="shared" si="108"/>
        <v/>
      </c>
      <c r="F169" s="29" t="str">
        <f t="shared" si="109"/>
        <v/>
      </c>
      <c r="G169" s="29" t="str">
        <f t="shared" si="110"/>
        <v/>
      </c>
      <c r="H169" s="30" t="str">
        <f t="shared" si="111"/>
        <v/>
      </c>
      <c r="I169" s="30" t="str">
        <f t="shared" si="112"/>
        <v/>
      </c>
      <c r="J169" s="30" t="str">
        <f>IF(A169="","",H169+CUSTOS!B169)</f>
        <v/>
      </c>
      <c r="K169" s="30" t="str">
        <f t="shared" si="134"/>
        <v/>
      </c>
      <c r="L169" s="30" t="str">
        <f t="shared" si="135"/>
        <v/>
      </c>
      <c r="M169" s="30" t="str">
        <f t="shared" si="136"/>
        <v/>
      </c>
      <c r="N169" s="30" t="str">
        <f t="shared" si="113"/>
        <v/>
      </c>
      <c r="O169" s="31" t="str">
        <f t="shared" si="137"/>
        <v/>
      </c>
      <c r="P169" s="32"/>
      <c r="Q169" s="33" t="str">
        <f t="shared" si="114"/>
        <v/>
      </c>
      <c r="R169" s="33" t="str">
        <f t="shared" si="115"/>
        <v/>
      </c>
      <c r="S169" s="33" t="str">
        <f t="shared" si="116"/>
        <v/>
      </c>
      <c r="T169" s="33" t="str">
        <f t="shared" si="117"/>
        <v/>
      </c>
      <c r="U169" s="33" t="str">
        <f t="shared" si="118"/>
        <v/>
      </c>
      <c r="V169" s="33" t="str">
        <f t="shared" si="119"/>
        <v/>
      </c>
      <c r="X169" s="33" t="str">
        <f t="shared" si="103"/>
        <v/>
      </c>
      <c r="Y169" s="30" t="str">
        <f t="shared" si="120"/>
        <v/>
      </c>
      <c r="Z169" s="30" t="str">
        <f t="shared" si="121"/>
        <v/>
      </c>
      <c r="AA169" s="30" t="str">
        <f t="shared" si="122"/>
        <v/>
      </c>
      <c r="AB169" s="30" t="str">
        <f t="shared" si="123"/>
        <v/>
      </c>
      <c r="AD169" s="33" t="str">
        <f t="shared" si="124"/>
        <v/>
      </c>
      <c r="AE169" s="30" t="str">
        <f t="shared" si="125"/>
        <v/>
      </c>
      <c r="AF169" s="30" t="str">
        <f t="shared" si="126"/>
        <v/>
      </c>
      <c r="AG169" s="30" t="str">
        <f t="shared" si="127"/>
        <v/>
      </c>
      <c r="AH169" s="30" t="str">
        <f t="shared" si="128"/>
        <v/>
      </c>
      <c r="AJ169" s="85" t="str">
        <f t="shared" si="105"/>
        <v/>
      </c>
      <c r="AK169" s="86" t="str">
        <f t="shared" si="147"/>
        <v/>
      </c>
      <c r="AL169" s="86" t="str">
        <f t="shared" si="148"/>
        <v/>
      </c>
      <c r="AM169" s="86" t="str">
        <f t="shared" si="149"/>
        <v/>
      </c>
      <c r="AN169" s="86" t="str">
        <f t="shared" si="150"/>
        <v/>
      </c>
      <c r="AO169" s="86" t="str">
        <f t="shared" si="151"/>
        <v/>
      </c>
      <c r="AQ169" s="33" t="str">
        <f t="shared" si="129"/>
        <v/>
      </c>
      <c r="AR169" s="30" t="str">
        <f t="shared" si="130"/>
        <v/>
      </c>
      <c r="AU169" s="20">
        <f t="shared" si="131"/>
        <v>0</v>
      </c>
      <c r="AV169" s="20">
        <f t="shared" si="132"/>
        <v>0</v>
      </c>
      <c r="AW169" s="19">
        <f t="shared" si="138"/>
        <v>0</v>
      </c>
      <c r="AX169" s="19">
        <f t="shared" si="139"/>
        <v>0</v>
      </c>
      <c r="AY169" s="19">
        <f t="shared" si="140"/>
        <v>0</v>
      </c>
      <c r="AZ169" s="19">
        <f t="shared" si="141"/>
        <v>0</v>
      </c>
      <c r="BA169" s="19">
        <f t="shared" si="142"/>
        <v>0</v>
      </c>
      <c r="BB169" s="19">
        <f t="shared" si="143"/>
        <v>0</v>
      </c>
      <c r="BC169" s="19">
        <f t="shared" si="144"/>
        <v>0</v>
      </c>
      <c r="BD169" s="19">
        <f>-IF(CUSTOS!B169="",0,CUSTOS!B169)</f>
        <v>0</v>
      </c>
      <c r="BF169" s="20">
        <f t="shared" si="145"/>
        <v>0</v>
      </c>
      <c r="BG169" s="20">
        <f t="shared" si="146"/>
        <v>0</v>
      </c>
      <c r="BH169" s="116">
        <f t="shared" si="146"/>
        <v>0</v>
      </c>
    </row>
    <row r="170" spans="1:60" ht="15" x14ac:dyDescent="0.25">
      <c r="A170" s="66" t="str">
        <f>IF(LARGE($A$11:A169,1)=$F$2,"",A169+1)</f>
        <v/>
      </c>
      <c r="B170" s="27" t="str">
        <f t="shared" si="106"/>
        <v/>
      </c>
      <c r="C170" s="28" t="str">
        <f t="shared" si="133"/>
        <v/>
      </c>
      <c r="D170" s="28" t="str">
        <f t="shared" si="107"/>
        <v/>
      </c>
      <c r="E170" s="28" t="str">
        <f t="shared" si="108"/>
        <v/>
      </c>
      <c r="F170" s="29" t="str">
        <f t="shared" si="109"/>
        <v/>
      </c>
      <c r="G170" s="29" t="str">
        <f t="shared" si="110"/>
        <v/>
      </c>
      <c r="H170" s="30" t="str">
        <f t="shared" si="111"/>
        <v/>
      </c>
      <c r="I170" s="30" t="str">
        <f t="shared" si="112"/>
        <v/>
      </c>
      <c r="J170" s="30" t="str">
        <f>IF(A170="","",H170+CUSTOS!B170)</f>
        <v/>
      </c>
      <c r="K170" s="30" t="str">
        <f t="shared" si="134"/>
        <v/>
      </c>
      <c r="L170" s="30" t="str">
        <f t="shared" si="135"/>
        <v/>
      </c>
      <c r="M170" s="30" t="str">
        <f t="shared" si="136"/>
        <v/>
      </c>
      <c r="N170" s="30" t="str">
        <f t="shared" si="113"/>
        <v/>
      </c>
      <c r="O170" s="31" t="str">
        <f t="shared" si="137"/>
        <v/>
      </c>
      <c r="P170" s="32"/>
      <c r="Q170" s="33" t="str">
        <f t="shared" si="114"/>
        <v/>
      </c>
      <c r="R170" s="33" t="str">
        <f t="shared" si="115"/>
        <v/>
      </c>
      <c r="S170" s="33" t="str">
        <f t="shared" si="116"/>
        <v/>
      </c>
      <c r="T170" s="33" t="str">
        <f t="shared" si="117"/>
        <v/>
      </c>
      <c r="U170" s="33" t="str">
        <f t="shared" si="118"/>
        <v/>
      </c>
      <c r="V170" s="33" t="str">
        <f t="shared" si="119"/>
        <v/>
      </c>
      <c r="X170" s="33" t="str">
        <f t="shared" si="103"/>
        <v/>
      </c>
      <c r="Y170" s="30" t="str">
        <f t="shared" si="120"/>
        <v/>
      </c>
      <c r="Z170" s="30" t="str">
        <f t="shared" si="121"/>
        <v/>
      </c>
      <c r="AA170" s="30" t="str">
        <f t="shared" si="122"/>
        <v/>
      </c>
      <c r="AB170" s="30" t="str">
        <f t="shared" si="123"/>
        <v/>
      </c>
      <c r="AD170" s="33" t="str">
        <f t="shared" si="124"/>
        <v/>
      </c>
      <c r="AE170" s="30" t="str">
        <f t="shared" si="125"/>
        <v/>
      </c>
      <c r="AF170" s="30" t="str">
        <f t="shared" si="126"/>
        <v/>
      </c>
      <c r="AG170" s="30" t="str">
        <f t="shared" si="127"/>
        <v/>
      </c>
      <c r="AH170" s="30" t="str">
        <f t="shared" si="128"/>
        <v/>
      </c>
      <c r="AJ170" s="85" t="str">
        <f t="shared" si="105"/>
        <v/>
      </c>
      <c r="AK170" s="86" t="str">
        <f t="shared" si="147"/>
        <v/>
      </c>
      <c r="AL170" s="86" t="str">
        <f t="shared" si="148"/>
        <v/>
      </c>
      <c r="AM170" s="86" t="str">
        <f t="shared" si="149"/>
        <v/>
      </c>
      <c r="AN170" s="86" t="str">
        <f t="shared" si="150"/>
        <v/>
      </c>
      <c r="AO170" s="86" t="str">
        <f t="shared" si="151"/>
        <v/>
      </c>
      <c r="AQ170" s="33" t="str">
        <f t="shared" si="129"/>
        <v/>
      </c>
      <c r="AR170" s="30" t="str">
        <f t="shared" si="130"/>
        <v/>
      </c>
      <c r="AU170" s="20">
        <f t="shared" si="131"/>
        <v>0</v>
      </c>
      <c r="AV170" s="20">
        <f t="shared" si="132"/>
        <v>0</v>
      </c>
      <c r="AW170" s="19">
        <f t="shared" si="138"/>
        <v>0</v>
      </c>
      <c r="AX170" s="19">
        <f t="shared" si="139"/>
        <v>0</v>
      </c>
      <c r="AY170" s="19">
        <f t="shared" si="140"/>
        <v>0</v>
      </c>
      <c r="AZ170" s="19">
        <f t="shared" si="141"/>
        <v>0</v>
      </c>
      <c r="BA170" s="19">
        <f t="shared" si="142"/>
        <v>0</v>
      </c>
      <c r="BB170" s="19">
        <f t="shared" si="143"/>
        <v>0</v>
      </c>
      <c r="BC170" s="19">
        <f t="shared" si="144"/>
        <v>0</v>
      </c>
      <c r="BD170" s="19">
        <f>-IF(CUSTOS!B170="",0,CUSTOS!B170)</f>
        <v>0</v>
      </c>
      <c r="BF170" s="20">
        <f t="shared" si="145"/>
        <v>0</v>
      </c>
      <c r="BG170" s="20">
        <f t="shared" si="146"/>
        <v>0</v>
      </c>
      <c r="BH170" s="116">
        <f t="shared" si="146"/>
        <v>0</v>
      </c>
    </row>
    <row r="171" spans="1:60" ht="15" x14ac:dyDescent="0.25">
      <c r="A171" s="66" t="str">
        <f>IF(LARGE($A$11:A170,1)=$F$2,"",A170+1)</f>
        <v/>
      </c>
      <c r="B171" s="27" t="str">
        <f t="shared" si="106"/>
        <v/>
      </c>
      <c r="C171" s="28" t="str">
        <f t="shared" si="133"/>
        <v/>
      </c>
      <c r="D171" s="28" t="str">
        <f t="shared" si="107"/>
        <v/>
      </c>
      <c r="E171" s="28" t="str">
        <f t="shared" si="108"/>
        <v/>
      </c>
      <c r="F171" s="29" t="str">
        <f t="shared" si="109"/>
        <v/>
      </c>
      <c r="G171" s="29" t="str">
        <f t="shared" si="110"/>
        <v/>
      </c>
      <c r="H171" s="30" t="str">
        <f t="shared" si="111"/>
        <v/>
      </c>
      <c r="I171" s="30" t="str">
        <f t="shared" si="112"/>
        <v/>
      </c>
      <c r="J171" s="30" t="str">
        <f>IF(A171="","",H171+CUSTOS!B171)</f>
        <v/>
      </c>
      <c r="K171" s="30" t="str">
        <f t="shared" si="134"/>
        <v/>
      </c>
      <c r="L171" s="30" t="str">
        <f t="shared" si="135"/>
        <v/>
      </c>
      <c r="M171" s="30" t="str">
        <f t="shared" si="136"/>
        <v/>
      </c>
      <c r="N171" s="30" t="str">
        <f t="shared" si="113"/>
        <v/>
      </c>
      <c r="O171" s="31" t="str">
        <f t="shared" si="137"/>
        <v/>
      </c>
      <c r="P171" s="32"/>
      <c r="Q171" s="33" t="str">
        <f t="shared" si="114"/>
        <v/>
      </c>
      <c r="R171" s="33" t="str">
        <f t="shared" si="115"/>
        <v/>
      </c>
      <c r="S171" s="33" t="str">
        <f t="shared" si="116"/>
        <v/>
      </c>
      <c r="T171" s="33" t="str">
        <f t="shared" si="117"/>
        <v/>
      </c>
      <c r="U171" s="33" t="str">
        <f t="shared" si="118"/>
        <v/>
      </c>
      <c r="V171" s="33" t="str">
        <f t="shared" si="119"/>
        <v/>
      </c>
      <c r="X171" s="33" t="str">
        <f t="shared" si="103"/>
        <v/>
      </c>
      <c r="Y171" s="30" t="str">
        <f t="shared" si="120"/>
        <v/>
      </c>
      <c r="Z171" s="30" t="str">
        <f t="shared" si="121"/>
        <v/>
      </c>
      <c r="AA171" s="30" t="str">
        <f t="shared" si="122"/>
        <v/>
      </c>
      <c r="AB171" s="30" t="str">
        <f t="shared" si="123"/>
        <v/>
      </c>
      <c r="AD171" s="33" t="str">
        <f t="shared" si="124"/>
        <v/>
      </c>
      <c r="AE171" s="30" t="str">
        <f t="shared" si="125"/>
        <v/>
      </c>
      <c r="AF171" s="30" t="str">
        <f t="shared" si="126"/>
        <v/>
      </c>
      <c r="AG171" s="30" t="str">
        <f t="shared" si="127"/>
        <v/>
      </c>
      <c r="AH171" s="30" t="str">
        <f t="shared" si="128"/>
        <v/>
      </c>
      <c r="AJ171" s="85" t="str">
        <f t="shared" si="105"/>
        <v/>
      </c>
      <c r="AK171" s="86" t="str">
        <f t="shared" si="147"/>
        <v/>
      </c>
      <c r="AL171" s="86" t="str">
        <f t="shared" si="148"/>
        <v/>
      </c>
      <c r="AM171" s="86" t="str">
        <f t="shared" si="149"/>
        <v/>
      </c>
      <c r="AN171" s="86" t="str">
        <f t="shared" si="150"/>
        <v/>
      </c>
      <c r="AO171" s="86" t="str">
        <f t="shared" si="151"/>
        <v/>
      </c>
      <c r="AQ171" s="33" t="str">
        <f t="shared" si="129"/>
        <v/>
      </c>
      <c r="AR171" s="30" t="str">
        <f t="shared" si="130"/>
        <v/>
      </c>
      <c r="AU171" s="20">
        <f t="shared" si="131"/>
        <v>0</v>
      </c>
      <c r="AV171" s="20">
        <f t="shared" si="132"/>
        <v>0</v>
      </c>
      <c r="AW171" s="19">
        <f t="shared" si="138"/>
        <v>0</v>
      </c>
      <c r="AX171" s="19">
        <f t="shared" si="139"/>
        <v>0</v>
      </c>
      <c r="AY171" s="19">
        <f t="shared" si="140"/>
        <v>0</v>
      </c>
      <c r="AZ171" s="19">
        <f t="shared" si="141"/>
        <v>0</v>
      </c>
      <c r="BA171" s="19">
        <f t="shared" si="142"/>
        <v>0</v>
      </c>
      <c r="BB171" s="19">
        <f t="shared" si="143"/>
        <v>0</v>
      </c>
      <c r="BC171" s="19">
        <f t="shared" si="144"/>
        <v>0</v>
      </c>
      <c r="BD171" s="19">
        <f>-IF(CUSTOS!B171="",0,CUSTOS!B171)</f>
        <v>0</v>
      </c>
      <c r="BF171" s="20">
        <f t="shared" si="145"/>
        <v>0</v>
      </c>
      <c r="BG171" s="20">
        <f t="shared" si="146"/>
        <v>0</v>
      </c>
      <c r="BH171" s="116">
        <f t="shared" si="146"/>
        <v>0</v>
      </c>
    </row>
    <row r="172" spans="1:60" ht="15" x14ac:dyDescent="0.25">
      <c r="A172" s="66" t="str">
        <f>IF(LARGE($A$11:A171,1)=$F$2,"",A171+1)</f>
        <v/>
      </c>
      <c r="B172" s="27" t="str">
        <f t="shared" si="106"/>
        <v/>
      </c>
      <c r="C172" s="28" t="str">
        <f t="shared" si="133"/>
        <v/>
      </c>
      <c r="D172" s="28" t="str">
        <f t="shared" si="107"/>
        <v/>
      </c>
      <c r="E172" s="28" t="str">
        <f t="shared" si="108"/>
        <v/>
      </c>
      <c r="F172" s="29" t="str">
        <f t="shared" si="109"/>
        <v/>
      </c>
      <c r="G172" s="29" t="str">
        <f t="shared" si="110"/>
        <v/>
      </c>
      <c r="H172" s="30" t="str">
        <f t="shared" si="111"/>
        <v/>
      </c>
      <c r="I172" s="30" t="str">
        <f t="shared" si="112"/>
        <v/>
      </c>
      <c r="J172" s="30" t="str">
        <f>IF(A172="","",H172+CUSTOS!B172)</f>
        <v/>
      </c>
      <c r="K172" s="30" t="str">
        <f t="shared" si="134"/>
        <v/>
      </c>
      <c r="L172" s="30" t="str">
        <f t="shared" si="135"/>
        <v/>
      </c>
      <c r="M172" s="30" t="str">
        <f t="shared" si="136"/>
        <v/>
      </c>
      <c r="N172" s="30" t="str">
        <f t="shared" si="113"/>
        <v/>
      </c>
      <c r="O172" s="31" t="str">
        <f t="shared" si="137"/>
        <v/>
      </c>
      <c r="P172" s="32"/>
      <c r="Q172" s="33" t="str">
        <f t="shared" si="114"/>
        <v/>
      </c>
      <c r="R172" s="33" t="str">
        <f t="shared" si="115"/>
        <v/>
      </c>
      <c r="S172" s="33" t="str">
        <f t="shared" si="116"/>
        <v/>
      </c>
      <c r="T172" s="33" t="str">
        <f t="shared" si="117"/>
        <v/>
      </c>
      <c r="U172" s="33" t="str">
        <f t="shared" si="118"/>
        <v/>
      </c>
      <c r="V172" s="33" t="str">
        <f t="shared" si="119"/>
        <v/>
      </c>
      <c r="X172" s="33" t="str">
        <f t="shared" si="103"/>
        <v/>
      </c>
      <c r="Y172" s="30" t="str">
        <f t="shared" si="120"/>
        <v/>
      </c>
      <c r="Z172" s="30" t="str">
        <f t="shared" si="121"/>
        <v/>
      </c>
      <c r="AA172" s="30" t="str">
        <f t="shared" si="122"/>
        <v/>
      </c>
      <c r="AB172" s="30" t="str">
        <f t="shared" si="123"/>
        <v/>
      </c>
      <c r="AD172" s="33" t="str">
        <f t="shared" si="124"/>
        <v/>
      </c>
      <c r="AE172" s="30" t="str">
        <f t="shared" si="125"/>
        <v/>
      </c>
      <c r="AF172" s="30" t="str">
        <f t="shared" si="126"/>
        <v/>
      </c>
      <c r="AG172" s="30" t="str">
        <f t="shared" si="127"/>
        <v/>
      </c>
      <c r="AH172" s="30" t="str">
        <f t="shared" si="128"/>
        <v/>
      </c>
      <c r="AJ172" s="85" t="str">
        <f t="shared" si="105"/>
        <v/>
      </c>
      <c r="AK172" s="86" t="str">
        <f t="shared" si="147"/>
        <v/>
      </c>
      <c r="AL172" s="86" t="str">
        <f t="shared" si="148"/>
        <v/>
      </c>
      <c r="AM172" s="86" t="str">
        <f t="shared" si="149"/>
        <v/>
      </c>
      <c r="AN172" s="86" t="str">
        <f t="shared" si="150"/>
        <v/>
      </c>
      <c r="AO172" s="86" t="str">
        <f t="shared" si="151"/>
        <v/>
      </c>
      <c r="AQ172" s="33" t="str">
        <f t="shared" si="129"/>
        <v/>
      </c>
      <c r="AR172" s="30" t="str">
        <f t="shared" si="130"/>
        <v/>
      </c>
      <c r="AU172" s="20">
        <f t="shared" si="131"/>
        <v>0</v>
      </c>
      <c r="AV172" s="20">
        <f t="shared" si="132"/>
        <v>0</v>
      </c>
      <c r="AW172" s="19">
        <f t="shared" si="138"/>
        <v>0</v>
      </c>
      <c r="AX172" s="19">
        <f t="shared" si="139"/>
        <v>0</v>
      </c>
      <c r="AY172" s="19">
        <f t="shared" si="140"/>
        <v>0</v>
      </c>
      <c r="AZ172" s="19">
        <f t="shared" si="141"/>
        <v>0</v>
      </c>
      <c r="BA172" s="19">
        <f t="shared" si="142"/>
        <v>0</v>
      </c>
      <c r="BB172" s="19">
        <f t="shared" si="143"/>
        <v>0</v>
      </c>
      <c r="BC172" s="19">
        <f t="shared" si="144"/>
        <v>0</v>
      </c>
      <c r="BD172" s="19">
        <f>-IF(CUSTOS!B172="",0,CUSTOS!B172)</f>
        <v>0</v>
      </c>
      <c r="BF172" s="20">
        <f t="shared" si="145"/>
        <v>0</v>
      </c>
      <c r="BG172" s="20">
        <f t="shared" si="146"/>
        <v>0</v>
      </c>
      <c r="BH172" s="116">
        <f t="shared" si="146"/>
        <v>0</v>
      </c>
    </row>
    <row r="173" spans="1:60" ht="15" x14ac:dyDescent="0.25">
      <c r="A173" s="66" t="str">
        <f>IF(LARGE($A$11:A172,1)=$F$2,"",A172+1)</f>
        <v/>
      </c>
      <c r="B173" s="27" t="str">
        <f t="shared" si="106"/>
        <v/>
      </c>
      <c r="C173" s="28" t="str">
        <f t="shared" si="133"/>
        <v/>
      </c>
      <c r="D173" s="28" t="str">
        <f t="shared" si="107"/>
        <v/>
      </c>
      <c r="E173" s="28" t="str">
        <f t="shared" si="108"/>
        <v/>
      </c>
      <c r="F173" s="29" t="str">
        <f t="shared" si="109"/>
        <v/>
      </c>
      <c r="G173" s="29" t="str">
        <f t="shared" si="110"/>
        <v/>
      </c>
      <c r="H173" s="30" t="str">
        <f t="shared" si="111"/>
        <v/>
      </c>
      <c r="I173" s="30" t="str">
        <f t="shared" si="112"/>
        <v/>
      </c>
      <c r="J173" s="30" t="str">
        <f>IF(A173="","",H173+CUSTOS!B173)</f>
        <v/>
      </c>
      <c r="K173" s="30" t="str">
        <f t="shared" si="134"/>
        <v/>
      </c>
      <c r="L173" s="30" t="str">
        <f t="shared" si="135"/>
        <v/>
      </c>
      <c r="M173" s="30" t="str">
        <f t="shared" si="136"/>
        <v/>
      </c>
      <c r="N173" s="30" t="str">
        <f t="shared" si="113"/>
        <v/>
      </c>
      <c r="O173" s="31" t="str">
        <f t="shared" si="137"/>
        <v/>
      </c>
      <c r="P173" s="32"/>
      <c r="Q173" s="33" t="str">
        <f t="shared" si="114"/>
        <v/>
      </c>
      <c r="R173" s="33" t="str">
        <f t="shared" si="115"/>
        <v/>
      </c>
      <c r="S173" s="33" t="str">
        <f t="shared" si="116"/>
        <v/>
      </c>
      <c r="T173" s="33" t="str">
        <f t="shared" si="117"/>
        <v/>
      </c>
      <c r="U173" s="33" t="str">
        <f t="shared" si="118"/>
        <v/>
      </c>
      <c r="V173" s="33" t="str">
        <f t="shared" si="119"/>
        <v/>
      </c>
      <c r="X173" s="33" t="str">
        <f t="shared" si="103"/>
        <v/>
      </c>
      <c r="Y173" s="30" t="str">
        <f t="shared" si="120"/>
        <v/>
      </c>
      <c r="Z173" s="30" t="str">
        <f t="shared" si="121"/>
        <v/>
      </c>
      <c r="AA173" s="30" t="str">
        <f t="shared" si="122"/>
        <v/>
      </c>
      <c r="AB173" s="30" t="str">
        <f t="shared" si="123"/>
        <v/>
      </c>
      <c r="AD173" s="33" t="str">
        <f t="shared" si="124"/>
        <v/>
      </c>
      <c r="AE173" s="30" t="str">
        <f t="shared" si="125"/>
        <v/>
      </c>
      <c r="AF173" s="30" t="str">
        <f t="shared" si="126"/>
        <v/>
      </c>
      <c r="AG173" s="30" t="str">
        <f t="shared" si="127"/>
        <v/>
      </c>
      <c r="AH173" s="30" t="str">
        <f t="shared" si="128"/>
        <v/>
      </c>
      <c r="AJ173" s="85" t="str">
        <f t="shared" si="105"/>
        <v/>
      </c>
      <c r="AK173" s="86" t="str">
        <f t="shared" si="147"/>
        <v/>
      </c>
      <c r="AL173" s="86" t="str">
        <f t="shared" si="148"/>
        <v/>
      </c>
      <c r="AM173" s="86" t="str">
        <f t="shared" si="149"/>
        <v/>
      </c>
      <c r="AN173" s="86" t="str">
        <f t="shared" si="150"/>
        <v/>
      </c>
      <c r="AO173" s="86" t="str">
        <f t="shared" si="151"/>
        <v/>
      </c>
      <c r="AQ173" s="33" t="str">
        <f t="shared" si="129"/>
        <v/>
      </c>
      <c r="AR173" s="30" t="str">
        <f t="shared" si="130"/>
        <v/>
      </c>
      <c r="AU173" s="20">
        <f t="shared" si="131"/>
        <v>0</v>
      </c>
      <c r="AV173" s="20">
        <f t="shared" si="132"/>
        <v>0</v>
      </c>
      <c r="AW173" s="19">
        <f t="shared" si="138"/>
        <v>0</v>
      </c>
      <c r="AX173" s="19">
        <f t="shared" si="139"/>
        <v>0</v>
      </c>
      <c r="AY173" s="19">
        <f t="shared" si="140"/>
        <v>0</v>
      </c>
      <c r="AZ173" s="19">
        <f t="shared" si="141"/>
        <v>0</v>
      </c>
      <c r="BA173" s="19">
        <f t="shared" si="142"/>
        <v>0</v>
      </c>
      <c r="BB173" s="19">
        <f t="shared" si="143"/>
        <v>0</v>
      </c>
      <c r="BC173" s="19">
        <f t="shared" si="144"/>
        <v>0</v>
      </c>
      <c r="BD173" s="19">
        <f>-IF(CUSTOS!B173="",0,CUSTOS!B173)</f>
        <v>0</v>
      </c>
      <c r="BF173" s="20">
        <f t="shared" si="145"/>
        <v>0</v>
      </c>
      <c r="BG173" s="20">
        <f t="shared" si="146"/>
        <v>0</v>
      </c>
      <c r="BH173" s="116">
        <f t="shared" si="146"/>
        <v>0</v>
      </c>
    </row>
    <row r="174" spans="1:60" ht="15" x14ac:dyDescent="0.25">
      <c r="A174" s="66" t="str">
        <f>IF(LARGE($A$11:A173,1)=$F$2,"",A173+1)</f>
        <v/>
      </c>
      <c r="B174" s="27" t="str">
        <f t="shared" si="106"/>
        <v/>
      </c>
      <c r="C174" s="28" t="str">
        <f t="shared" si="133"/>
        <v/>
      </c>
      <c r="D174" s="28" t="str">
        <f t="shared" si="107"/>
        <v/>
      </c>
      <c r="E174" s="28" t="str">
        <f t="shared" si="108"/>
        <v/>
      </c>
      <c r="F174" s="29" t="str">
        <f t="shared" si="109"/>
        <v/>
      </c>
      <c r="G174" s="29" t="str">
        <f t="shared" si="110"/>
        <v/>
      </c>
      <c r="H174" s="30" t="str">
        <f t="shared" si="111"/>
        <v/>
      </c>
      <c r="I174" s="30" t="str">
        <f t="shared" si="112"/>
        <v/>
      </c>
      <c r="J174" s="30" t="str">
        <f>IF(A174="","",H174+CUSTOS!B174)</f>
        <v/>
      </c>
      <c r="K174" s="30" t="str">
        <f t="shared" si="134"/>
        <v/>
      </c>
      <c r="L174" s="30" t="str">
        <f t="shared" si="135"/>
        <v/>
      </c>
      <c r="M174" s="30" t="str">
        <f t="shared" si="136"/>
        <v/>
      </c>
      <c r="N174" s="30" t="str">
        <f t="shared" si="113"/>
        <v/>
      </c>
      <c r="O174" s="31" t="str">
        <f t="shared" si="137"/>
        <v/>
      </c>
      <c r="P174" s="32"/>
      <c r="Q174" s="33" t="str">
        <f t="shared" si="114"/>
        <v/>
      </c>
      <c r="R174" s="33" t="str">
        <f t="shared" si="115"/>
        <v/>
      </c>
      <c r="S174" s="33" t="str">
        <f t="shared" si="116"/>
        <v/>
      </c>
      <c r="T174" s="33" t="str">
        <f t="shared" si="117"/>
        <v/>
      </c>
      <c r="U174" s="33" t="str">
        <f t="shared" si="118"/>
        <v/>
      </c>
      <c r="V174" s="33" t="str">
        <f t="shared" si="119"/>
        <v/>
      </c>
      <c r="X174" s="33" t="str">
        <f t="shared" si="103"/>
        <v/>
      </c>
      <c r="Y174" s="30" t="str">
        <f t="shared" si="120"/>
        <v/>
      </c>
      <c r="Z174" s="30" t="str">
        <f t="shared" si="121"/>
        <v/>
      </c>
      <c r="AA174" s="30" t="str">
        <f t="shared" si="122"/>
        <v/>
      </c>
      <c r="AB174" s="30" t="str">
        <f t="shared" si="123"/>
        <v/>
      </c>
      <c r="AD174" s="33" t="str">
        <f t="shared" si="124"/>
        <v/>
      </c>
      <c r="AE174" s="30" t="str">
        <f t="shared" si="125"/>
        <v/>
      </c>
      <c r="AF174" s="30" t="str">
        <f t="shared" si="126"/>
        <v/>
      </c>
      <c r="AG174" s="30" t="str">
        <f t="shared" si="127"/>
        <v/>
      </c>
      <c r="AH174" s="30" t="str">
        <f t="shared" si="128"/>
        <v/>
      </c>
      <c r="AJ174" s="85" t="str">
        <f t="shared" si="105"/>
        <v/>
      </c>
      <c r="AK174" s="86" t="str">
        <f t="shared" si="147"/>
        <v/>
      </c>
      <c r="AL174" s="86" t="str">
        <f t="shared" si="148"/>
        <v/>
      </c>
      <c r="AM174" s="86" t="str">
        <f t="shared" si="149"/>
        <v/>
      </c>
      <c r="AN174" s="86" t="str">
        <f t="shared" si="150"/>
        <v/>
      </c>
      <c r="AO174" s="86" t="str">
        <f t="shared" si="151"/>
        <v/>
      </c>
      <c r="AQ174" s="33" t="str">
        <f t="shared" si="129"/>
        <v/>
      </c>
      <c r="AR174" s="30" t="str">
        <f t="shared" si="130"/>
        <v/>
      </c>
      <c r="AU174" s="20">
        <f t="shared" si="131"/>
        <v>0</v>
      </c>
      <c r="AV174" s="20">
        <f t="shared" si="132"/>
        <v>0</v>
      </c>
      <c r="AW174" s="19">
        <f t="shared" si="138"/>
        <v>0</v>
      </c>
      <c r="AX174" s="19">
        <f t="shared" si="139"/>
        <v>0</v>
      </c>
      <c r="AY174" s="19">
        <f t="shared" si="140"/>
        <v>0</v>
      </c>
      <c r="AZ174" s="19">
        <f t="shared" si="141"/>
        <v>0</v>
      </c>
      <c r="BA174" s="19">
        <f t="shared" si="142"/>
        <v>0</v>
      </c>
      <c r="BB174" s="19">
        <f t="shared" si="143"/>
        <v>0</v>
      </c>
      <c r="BC174" s="19">
        <f t="shared" si="144"/>
        <v>0</v>
      </c>
      <c r="BD174" s="19">
        <f>-IF(CUSTOS!B174="",0,CUSTOS!B174)</f>
        <v>0</v>
      </c>
      <c r="BF174" s="20">
        <f t="shared" si="145"/>
        <v>0</v>
      </c>
      <c r="BG174" s="20">
        <f t="shared" si="146"/>
        <v>0</v>
      </c>
      <c r="BH174" s="116">
        <f t="shared" si="146"/>
        <v>0</v>
      </c>
    </row>
    <row r="175" spans="1:60" ht="15" x14ac:dyDescent="0.25">
      <c r="A175" s="66" t="str">
        <f>IF(LARGE($A$11:A174,1)=$F$2,"",A174+1)</f>
        <v/>
      </c>
      <c r="B175" s="27" t="str">
        <f t="shared" si="106"/>
        <v/>
      </c>
      <c r="C175" s="28" t="str">
        <f t="shared" si="133"/>
        <v/>
      </c>
      <c r="D175" s="28" t="str">
        <f t="shared" si="107"/>
        <v/>
      </c>
      <c r="E175" s="28" t="str">
        <f t="shared" si="108"/>
        <v/>
      </c>
      <c r="F175" s="29" t="str">
        <f t="shared" si="109"/>
        <v/>
      </c>
      <c r="G175" s="29" t="str">
        <f t="shared" si="110"/>
        <v/>
      </c>
      <c r="H175" s="30" t="str">
        <f t="shared" si="111"/>
        <v/>
      </c>
      <c r="I175" s="30" t="str">
        <f t="shared" si="112"/>
        <v/>
      </c>
      <c r="J175" s="30" t="str">
        <f>IF(A175="","",H175+CUSTOS!B175)</f>
        <v/>
      </c>
      <c r="K175" s="30" t="str">
        <f t="shared" si="134"/>
        <v/>
      </c>
      <c r="L175" s="30" t="str">
        <f t="shared" si="135"/>
        <v/>
      </c>
      <c r="M175" s="30" t="str">
        <f t="shared" si="136"/>
        <v/>
      </c>
      <c r="N175" s="30" t="str">
        <f t="shared" si="113"/>
        <v/>
      </c>
      <c r="O175" s="31" t="str">
        <f t="shared" si="137"/>
        <v/>
      </c>
      <c r="P175" s="32"/>
      <c r="Q175" s="33" t="str">
        <f t="shared" si="114"/>
        <v/>
      </c>
      <c r="R175" s="33" t="str">
        <f t="shared" si="115"/>
        <v/>
      </c>
      <c r="S175" s="33" t="str">
        <f t="shared" si="116"/>
        <v/>
      </c>
      <c r="T175" s="33" t="str">
        <f t="shared" si="117"/>
        <v/>
      </c>
      <c r="U175" s="33" t="str">
        <f t="shared" si="118"/>
        <v/>
      </c>
      <c r="V175" s="33" t="str">
        <f t="shared" si="119"/>
        <v/>
      </c>
      <c r="X175" s="33" t="str">
        <f t="shared" si="103"/>
        <v/>
      </c>
      <c r="Y175" s="30" t="str">
        <f t="shared" si="120"/>
        <v/>
      </c>
      <c r="Z175" s="30" t="str">
        <f t="shared" si="121"/>
        <v/>
      </c>
      <c r="AA175" s="30" t="str">
        <f t="shared" si="122"/>
        <v/>
      </c>
      <c r="AB175" s="30" t="str">
        <f t="shared" si="123"/>
        <v/>
      </c>
      <c r="AD175" s="33" t="str">
        <f t="shared" si="124"/>
        <v/>
      </c>
      <c r="AE175" s="30" t="str">
        <f t="shared" si="125"/>
        <v/>
      </c>
      <c r="AF175" s="30" t="str">
        <f t="shared" si="126"/>
        <v/>
      </c>
      <c r="AG175" s="30" t="str">
        <f t="shared" si="127"/>
        <v/>
      </c>
      <c r="AH175" s="30" t="str">
        <f t="shared" si="128"/>
        <v/>
      </c>
      <c r="AJ175" s="85" t="str">
        <f t="shared" si="105"/>
        <v/>
      </c>
      <c r="AK175" s="86" t="str">
        <f t="shared" si="147"/>
        <v/>
      </c>
      <c r="AL175" s="86" t="str">
        <f t="shared" si="148"/>
        <v/>
      </c>
      <c r="AM175" s="86" t="str">
        <f t="shared" si="149"/>
        <v/>
      </c>
      <c r="AN175" s="86" t="str">
        <f t="shared" si="150"/>
        <v/>
      </c>
      <c r="AO175" s="86" t="str">
        <f t="shared" si="151"/>
        <v/>
      </c>
      <c r="AQ175" s="33" t="str">
        <f t="shared" si="129"/>
        <v/>
      </c>
      <c r="AR175" s="30" t="str">
        <f t="shared" si="130"/>
        <v/>
      </c>
      <c r="AU175" s="20">
        <f t="shared" si="131"/>
        <v>0</v>
      </c>
      <c r="AV175" s="20">
        <f t="shared" si="132"/>
        <v>0</v>
      </c>
      <c r="AW175" s="19">
        <f t="shared" si="138"/>
        <v>0</v>
      </c>
      <c r="AX175" s="19">
        <f t="shared" si="139"/>
        <v>0</v>
      </c>
      <c r="AY175" s="19">
        <f t="shared" si="140"/>
        <v>0</v>
      </c>
      <c r="AZ175" s="19">
        <f t="shared" si="141"/>
        <v>0</v>
      </c>
      <c r="BA175" s="19">
        <f t="shared" si="142"/>
        <v>0</v>
      </c>
      <c r="BB175" s="19">
        <f t="shared" si="143"/>
        <v>0</v>
      </c>
      <c r="BC175" s="19">
        <f t="shared" si="144"/>
        <v>0</v>
      </c>
      <c r="BD175" s="19">
        <f>-IF(CUSTOS!B175="",0,CUSTOS!B175)</f>
        <v>0</v>
      </c>
      <c r="BF175" s="20">
        <f t="shared" si="145"/>
        <v>0</v>
      </c>
      <c r="BG175" s="20">
        <f t="shared" si="146"/>
        <v>0</v>
      </c>
      <c r="BH175" s="116">
        <f t="shared" si="146"/>
        <v>0</v>
      </c>
    </row>
    <row r="176" spans="1:60" ht="15" x14ac:dyDescent="0.25">
      <c r="A176" s="66" t="str">
        <f>IF(LARGE($A$11:A175,1)=$F$2,"",A175+1)</f>
        <v/>
      </c>
      <c r="B176" s="27" t="str">
        <f t="shared" si="106"/>
        <v/>
      </c>
      <c r="C176" s="28" t="str">
        <f t="shared" si="133"/>
        <v/>
      </c>
      <c r="D176" s="28" t="str">
        <f t="shared" si="107"/>
        <v/>
      </c>
      <c r="E176" s="28" t="str">
        <f t="shared" si="108"/>
        <v/>
      </c>
      <c r="F176" s="29" t="str">
        <f t="shared" si="109"/>
        <v/>
      </c>
      <c r="G176" s="29" t="str">
        <f t="shared" si="110"/>
        <v/>
      </c>
      <c r="H176" s="30" t="str">
        <f t="shared" si="111"/>
        <v/>
      </c>
      <c r="I176" s="30" t="str">
        <f t="shared" si="112"/>
        <v/>
      </c>
      <c r="J176" s="30" t="str">
        <f>IF(A176="","",H176+CUSTOS!B176)</f>
        <v/>
      </c>
      <c r="K176" s="30" t="str">
        <f t="shared" si="134"/>
        <v/>
      </c>
      <c r="L176" s="30" t="str">
        <f t="shared" si="135"/>
        <v/>
      </c>
      <c r="M176" s="30" t="str">
        <f t="shared" si="136"/>
        <v/>
      </c>
      <c r="N176" s="30" t="str">
        <f t="shared" si="113"/>
        <v/>
      </c>
      <c r="O176" s="31" t="str">
        <f t="shared" si="137"/>
        <v/>
      </c>
      <c r="P176" s="32"/>
      <c r="Q176" s="33" t="str">
        <f t="shared" si="114"/>
        <v/>
      </c>
      <c r="R176" s="33" t="str">
        <f t="shared" si="115"/>
        <v/>
      </c>
      <c r="S176" s="33" t="str">
        <f t="shared" si="116"/>
        <v/>
      </c>
      <c r="T176" s="33" t="str">
        <f t="shared" si="117"/>
        <v/>
      </c>
      <c r="U176" s="33" t="str">
        <f t="shared" si="118"/>
        <v/>
      </c>
      <c r="V176" s="33" t="str">
        <f t="shared" si="119"/>
        <v/>
      </c>
      <c r="X176" s="33" t="str">
        <f t="shared" si="103"/>
        <v/>
      </c>
      <c r="Y176" s="30" t="str">
        <f t="shared" si="120"/>
        <v/>
      </c>
      <c r="Z176" s="30" t="str">
        <f t="shared" si="121"/>
        <v/>
      </c>
      <c r="AA176" s="30" t="str">
        <f t="shared" si="122"/>
        <v/>
      </c>
      <c r="AB176" s="30" t="str">
        <f t="shared" si="123"/>
        <v/>
      </c>
      <c r="AD176" s="33" t="str">
        <f t="shared" si="124"/>
        <v/>
      </c>
      <c r="AE176" s="30" t="str">
        <f t="shared" si="125"/>
        <v/>
      </c>
      <c r="AF176" s="30" t="str">
        <f t="shared" si="126"/>
        <v/>
      </c>
      <c r="AG176" s="30" t="str">
        <f t="shared" si="127"/>
        <v/>
      </c>
      <c r="AH176" s="30" t="str">
        <f t="shared" si="128"/>
        <v/>
      </c>
      <c r="AJ176" s="85" t="str">
        <f t="shared" si="105"/>
        <v/>
      </c>
      <c r="AK176" s="86" t="str">
        <f t="shared" si="147"/>
        <v/>
      </c>
      <c r="AL176" s="86" t="str">
        <f t="shared" si="148"/>
        <v/>
      </c>
      <c r="AM176" s="86" t="str">
        <f t="shared" si="149"/>
        <v/>
      </c>
      <c r="AN176" s="86" t="str">
        <f t="shared" si="150"/>
        <v/>
      </c>
      <c r="AO176" s="86" t="str">
        <f t="shared" si="151"/>
        <v/>
      </c>
      <c r="AQ176" s="33" t="str">
        <f t="shared" si="129"/>
        <v/>
      </c>
      <c r="AR176" s="30" t="str">
        <f t="shared" si="130"/>
        <v/>
      </c>
      <c r="AU176" s="20">
        <f t="shared" si="131"/>
        <v>0</v>
      </c>
      <c r="AV176" s="20">
        <f t="shared" si="132"/>
        <v>0</v>
      </c>
      <c r="AW176" s="19">
        <f t="shared" si="138"/>
        <v>0</v>
      </c>
      <c r="AX176" s="19">
        <f t="shared" si="139"/>
        <v>0</v>
      </c>
      <c r="AY176" s="19">
        <f t="shared" si="140"/>
        <v>0</v>
      </c>
      <c r="AZ176" s="19">
        <f t="shared" si="141"/>
        <v>0</v>
      </c>
      <c r="BA176" s="19">
        <f t="shared" si="142"/>
        <v>0</v>
      </c>
      <c r="BB176" s="19">
        <f t="shared" si="143"/>
        <v>0</v>
      </c>
      <c r="BC176" s="19">
        <f t="shared" si="144"/>
        <v>0</v>
      </c>
      <c r="BD176" s="19">
        <f>-IF(CUSTOS!B176="",0,CUSTOS!B176)</f>
        <v>0</v>
      </c>
      <c r="BF176" s="20">
        <f t="shared" si="145"/>
        <v>0</v>
      </c>
      <c r="BG176" s="20">
        <f t="shared" si="146"/>
        <v>0</v>
      </c>
      <c r="BH176" s="116">
        <f t="shared" si="146"/>
        <v>0</v>
      </c>
    </row>
    <row r="177" spans="1:60" ht="15" x14ac:dyDescent="0.25">
      <c r="A177" s="66" t="str">
        <f>IF(LARGE($A$11:A176,1)=$F$2,"",A176+1)</f>
        <v/>
      </c>
      <c r="B177" s="27" t="str">
        <f t="shared" si="106"/>
        <v/>
      </c>
      <c r="C177" s="28" t="str">
        <f t="shared" si="133"/>
        <v/>
      </c>
      <c r="D177" s="28" t="str">
        <f t="shared" si="107"/>
        <v/>
      </c>
      <c r="E177" s="28" t="str">
        <f t="shared" si="108"/>
        <v/>
      </c>
      <c r="F177" s="29" t="str">
        <f t="shared" si="109"/>
        <v/>
      </c>
      <c r="G177" s="29" t="str">
        <f t="shared" si="110"/>
        <v/>
      </c>
      <c r="H177" s="30" t="str">
        <f t="shared" si="111"/>
        <v/>
      </c>
      <c r="I177" s="30" t="str">
        <f t="shared" si="112"/>
        <v/>
      </c>
      <c r="J177" s="30" t="str">
        <f>IF(A177="","",H177+CUSTOS!B177)</f>
        <v/>
      </c>
      <c r="K177" s="30" t="str">
        <f t="shared" si="134"/>
        <v/>
      </c>
      <c r="L177" s="30" t="str">
        <f t="shared" si="135"/>
        <v/>
      </c>
      <c r="M177" s="30" t="str">
        <f t="shared" si="136"/>
        <v/>
      </c>
      <c r="N177" s="30" t="str">
        <f t="shared" si="113"/>
        <v/>
      </c>
      <c r="O177" s="31" t="str">
        <f t="shared" si="137"/>
        <v/>
      </c>
      <c r="P177" s="32"/>
      <c r="Q177" s="33" t="str">
        <f t="shared" si="114"/>
        <v/>
      </c>
      <c r="R177" s="33" t="str">
        <f t="shared" si="115"/>
        <v/>
      </c>
      <c r="S177" s="33" t="str">
        <f t="shared" si="116"/>
        <v/>
      </c>
      <c r="T177" s="33" t="str">
        <f t="shared" si="117"/>
        <v/>
      </c>
      <c r="U177" s="33" t="str">
        <f t="shared" si="118"/>
        <v/>
      </c>
      <c r="V177" s="33" t="str">
        <f t="shared" si="119"/>
        <v/>
      </c>
      <c r="X177" s="33" t="str">
        <f t="shared" si="103"/>
        <v/>
      </c>
      <c r="Y177" s="30" t="str">
        <f t="shared" si="120"/>
        <v/>
      </c>
      <c r="Z177" s="30" t="str">
        <f t="shared" si="121"/>
        <v/>
      </c>
      <c r="AA177" s="30" t="str">
        <f t="shared" si="122"/>
        <v/>
      </c>
      <c r="AB177" s="30" t="str">
        <f t="shared" si="123"/>
        <v/>
      </c>
      <c r="AD177" s="33" t="str">
        <f t="shared" si="124"/>
        <v/>
      </c>
      <c r="AE177" s="30" t="str">
        <f t="shared" si="125"/>
        <v/>
      </c>
      <c r="AF177" s="30" t="str">
        <f t="shared" si="126"/>
        <v/>
      </c>
      <c r="AG177" s="30" t="str">
        <f t="shared" si="127"/>
        <v/>
      </c>
      <c r="AH177" s="30" t="str">
        <f t="shared" si="128"/>
        <v/>
      </c>
      <c r="AJ177" s="85" t="str">
        <f t="shared" si="105"/>
        <v/>
      </c>
      <c r="AK177" s="86" t="str">
        <f t="shared" si="147"/>
        <v/>
      </c>
      <c r="AL177" s="86" t="str">
        <f t="shared" si="148"/>
        <v/>
      </c>
      <c r="AM177" s="86" t="str">
        <f t="shared" si="149"/>
        <v/>
      </c>
      <c r="AN177" s="86" t="str">
        <f t="shared" si="150"/>
        <v/>
      </c>
      <c r="AO177" s="86" t="str">
        <f t="shared" si="151"/>
        <v/>
      </c>
      <c r="AQ177" s="33" t="str">
        <f t="shared" si="129"/>
        <v/>
      </c>
      <c r="AR177" s="30" t="str">
        <f t="shared" si="130"/>
        <v/>
      </c>
      <c r="AU177" s="20">
        <f t="shared" si="131"/>
        <v>0</v>
      </c>
      <c r="AV177" s="20">
        <f t="shared" si="132"/>
        <v>0</v>
      </c>
      <c r="AW177" s="19">
        <f t="shared" si="138"/>
        <v>0</v>
      </c>
      <c r="AX177" s="19">
        <f t="shared" si="139"/>
        <v>0</v>
      </c>
      <c r="AY177" s="19">
        <f t="shared" si="140"/>
        <v>0</v>
      </c>
      <c r="AZ177" s="19">
        <f t="shared" si="141"/>
        <v>0</v>
      </c>
      <c r="BA177" s="19">
        <f t="shared" si="142"/>
        <v>0</v>
      </c>
      <c r="BB177" s="19">
        <f t="shared" si="143"/>
        <v>0</v>
      </c>
      <c r="BC177" s="19">
        <f t="shared" si="144"/>
        <v>0</v>
      </c>
      <c r="BD177" s="19">
        <f>-IF(CUSTOS!B177="",0,CUSTOS!B177)</f>
        <v>0</v>
      </c>
      <c r="BF177" s="20">
        <f t="shared" si="145"/>
        <v>0</v>
      </c>
      <c r="BG177" s="20">
        <f t="shared" si="146"/>
        <v>0</v>
      </c>
      <c r="BH177" s="116">
        <f t="shared" si="146"/>
        <v>0</v>
      </c>
    </row>
    <row r="178" spans="1:60" ht="15" x14ac:dyDescent="0.25">
      <c r="A178" s="66" t="str">
        <f>IF(LARGE($A$11:A177,1)=$F$2,"",A177+1)</f>
        <v/>
      </c>
      <c r="B178" s="27" t="str">
        <f t="shared" si="106"/>
        <v/>
      </c>
      <c r="C178" s="28" t="str">
        <f t="shared" si="133"/>
        <v/>
      </c>
      <c r="D178" s="28" t="str">
        <f t="shared" si="107"/>
        <v/>
      </c>
      <c r="E178" s="28" t="str">
        <f t="shared" si="108"/>
        <v/>
      </c>
      <c r="F178" s="29" t="str">
        <f t="shared" si="109"/>
        <v/>
      </c>
      <c r="G178" s="29" t="str">
        <f t="shared" si="110"/>
        <v/>
      </c>
      <c r="H178" s="30" t="str">
        <f t="shared" si="111"/>
        <v/>
      </c>
      <c r="I178" s="30" t="str">
        <f t="shared" si="112"/>
        <v/>
      </c>
      <c r="J178" s="30" t="str">
        <f>IF(A178="","",H178+CUSTOS!B178)</f>
        <v/>
      </c>
      <c r="K178" s="30" t="str">
        <f t="shared" si="134"/>
        <v/>
      </c>
      <c r="L178" s="30" t="str">
        <f t="shared" si="135"/>
        <v/>
      </c>
      <c r="M178" s="30" t="str">
        <f t="shared" si="136"/>
        <v/>
      </c>
      <c r="N178" s="30" t="str">
        <f t="shared" si="113"/>
        <v/>
      </c>
      <c r="O178" s="31" t="str">
        <f t="shared" si="137"/>
        <v/>
      </c>
      <c r="P178" s="32"/>
      <c r="Q178" s="33" t="str">
        <f t="shared" si="114"/>
        <v/>
      </c>
      <c r="R178" s="33" t="str">
        <f t="shared" si="115"/>
        <v/>
      </c>
      <c r="S178" s="33" t="str">
        <f t="shared" si="116"/>
        <v/>
      </c>
      <c r="T178" s="33" t="str">
        <f t="shared" si="117"/>
        <v/>
      </c>
      <c r="U178" s="33" t="str">
        <f t="shared" si="118"/>
        <v/>
      </c>
      <c r="V178" s="33" t="str">
        <f t="shared" si="119"/>
        <v/>
      </c>
      <c r="X178" s="33" t="str">
        <f t="shared" si="103"/>
        <v/>
      </c>
      <c r="Y178" s="30" t="str">
        <f t="shared" si="120"/>
        <v/>
      </c>
      <c r="Z178" s="30" t="str">
        <f t="shared" si="121"/>
        <v/>
      </c>
      <c r="AA178" s="30" t="str">
        <f t="shared" si="122"/>
        <v/>
      </c>
      <c r="AB178" s="30" t="str">
        <f t="shared" si="123"/>
        <v/>
      </c>
      <c r="AD178" s="33" t="str">
        <f t="shared" si="124"/>
        <v/>
      </c>
      <c r="AE178" s="30" t="str">
        <f t="shared" si="125"/>
        <v/>
      </c>
      <c r="AF178" s="30" t="str">
        <f t="shared" si="126"/>
        <v/>
      </c>
      <c r="AG178" s="30" t="str">
        <f t="shared" si="127"/>
        <v/>
      </c>
      <c r="AH178" s="30" t="str">
        <f t="shared" si="128"/>
        <v/>
      </c>
      <c r="AJ178" s="85" t="str">
        <f t="shared" si="105"/>
        <v/>
      </c>
      <c r="AK178" s="86" t="str">
        <f t="shared" si="147"/>
        <v/>
      </c>
      <c r="AL178" s="86" t="str">
        <f t="shared" si="148"/>
        <v/>
      </c>
      <c r="AM178" s="86" t="str">
        <f t="shared" si="149"/>
        <v/>
      </c>
      <c r="AN178" s="86" t="str">
        <f t="shared" si="150"/>
        <v/>
      </c>
      <c r="AO178" s="86" t="str">
        <f t="shared" si="151"/>
        <v/>
      </c>
      <c r="AQ178" s="33" t="str">
        <f t="shared" si="129"/>
        <v/>
      </c>
      <c r="AR178" s="30" t="str">
        <f t="shared" si="130"/>
        <v/>
      </c>
      <c r="AU178" s="20">
        <f t="shared" si="131"/>
        <v>0</v>
      </c>
      <c r="AV178" s="20">
        <f t="shared" si="132"/>
        <v>0</v>
      </c>
      <c r="AW178" s="19">
        <f t="shared" si="138"/>
        <v>0</v>
      </c>
      <c r="AX178" s="19">
        <f t="shared" si="139"/>
        <v>0</v>
      </c>
      <c r="AY178" s="19">
        <f t="shared" si="140"/>
        <v>0</v>
      </c>
      <c r="AZ178" s="19">
        <f t="shared" si="141"/>
        <v>0</v>
      </c>
      <c r="BA178" s="19">
        <f t="shared" si="142"/>
        <v>0</v>
      </c>
      <c r="BB178" s="19">
        <f t="shared" si="143"/>
        <v>0</v>
      </c>
      <c r="BC178" s="19">
        <f t="shared" si="144"/>
        <v>0</v>
      </c>
      <c r="BD178" s="19">
        <f>-IF(CUSTOS!B178="",0,CUSTOS!B178)</f>
        <v>0</v>
      </c>
      <c r="BF178" s="20">
        <f t="shared" si="145"/>
        <v>0</v>
      </c>
      <c r="BG178" s="20">
        <f t="shared" si="146"/>
        <v>0</v>
      </c>
      <c r="BH178" s="116">
        <f t="shared" si="146"/>
        <v>0</v>
      </c>
    </row>
    <row r="179" spans="1:60" ht="15" x14ac:dyDescent="0.25">
      <c r="A179" s="66" t="str">
        <f>IF(LARGE($A$11:A178,1)=$F$2,"",A178+1)</f>
        <v/>
      </c>
      <c r="B179" s="27" t="str">
        <f t="shared" si="106"/>
        <v/>
      </c>
      <c r="C179" s="28" t="str">
        <f t="shared" si="133"/>
        <v/>
      </c>
      <c r="D179" s="28" t="str">
        <f t="shared" si="107"/>
        <v/>
      </c>
      <c r="E179" s="28" t="str">
        <f t="shared" si="108"/>
        <v/>
      </c>
      <c r="F179" s="29" t="str">
        <f t="shared" si="109"/>
        <v/>
      </c>
      <c r="G179" s="29" t="str">
        <f t="shared" si="110"/>
        <v/>
      </c>
      <c r="H179" s="30" t="str">
        <f t="shared" si="111"/>
        <v/>
      </c>
      <c r="I179" s="30" t="str">
        <f t="shared" si="112"/>
        <v/>
      </c>
      <c r="J179" s="30" t="str">
        <f>IF(A179="","",H179+CUSTOS!B179)</f>
        <v/>
      </c>
      <c r="K179" s="30" t="str">
        <f t="shared" si="134"/>
        <v/>
      </c>
      <c r="L179" s="30" t="str">
        <f t="shared" si="135"/>
        <v/>
      </c>
      <c r="M179" s="30" t="str">
        <f t="shared" si="136"/>
        <v/>
      </c>
      <c r="N179" s="30" t="str">
        <f t="shared" si="113"/>
        <v/>
      </c>
      <c r="O179" s="31" t="str">
        <f t="shared" si="137"/>
        <v/>
      </c>
      <c r="P179" s="32"/>
      <c r="Q179" s="33" t="str">
        <f t="shared" si="114"/>
        <v/>
      </c>
      <c r="R179" s="33" t="str">
        <f t="shared" si="115"/>
        <v/>
      </c>
      <c r="S179" s="33" t="str">
        <f t="shared" si="116"/>
        <v/>
      </c>
      <c r="T179" s="33" t="str">
        <f t="shared" si="117"/>
        <v/>
      </c>
      <c r="U179" s="33" t="str">
        <f t="shared" si="118"/>
        <v/>
      </c>
      <c r="V179" s="33" t="str">
        <f t="shared" si="119"/>
        <v/>
      </c>
      <c r="X179" s="33" t="str">
        <f t="shared" si="103"/>
        <v/>
      </c>
      <c r="Y179" s="30" t="str">
        <f t="shared" si="120"/>
        <v/>
      </c>
      <c r="Z179" s="30" t="str">
        <f t="shared" si="121"/>
        <v/>
      </c>
      <c r="AA179" s="30" t="str">
        <f t="shared" si="122"/>
        <v/>
      </c>
      <c r="AB179" s="30" t="str">
        <f t="shared" si="123"/>
        <v/>
      </c>
      <c r="AD179" s="33" t="str">
        <f t="shared" si="124"/>
        <v/>
      </c>
      <c r="AE179" s="30" t="str">
        <f t="shared" si="125"/>
        <v/>
      </c>
      <c r="AF179" s="30" t="str">
        <f t="shared" si="126"/>
        <v/>
      </c>
      <c r="AG179" s="30" t="str">
        <f t="shared" si="127"/>
        <v/>
      </c>
      <c r="AH179" s="30" t="str">
        <f t="shared" si="128"/>
        <v/>
      </c>
      <c r="AJ179" s="85" t="str">
        <f t="shared" si="105"/>
        <v/>
      </c>
      <c r="AK179" s="86" t="str">
        <f t="shared" si="147"/>
        <v/>
      </c>
      <c r="AL179" s="86" t="str">
        <f t="shared" si="148"/>
        <v/>
      </c>
      <c r="AM179" s="86" t="str">
        <f t="shared" si="149"/>
        <v/>
      </c>
      <c r="AN179" s="86" t="str">
        <f t="shared" si="150"/>
        <v/>
      </c>
      <c r="AO179" s="86" t="str">
        <f t="shared" si="151"/>
        <v/>
      </c>
      <c r="AQ179" s="33" t="str">
        <f t="shared" si="129"/>
        <v/>
      </c>
      <c r="AR179" s="30" t="str">
        <f t="shared" si="130"/>
        <v/>
      </c>
      <c r="AU179" s="20">
        <f t="shared" si="131"/>
        <v>0</v>
      </c>
      <c r="AV179" s="20">
        <f t="shared" si="132"/>
        <v>0</v>
      </c>
      <c r="AW179" s="19">
        <f t="shared" si="138"/>
        <v>0</v>
      </c>
      <c r="AX179" s="19">
        <f t="shared" si="139"/>
        <v>0</v>
      </c>
      <c r="AY179" s="19">
        <f t="shared" si="140"/>
        <v>0</v>
      </c>
      <c r="AZ179" s="19">
        <f t="shared" si="141"/>
        <v>0</v>
      </c>
      <c r="BA179" s="19">
        <f t="shared" si="142"/>
        <v>0</v>
      </c>
      <c r="BB179" s="19">
        <f t="shared" si="143"/>
        <v>0</v>
      </c>
      <c r="BC179" s="19">
        <f t="shared" si="144"/>
        <v>0</v>
      </c>
      <c r="BD179" s="19">
        <f>-IF(CUSTOS!B179="",0,CUSTOS!B179)</f>
        <v>0</v>
      </c>
      <c r="BF179" s="20">
        <f t="shared" si="145"/>
        <v>0</v>
      </c>
      <c r="BG179" s="20">
        <f t="shared" si="146"/>
        <v>0</v>
      </c>
      <c r="BH179" s="116">
        <f t="shared" si="146"/>
        <v>0</v>
      </c>
    </row>
    <row r="180" spans="1:60" ht="15" x14ac:dyDescent="0.25">
      <c r="A180" s="66" t="str">
        <f>IF(LARGE($A$11:A179,1)=$F$2,"",A179+1)</f>
        <v/>
      </c>
      <c r="B180" s="27" t="str">
        <f t="shared" si="106"/>
        <v/>
      </c>
      <c r="C180" s="28" t="str">
        <f t="shared" si="133"/>
        <v/>
      </c>
      <c r="D180" s="28" t="str">
        <f t="shared" si="107"/>
        <v/>
      </c>
      <c r="E180" s="28" t="str">
        <f t="shared" si="108"/>
        <v/>
      </c>
      <c r="F180" s="29" t="str">
        <f t="shared" si="109"/>
        <v/>
      </c>
      <c r="G180" s="29" t="str">
        <f t="shared" si="110"/>
        <v/>
      </c>
      <c r="H180" s="30" t="str">
        <f t="shared" si="111"/>
        <v/>
      </c>
      <c r="I180" s="30" t="str">
        <f t="shared" si="112"/>
        <v/>
      </c>
      <c r="J180" s="30" t="str">
        <f>IF(A180="","",H180+CUSTOS!B180)</f>
        <v/>
      </c>
      <c r="K180" s="30" t="str">
        <f t="shared" si="134"/>
        <v/>
      </c>
      <c r="L180" s="30" t="str">
        <f t="shared" si="135"/>
        <v/>
      </c>
      <c r="M180" s="30" t="str">
        <f t="shared" si="136"/>
        <v/>
      </c>
      <c r="N180" s="30" t="str">
        <f t="shared" si="113"/>
        <v/>
      </c>
      <c r="O180" s="31" t="str">
        <f t="shared" si="137"/>
        <v/>
      </c>
      <c r="P180" s="32"/>
      <c r="Q180" s="33" t="str">
        <f t="shared" si="114"/>
        <v/>
      </c>
      <c r="R180" s="33" t="str">
        <f t="shared" si="115"/>
        <v/>
      </c>
      <c r="S180" s="33" t="str">
        <f t="shared" si="116"/>
        <v/>
      </c>
      <c r="T180" s="33" t="str">
        <f t="shared" si="117"/>
        <v/>
      </c>
      <c r="U180" s="33" t="str">
        <f t="shared" si="118"/>
        <v/>
      </c>
      <c r="V180" s="33" t="str">
        <f t="shared" si="119"/>
        <v/>
      </c>
      <c r="X180" s="33" t="str">
        <f t="shared" si="103"/>
        <v/>
      </c>
      <c r="Y180" s="30" t="str">
        <f t="shared" si="120"/>
        <v/>
      </c>
      <c r="Z180" s="30" t="str">
        <f t="shared" si="121"/>
        <v/>
      </c>
      <c r="AA180" s="30" t="str">
        <f t="shared" si="122"/>
        <v/>
      </c>
      <c r="AB180" s="30" t="str">
        <f t="shared" si="123"/>
        <v/>
      </c>
      <c r="AD180" s="33" t="str">
        <f t="shared" si="124"/>
        <v/>
      </c>
      <c r="AE180" s="30" t="str">
        <f t="shared" si="125"/>
        <v/>
      </c>
      <c r="AF180" s="30" t="str">
        <f t="shared" si="126"/>
        <v/>
      </c>
      <c r="AG180" s="30" t="str">
        <f t="shared" si="127"/>
        <v/>
      </c>
      <c r="AH180" s="30" t="str">
        <f t="shared" si="128"/>
        <v/>
      </c>
      <c r="AJ180" s="85" t="str">
        <f t="shared" si="105"/>
        <v/>
      </c>
      <c r="AK180" s="86" t="str">
        <f t="shared" si="147"/>
        <v/>
      </c>
      <c r="AL180" s="86" t="str">
        <f t="shared" si="148"/>
        <v/>
      </c>
      <c r="AM180" s="86" t="str">
        <f t="shared" si="149"/>
        <v/>
      </c>
      <c r="AN180" s="86" t="str">
        <f t="shared" si="150"/>
        <v/>
      </c>
      <c r="AO180" s="86" t="str">
        <f t="shared" si="151"/>
        <v/>
      </c>
      <c r="AQ180" s="33" t="str">
        <f t="shared" si="129"/>
        <v/>
      </c>
      <c r="AR180" s="30" t="str">
        <f t="shared" si="130"/>
        <v/>
      </c>
      <c r="AU180" s="20">
        <f t="shared" si="131"/>
        <v>0</v>
      </c>
      <c r="AV180" s="20">
        <f t="shared" si="132"/>
        <v>0</v>
      </c>
      <c r="AW180" s="19">
        <f t="shared" si="138"/>
        <v>0</v>
      </c>
      <c r="AX180" s="19">
        <f t="shared" si="139"/>
        <v>0</v>
      </c>
      <c r="AY180" s="19">
        <f t="shared" si="140"/>
        <v>0</v>
      </c>
      <c r="AZ180" s="19">
        <f t="shared" si="141"/>
        <v>0</v>
      </c>
      <c r="BA180" s="19">
        <f t="shared" si="142"/>
        <v>0</v>
      </c>
      <c r="BB180" s="19">
        <f t="shared" si="143"/>
        <v>0</v>
      </c>
      <c r="BC180" s="19">
        <f t="shared" si="144"/>
        <v>0</v>
      </c>
      <c r="BD180" s="19">
        <f>-IF(CUSTOS!B180="",0,CUSTOS!B180)</f>
        <v>0</v>
      </c>
      <c r="BF180" s="20">
        <f t="shared" si="145"/>
        <v>0</v>
      </c>
      <c r="BG180" s="20">
        <f t="shared" si="146"/>
        <v>0</v>
      </c>
      <c r="BH180" s="116">
        <f t="shared" si="146"/>
        <v>0</v>
      </c>
    </row>
    <row r="181" spans="1:60" ht="15" x14ac:dyDescent="0.25">
      <c r="A181" s="66" t="str">
        <f>IF(LARGE($A$11:A180,1)=$F$2,"",A180+1)</f>
        <v/>
      </c>
      <c r="B181" s="27" t="str">
        <f t="shared" si="106"/>
        <v/>
      </c>
      <c r="C181" s="28" t="str">
        <f t="shared" si="133"/>
        <v/>
      </c>
      <c r="D181" s="28" t="str">
        <f t="shared" si="107"/>
        <v/>
      </c>
      <c r="E181" s="28" t="str">
        <f t="shared" si="108"/>
        <v/>
      </c>
      <c r="F181" s="29" t="str">
        <f t="shared" si="109"/>
        <v/>
      </c>
      <c r="G181" s="29" t="str">
        <f t="shared" si="110"/>
        <v/>
      </c>
      <c r="H181" s="30" t="str">
        <f t="shared" si="111"/>
        <v/>
      </c>
      <c r="I181" s="30" t="str">
        <f t="shared" si="112"/>
        <v/>
      </c>
      <c r="J181" s="30" t="str">
        <f>IF(A181="","",H181+CUSTOS!B181)</f>
        <v/>
      </c>
      <c r="K181" s="30" t="str">
        <f t="shared" si="134"/>
        <v/>
      </c>
      <c r="L181" s="30" t="str">
        <f t="shared" si="135"/>
        <v/>
      </c>
      <c r="M181" s="30" t="str">
        <f t="shared" si="136"/>
        <v/>
      </c>
      <c r="N181" s="30" t="str">
        <f t="shared" si="113"/>
        <v/>
      </c>
      <c r="O181" s="31" t="str">
        <f t="shared" si="137"/>
        <v/>
      </c>
      <c r="P181" s="32"/>
      <c r="Q181" s="33" t="str">
        <f t="shared" si="114"/>
        <v/>
      </c>
      <c r="R181" s="33" t="str">
        <f t="shared" si="115"/>
        <v/>
      </c>
      <c r="S181" s="33" t="str">
        <f t="shared" si="116"/>
        <v/>
      </c>
      <c r="T181" s="33" t="str">
        <f t="shared" si="117"/>
        <v/>
      </c>
      <c r="U181" s="33" t="str">
        <f t="shared" si="118"/>
        <v/>
      </c>
      <c r="V181" s="33" t="str">
        <f t="shared" si="119"/>
        <v/>
      </c>
      <c r="X181" s="33" t="str">
        <f t="shared" si="103"/>
        <v/>
      </c>
      <c r="Y181" s="30" t="str">
        <f t="shared" si="120"/>
        <v/>
      </c>
      <c r="Z181" s="30" t="str">
        <f t="shared" si="121"/>
        <v/>
      </c>
      <c r="AA181" s="30" t="str">
        <f t="shared" si="122"/>
        <v/>
      </c>
      <c r="AB181" s="30" t="str">
        <f t="shared" si="123"/>
        <v/>
      </c>
      <c r="AD181" s="33" t="str">
        <f t="shared" si="124"/>
        <v/>
      </c>
      <c r="AE181" s="30" t="str">
        <f t="shared" si="125"/>
        <v/>
      </c>
      <c r="AF181" s="30" t="str">
        <f t="shared" si="126"/>
        <v/>
      </c>
      <c r="AG181" s="30" t="str">
        <f t="shared" si="127"/>
        <v/>
      </c>
      <c r="AH181" s="30" t="str">
        <f t="shared" si="128"/>
        <v/>
      </c>
      <c r="AJ181" s="85" t="str">
        <f t="shared" si="105"/>
        <v/>
      </c>
      <c r="AK181" s="86" t="str">
        <f t="shared" si="147"/>
        <v/>
      </c>
      <c r="AL181" s="86" t="str">
        <f t="shared" si="148"/>
        <v/>
      </c>
      <c r="AM181" s="86" t="str">
        <f t="shared" si="149"/>
        <v/>
      </c>
      <c r="AN181" s="86" t="str">
        <f t="shared" si="150"/>
        <v/>
      </c>
      <c r="AO181" s="86" t="str">
        <f t="shared" si="151"/>
        <v/>
      </c>
      <c r="AQ181" s="33" t="str">
        <f t="shared" si="129"/>
        <v/>
      </c>
      <c r="AR181" s="30" t="str">
        <f t="shared" si="130"/>
        <v/>
      </c>
      <c r="AU181" s="20">
        <f t="shared" si="131"/>
        <v>0</v>
      </c>
      <c r="AV181" s="20">
        <f t="shared" si="132"/>
        <v>0</v>
      </c>
      <c r="AW181" s="19">
        <f t="shared" si="138"/>
        <v>0</v>
      </c>
      <c r="AX181" s="19">
        <f t="shared" si="139"/>
        <v>0</v>
      </c>
      <c r="AY181" s="19">
        <f t="shared" si="140"/>
        <v>0</v>
      </c>
      <c r="AZ181" s="19">
        <f t="shared" si="141"/>
        <v>0</v>
      </c>
      <c r="BA181" s="19">
        <f t="shared" si="142"/>
        <v>0</v>
      </c>
      <c r="BB181" s="19">
        <f t="shared" si="143"/>
        <v>0</v>
      </c>
      <c r="BC181" s="19">
        <f t="shared" si="144"/>
        <v>0</v>
      </c>
      <c r="BD181" s="19">
        <f>-IF(CUSTOS!B181="",0,CUSTOS!B181)</f>
        <v>0</v>
      </c>
      <c r="BF181" s="20">
        <f t="shared" si="145"/>
        <v>0</v>
      </c>
      <c r="BG181" s="20">
        <f t="shared" si="146"/>
        <v>0</v>
      </c>
      <c r="BH181" s="116">
        <f t="shared" si="146"/>
        <v>0</v>
      </c>
    </row>
    <row r="182" spans="1:60" ht="15" x14ac:dyDescent="0.25">
      <c r="A182" s="66" t="str">
        <f>IF(LARGE($A$11:A181,1)=$F$2,"",A181+1)</f>
        <v/>
      </c>
      <c r="B182" s="27" t="str">
        <f t="shared" si="106"/>
        <v/>
      </c>
      <c r="C182" s="28" t="str">
        <f t="shared" si="133"/>
        <v/>
      </c>
      <c r="D182" s="28" t="str">
        <f t="shared" si="107"/>
        <v/>
      </c>
      <c r="E182" s="28" t="str">
        <f t="shared" si="108"/>
        <v/>
      </c>
      <c r="F182" s="29" t="str">
        <f t="shared" si="109"/>
        <v/>
      </c>
      <c r="G182" s="29" t="str">
        <f t="shared" si="110"/>
        <v/>
      </c>
      <c r="H182" s="30" t="str">
        <f t="shared" si="111"/>
        <v/>
      </c>
      <c r="I182" s="30" t="str">
        <f t="shared" si="112"/>
        <v/>
      </c>
      <c r="J182" s="30" t="str">
        <f>IF(A182="","",H182+CUSTOS!B182)</f>
        <v/>
      </c>
      <c r="K182" s="30" t="str">
        <f t="shared" si="134"/>
        <v/>
      </c>
      <c r="L182" s="30" t="str">
        <f t="shared" si="135"/>
        <v/>
      </c>
      <c r="M182" s="30" t="str">
        <f t="shared" si="136"/>
        <v/>
      </c>
      <c r="N182" s="30" t="str">
        <f t="shared" si="113"/>
        <v/>
      </c>
      <c r="O182" s="31" t="str">
        <f t="shared" si="137"/>
        <v/>
      </c>
      <c r="P182" s="32"/>
      <c r="Q182" s="33" t="str">
        <f t="shared" si="114"/>
        <v/>
      </c>
      <c r="R182" s="33" t="str">
        <f t="shared" si="115"/>
        <v/>
      </c>
      <c r="S182" s="33" t="str">
        <f t="shared" si="116"/>
        <v/>
      </c>
      <c r="T182" s="33" t="str">
        <f t="shared" si="117"/>
        <v/>
      </c>
      <c r="U182" s="33" t="str">
        <f t="shared" si="118"/>
        <v/>
      </c>
      <c r="V182" s="33" t="str">
        <f t="shared" si="119"/>
        <v/>
      </c>
      <c r="X182" s="33" t="str">
        <f t="shared" si="103"/>
        <v/>
      </c>
      <c r="Y182" s="30" t="str">
        <f t="shared" si="120"/>
        <v/>
      </c>
      <c r="Z182" s="30" t="str">
        <f t="shared" si="121"/>
        <v/>
      </c>
      <c r="AA182" s="30" t="str">
        <f t="shared" si="122"/>
        <v/>
      </c>
      <c r="AB182" s="30" t="str">
        <f t="shared" si="123"/>
        <v/>
      </c>
      <c r="AD182" s="33" t="str">
        <f t="shared" si="124"/>
        <v/>
      </c>
      <c r="AE182" s="30" t="str">
        <f t="shared" si="125"/>
        <v/>
      </c>
      <c r="AF182" s="30" t="str">
        <f t="shared" si="126"/>
        <v/>
      </c>
      <c r="AG182" s="30" t="str">
        <f t="shared" si="127"/>
        <v/>
      </c>
      <c r="AH182" s="30" t="str">
        <f t="shared" si="128"/>
        <v/>
      </c>
      <c r="AJ182" s="85" t="str">
        <f t="shared" si="105"/>
        <v/>
      </c>
      <c r="AK182" s="86" t="str">
        <f t="shared" si="147"/>
        <v/>
      </c>
      <c r="AL182" s="86" t="str">
        <f t="shared" si="148"/>
        <v/>
      </c>
      <c r="AM182" s="86" t="str">
        <f t="shared" si="149"/>
        <v/>
      </c>
      <c r="AN182" s="86" t="str">
        <f t="shared" si="150"/>
        <v/>
      </c>
      <c r="AO182" s="86" t="str">
        <f t="shared" si="151"/>
        <v/>
      </c>
      <c r="AQ182" s="33" t="str">
        <f t="shared" si="129"/>
        <v/>
      </c>
      <c r="AR182" s="30" t="str">
        <f t="shared" si="130"/>
        <v/>
      </c>
      <c r="AU182" s="20">
        <f t="shared" si="131"/>
        <v>0</v>
      </c>
      <c r="AV182" s="20">
        <f t="shared" si="132"/>
        <v>0</v>
      </c>
      <c r="AW182" s="19">
        <f t="shared" si="138"/>
        <v>0</v>
      </c>
      <c r="AX182" s="19">
        <f t="shared" si="139"/>
        <v>0</v>
      </c>
      <c r="AY182" s="19">
        <f t="shared" si="140"/>
        <v>0</v>
      </c>
      <c r="AZ182" s="19">
        <f t="shared" si="141"/>
        <v>0</v>
      </c>
      <c r="BA182" s="19">
        <f t="shared" si="142"/>
        <v>0</v>
      </c>
      <c r="BB182" s="19">
        <f t="shared" si="143"/>
        <v>0</v>
      </c>
      <c r="BC182" s="19">
        <f t="shared" si="144"/>
        <v>0</v>
      </c>
      <c r="BD182" s="19">
        <f>-IF(CUSTOS!B182="",0,CUSTOS!B182)</f>
        <v>0</v>
      </c>
      <c r="BF182" s="20">
        <f t="shared" si="145"/>
        <v>0</v>
      </c>
      <c r="BG182" s="20">
        <f t="shared" si="146"/>
        <v>0</v>
      </c>
      <c r="BH182" s="116">
        <f t="shared" si="146"/>
        <v>0</v>
      </c>
    </row>
    <row r="183" spans="1:60" ht="15" x14ac:dyDescent="0.25">
      <c r="A183" s="66" t="str">
        <f>IF(LARGE($A$11:A182,1)=$F$2,"",A182+1)</f>
        <v/>
      </c>
      <c r="B183" s="27" t="str">
        <f t="shared" si="106"/>
        <v/>
      </c>
      <c r="C183" s="28" t="str">
        <f t="shared" si="133"/>
        <v/>
      </c>
      <c r="D183" s="28" t="str">
        <f t="shared" si="107"/>
        <v/>
      </c>
      <c r="E183" s="28" t="str">
        <f t="shared" si="108"/>
        <v/>
      </c>
      <c r="F183" s="29" t="str">
        <f t="shared" si="109"/>
        <v/>
      </c>
      <c r="G183" s="29" t="str">
        <f t="shared" si="110"/>
        <v/>
      </c>
      <c r="H183" s="30" t="str">
        <f t="shared" si="111"/>
        <v/>
      </c>
      <c r="I183" s="30" t="str">
        <f t="shared" si="112"/>
        <v/>
      </c>
      <c r="J183" s="30" t="str">
        <f>IF(A183="","",H183+CUSTOS!B183)</f>
        <v/>
      </c>
      <c r="K183" s="30" t="str">
        <f t="shared" si="134"/>
        <v/>
      </c>
      <c r="L183" s="30" t="str">
        <f t="shared" si="135"/>
        <v/>
      </c>
      <c r="M183" s="30" t="str">
        <f t="shared" si="136"/>
        <v/>
      </c>
      <c r="N183" s="30" t="str">
        <f t="shared" si="113"/>
        <v/>
      </c>
      <c r="O183" s="31" t="str">
        <f t="shared" si="137"/>
        <v/>
      </c>
      <c r="P183" s="32"/>
      <c r="Q183" s="33" t="str">
        <f t="shared" si="114"/>
        <v/>
      </c>
      <c r="R183" s="33" t="str">
        <f t="shared" si="115"/>
        <v/>
      </c>
      <c r="S183" s="33" t="str">
        <f t="shared" si="116"/>
        <v/>
      </c>
      <c r="T183" s="33" t="str">
        <f t="shared" si="117"/>
        <v/>
      </c>
      <c r="U183" s="33" t="str">
        <f t="shared" si="118"/>
        <v/>
      </c>
      <c r="V183" s="33" t="str">
        <f t="shared" si="119"/>
        <v/>
      </c>
      <c r="X183" s="33" t="str">
        <f t="shared" si="103"/>
        <v/>
      </c>
      <c r="Y183" s="30" t="str">
        <f t="shared" si="120"/>
        <v/>
      </c>
      <c r="Z183" s="30" t="str">
        <f t="shared" si="121"/>
        <v/>
      </c>
      <c r="AA183" s="30" t="str">
        <f t="shared" si="122"/>
        <v/>
      </c>
      <c r="AB183" s="30" t="str">
        <f t="shared" si="123"/>
        <v/>
      </c>
      <c r="AD183" s="33" t="str">
        <f t="shared" si="124"/>
        <v/>
      </c>
      <c r="AE183" s="30" t="str">
        <f t="shared" si="125"/>
        <v/>
      </c>
      <c r="AF183" s="30" t="str">
        <f t="shared" si="126"/>
        <v/>
      </c>
      <c r="AG183" s="30" t="str">
        <f t="shared" si="127"/>
        <v/>
      </c>
      <c r="AH183" s="30" t="str">
        <f t="shared" si="128"/>
        <v/>
      </c>
      <c r="AJ183" s="85" t="str">
        <f t="shared" si="105"/>
        <v/>
      </c>
      <c r="AK183" s="86" t="str">
        <f t="shared" si="147"/>
        <v/>
      </c>
      <c r="AL183" s="86" t="str">
        <f t="shared" si="148"/>
        <v/>
      </c>
      <c r="AM183" s="86" t="str">
        <f t="shared" si="149"/>
        <v/>
      </c>
      <c r="AN183" s="86" t="str">
        <f t="shared" si="150"/>
        <v/>
      </c>
      <c r="AO183" s="86" t="str">
        <f t="shared" si="151"/>
        <v/>
      </c>
      <c r="AQ183" s="33" t="str">
        <f t="shared" si="129"/>
        <v/>
      </c>
      <c r="AR183" s="30" t="str">
        <f t="shared" si="130"/>
        <v/>
      </c>
      <c r="AU183" s="20">
        <f t="shared" si="131"/>
        <v>0</v>
      </c>
      <c r="AV183" s="20">
        <f t="shared" si="132"/>
        <v>0</v>
      </c>
      <c r="AW183" s="19">
        <f t="shared" si="138"/>
        <v>0</v>
      </c>
      <c r="AX183" s="19">
        <f t="shared" si="139"/>
        <v>0</v>
      </c>
      <c r="AY183" s="19">
        <f t="shared" si="140"/>
        <v>0</v>
      </c>
      <c r="AZ183" s="19">
        <f t="shared" si="141"/>
        <v>0</v>
      </c>
      <c r="BA183" s="19">
        <f t="shared" si="142"/>
        <v>0</v>
      </c>
      <c r="BB183" s="19">
        <f t="shared" si="143"/>
        <v>0</v>
      </c>
      <c r="BC183" s="19">
        <f t="shared" si="144"/>
        <v>0</v>
      </c>
      <c r="BD183" s="19">
        <f>-IF(CUSTOS!B183="",0,CUSTOS!B183)</f>
        <v>0</v>
      </c>
      <c r="BF183" s="20">
        <f t="shared" si="145"/>
        <v>0</v>
      </c>
      <c r="BG183" s="20">
        <f t="shared" si="146"/>
        <v>0</v>
      </c>
      <c r="BH183" s="116">
        <f t="shared" si="146"/>
        <v>0</v>
      </c>
    </row>
    <row r="184" spans="1:60" ht="15" x14ac:dyDescent="0.25">
      <c r="A184" s="66" t="str">
        <f>IF(LARGE($A$11:A183,1)=$F$2,"",A183+1)</f>
        <v/>
      </c>
      <c r="B184" s="27" t="str">
        <f t="shared" si="106"/>
        <v/>
      </c>
      <c r="C184" s="28" t="str">
        <f t="shared" si="133"/>
        <v/>
      </c>
      <c r="D184" s="28" t="str">
        <f t="shared" si="107"/>
        <v/>
      </c>
      <c r="E184" s="28" t="str">
        <f t="shared" si="108"/>
        <v/>
      </c>
      <c r="F184" s="29" t="str">
        <f t="shared" si="109"/>
        <v/>
      </c>
      <c r="G184" s="29" t="str">
        <f t="shared" si="110"/>
        <v/>
      </c>
      <c r="H184" s="30" t="str">
        <f t="shared" si="111"/>
        <v/>
      </c>
      <c r="I184" s="30" t="str">
        <f t="shared" si="112"/>
        <v/>
      </c>
      <c r="J184" s="30" t="str">
        <f>IF(A184="","",H184+CUSTOS!B184)</f>
        <v/>
      </c>
      <c r="K184" s="30" t="str">
        <f t="shared" si="134"/>
        <v/>
      </c>
      <c r="L184" s="30" t="str">
        <f t="shared" si="135"/>
        <v/>
      </c>
      <c r="M184" s="30" t="str">
        <f t="shared" si="136"/>
        <v/>
      </c>
      <c r="N184" s="30" t="str">
        <f t="shared" si="113"/>
        <v/>
      </c>
      <c r="O184" s="31" t="str">
        <f t="shared" si="137"/>
        <v/>
      </c>
      <c r="P184" s="32"/>
      <c r="Q184" s="33" t="str">
        <f t="shared" si="114"/>
        <v/>
      </c>
      <c r="R184" s="33" t="str">
        <f t="shared" si="115"/>
        <v/>
      </c>
      <c r="S184" s="33" t="str">
        <f t="shared" si="116"/>
        <v/>
      </c>
      <c r="T184" s="33" t="str">
        <f t="shared" si="117"/>
        <v/>
      </c>
      <c r="U184" s="33" t="str">
        <f t="shared" si="118"/>
        <v/>
      </c>
      <c r="V184" s="33" t="str">
        <f t="shared" si="119"/>
        <v/>
      </c>
      <c r="X184" s="33" t="str">
        <f t="shared" si="103"/>
        <v/>
      </c>
      <c r="Y184" s="30" t="str">
        <f t="shared" si="120"/>
        <v/>
      </c>
      <c r="Z184" s="30" t="str">
        <f t="shared" si="121"/>
        <v/>
      </c>
      <c r="AA184" s="30" t="str">
        <f t="shared" si="122"/>
        <v/>
      </c>
      <c r="AB184" s="30" t="str">
        <f t="shared" si="123"/>
        <v/>
      </c>
      <c r="AD184" s="33" t="str">
        <f t="shared" si="124"/>
        <v/>
      </c>
      <c r="AE184" s="30" t="str">
        <f t="shared" si="125"/>
        <v/>
      </c>
      <c r="AF184" s="30" t="str">
        <f t="shared" si="126"/>
        <v/>
      </c>
      <c r="AG184" s="30" t="str">
        <f t="shared" si="127"/>
        <v/>
      </c>
      <c r="AH184" s="30" t="str">
        <f t="shared" si="128"/>
        <v/>
      </c>
      <c r="AJ184" s="85" t="str">
        <f t="shared" si="105"/>
        <v/>
      </c>
      <c r="AK184" s="86" t="str">
        <f t="shared" si="147"/>
        <v/>
      </c>
      <c r="AL184" s="86" t="str">
        <f t="shared" si="148"/>
        <v/>
      </c>
      <c r="AM184" s="86" t="str">
        <f t="shared" si="149"/>
        <v/>
      </c>
      <c r="AN184" s="86" t="str">
        <f t="shared" si="150"/>
        <v/>
      </c>
      <c r="AO184" s="86" t="str">
        <f t="shared" si="151"/>
        <v/>
      </c>
      <c r="AQ184" s="33" t="str">
        <f t="shared" si="129"/>
        <v/>
      </c>
      <c r="AR184" s="30" t="str">
        <f t="shared" si="130"/>
        <v/>
      </c>
      <c r="AU184" s="20">
        <f t="shared" si="131"/>
        <v>0</v>
      </c>
      <c r="AV184" s="20">
        <f t="shared" si="132"/>
        <v>0</v>
      </c>
      <c r="AW184" s="19">
        <f t="shared" si="138"/>
        <v>0</v>
      </c>
      <c r="AX184" s="19">
        <f t="shared" si="139"/>
        <v>0</v>
      </c>
      <c r="AY184" s="19">
        <f t="shared" si="140"/>
        <v>0</v>
      </c>
      <c r="AZ184" s="19">
        <f t="shared" si="141"/>
        <v>0</v>
      </c>
      <c r="BA184" s="19">
        <f t="shared" si="142"/>
        <v>0</v>
      </c>
      <c r="BB184" s="19">
        <f t="shared" si="143"/>
        <v>0</v>
      </c>
      <c r="BC184" s="19">
        <f t="shared" si="144"/>
        <v>0</v>
      </c>
      <c r="BD184" s="19">
        <f>-IF(CUSTOS!B184="",0,CUSTOS!B184)</f>
        <v>0</v>
      </c>
      <c r="BF184" s="20">
        <f t="shared" si="145"/>
        <v>0</v>
      </c>
      <c r="BG184" s="20">
        <f t="shared" si="146"/>
        <v>0</v>
      </c>
      <c r="BH184" s="116">
        <f t="shared" si="146"/>
        <v>0</v>
      </c>
    </row>
    <row r="185" spans="1:60" ht="15" x14ac:dyDescent="0.25">
      <c r="A185" s="66" t="str">
        <f>IF(LARGE($A$11:A184,1)=$F$2,"",A184+1)</f>
        <v/>
      </c>
      <c r="B185" s="27" t="str">
        <f t="shared" si="106"/>
        <v/>
      </c>
      <c r="C185" s="28" t="str">
        <f t="shared" si="133"/>
        <v/>
      </c>
      <c r="D185" s="28" t="str">
        <f t="shared" si="107"/>
        <v/>
      </c>
      <c r="E185" s="28" t="str">
        <f t="shared" si="108"/>
        <v/>
      </c>
      <c r="F185" s="29" t="str">
        <f t="shared" si="109"/>
        <v/>
      </c>
      <c r="G185" s="29" t="str">
        <f t="shared" si="110"/>
        <v/>
      </c>
      <c r="H185" s="30" t="str">
        <f t="shared" si="111"/>
        <v/>
      </c>
      <c r="I185" s="30" t="str">
        <f t="shared" si="112"/>
        <v/>
      </c>
      <c r="J185" s="30" t="str">
        <f>IF(A185="","",H185+CUSTOS!B185)</f>
        <v/>
      </c>
      <c r="K185" s="30" t="str">
        <f t="shared" si="134"/>
        <v/>
      </c>
      <c r="L185" s="30" t="str">
        <f t="shared" si="135"/>
        <v/>
      </c>
      <c r="M185" s="30" t="str">
        <f t="shared" si="136"/>
        <v/>
      </c>
      <c r="N185" s="30" t="str">
        <f t="shared" si="113"/>
        <v/>
      </c>
      <c r="O185" s="31" t="str">
        <f t="shared" si="137"/>
        <v/>
      </c>
      <c r="P185" s="32"/>
      <c r="Q185" s="33" t="str">
        <f t="shared" si="114"/>
        <v/>
      </c>
      <c r="R185" s="33" t="str">
        <f t="shared" si="115"/>
        <v/>
      </c>
      <c r="S185" s="33" t="str">
        <f t="shared" si="116"/>
        <v/>
      </c>
      <c r="T185" s="33" t="str">
        <f t="shared" si="117"/>
        <v/>
      </c>
      <c r="U185" s="33" t="str">
        <f t="shared" si="118"/>
        <v/>
      </c>
      <c r="V185" s="33" t="str">
        <f t="shared" si="119"/>
        <v/>
      </c>
      <c r="X185" s="33" t="str">
        <f t="shared" si="103"/>
        <v/>
      </c>
      <c r="Y185" s="30" t="str">
        <f t="shared" si="120"/>
        <v/>
      </c>
      <c r="Z185" s="30" t="str">
        <f t="shared" si="121"/>
        <v/>
      </c>
      <c r="AA185" s="30" t="str">
        <f t="shared" si="122"/>
        <v/>
      </c>
      <c r="AB185" s="30" t="str">
        <f t="shared" si="123"/>
        <v/>
      </c>
      <c r="AD185" s="33" t="str">
        <f t="shared" si="124"/>
        <v/>
      </c>
      <c r="AE185" s="30" t="str">
        <f t="shared" si="125"/>
        <v/>
      </c>
      <c r="AF185" s="30" t="str">
        <f t="shared" si="126"/>
        <v/>
      </c>
      <c r="AG185" s="30" t="str">
        <f t="shared" si="127"/>
        <v/>
      </c>
      <c r="AH185" s="30" t="str">
        <f t="shared" si="128"/>
        <v/>
      </c>
      <c r="AJ185" s="85" t="str">
        <f t="shared" si="105"/>
        <v/>
      </c>
      <c r="AK185" s="86" t="str">
        <f t="shared" si="147"/>
        <v/>
      </c>
      <c r="AL185" s="86" t="str">
        <f t="shared" si="148"/>
        <v/>
      </c>
      <c r="AM185" s="86" t="str">
        <f t="shared" si="149"/>
        <v/>
      </c>
      <c r="AN185" s="86" t="str">
        <f t="shared" si="150"/>
        <v/>
      </c>
      <c r="AO185" s="86" t="str">
        <f t="shared" si="151"/>
        <v/>
      </c>
      <c r="AQ185" s="33" t="str">
        <f t="shared" si="129"/>
        <v/>
      </c>
      <c r="AR185" s="30" t="str">
        <f t="shared" si="130"/>
        <v/>
      </c>
      <c r="AU185" s="20">
        <f t="shared" si="131"/>
        <v>0</v>
      </c>
      <c r="AV185" s="20">
        <f t="shared" si="132"/>
        <v>0</v>
      </c>
      <c r="AW185" s="19">
        <f t="shared" si="138"/>
        <v>0</v>
      </c>
      <c r="AX185" s="19">
        <f t="shared" si="139"/>
        <v>0</v>
      </c>
      <c r="AY185" s="19">
        <f t="shared" si="140"/>
        <v>0</v>
      </c>
      <c r="AZ185" s="19">
        <f t="shared" si="141"/>
        <v>0</v>
      </c>
      <c r="BA185" s="19">
        <f t="shared" si="142"/>
        <v>0</v>
      </c>
      <c r="BB185" s="19">
        <f t="shared" si="143"/>
        <v>0</v>
      </c>
      <c r="BC185" s="19">
        <f t="shared" si="144"/>
        <v>0</v>
      </c>
      <c r="BD185" s="19">
        <f>-IF(CUSTOS!B185="",0,CUSTOS!B185)</f>
        <v>0</v>
      </c>
      <c r="BF185" s="20">
        <f t="shared" si="145"/>
        <v>0</v>
      </c>
      <c r="BG185" s="20">
        <f t="shared" si="146"/>
        <v>0</v>
      </c>
      <c r="BH185" s="116">
        <f t="shared" si="146"/>
        <v>0</v>
      </c>
    </row>
    <row r="186" spans="1:60" ht="15" x14ac:dyDescent="0.25">
      <c r="A186" s="66" t="str">
        <f>IF(LARGE($A$11:A185,1)=$F$2,"",A185+1)</f>
        <v/>
      </c>
      <c r="B186" s="27" t="str">
        <f t="shared" si="106"/>
        <v/>
      </c>
      <c r="C186" s="28" t="str">
        <f t="shared" si="133"/>
        <v/>
      </c>
      <c r="D186" s="28" t="str">
        <f t="shared" si="107"/>
        <v/>
      </c>
      <c r="E186" s="28" t="str">
        <f t="shared" si="108"/>
        <v/>
      </c>
      <c r="F186" s="29" t="str">
        <f t="shared" si="109"/>
        <v/>
      </c>
      <c r="G186" s="29" t="str">
        <f t="shared" si="110"/>
        <v/>
      </c>
      <c r="H186" s="30" t="str">
        <f t="shared" si="111"/>
        <v/>
      </c>
      <c r="I186" s="30" t="str">
        <f t="shared" si="112"/>
        <v/>
      </c>
      <c r="J186" s="30" t="str">
        <f>IF(A186="","",H186+CUSTOS!B186)</f>
        <v/>
      </c>
      <c r="K186" s="30" t="str">
        <f t="shared" si="134"/>
        <v/>
      </c>
      <c r="L186" s="30" t="str">
        <f t="shared" si="135"/>
        <v/>
      </c>
      <c r="M186" s="30" t="str">
        <f t="shared" si="136"/>
        <v/>
      </c>
      <c r="N186" s="30" t="str">
        <f t="shared" si="113"/>
        <v/>
      </c>
      <c r="O186" s="31" t="str">
        <f t="shared" si="137"/>
        <v/>
      </c>
      <c r="P186" s="32"/>
      <c r="Q186" s="33" t="str">
        <f t="shared" si="114"/>
        <v/>
      </c>
      <c r="R186" s="33" t="str">
        <f t="shared" si="115"/>
        <v/>
      </c>
      <c r="S186" s="33" t="str">
        <f t="shared" si="116"/>
        <v/>
      </c>
      <c r="T186" s="33" t="str">
        <f t="shared" si="117"/>
        <v/>
      </c>
      <c r="U186" s="33" t="str">
        <f t="shared" si="118"/>
        <v/>
      </c>
      <c r="V186" s="33" t="str">
        <f t="shared" si="119"/>
        <v/>
      </c>
      <c r="X186" s="33" t="str">
        <f t="shared" si="103"/>
        <v/>
      </c>
      <c r="Y186" s="30" t="str">
        <f t="shared" si="120"/>
        <v/>
      </c>
      <c r="Z186" s="30" t="str">
        <f t="shared" si="121"/>
        <v/>
      </c>
      <c r="AA186" s="30" t="str">
        <f t="shared" si="122"/>
        <v/>
      </c>
      <c r="AB186" s="30" t="str">
        <f t="shared" si="123"/>
        <v/>
      </c>
      <c r="AD186" s="33" t="str">
        <f t="shared" si="124"/>
        <v/>
      </c>
      <c r="AE186" s="30" t="str">
        <f t="shared" si="125"/>
        <v/>
      </c>
      <c r="AF186" s="30" t="str">
        <f t="shared" si="126"/>
        <v/>
      </c>
      <c r="AG186" s="30" t="str">
        <f t="shared" si="127"/>
        <v/>
      </c>
      <c r="AH186" s="30" t="str">
        <f t="shared" si="128"/>
        <v/>
      </c>
      <c r="AJ186" s="85" t="str">
        <f t="shared" si="105"/>
        <v/>
      </c>
      <c r="AK186" s="86" t="str">
        <f t="shared" si="147"/>
        <v/>
      </c>
      <c r="AL186" s="86" t="str">
        <f t="shared" si="148"/>
        <v/>
      </c>
      <c r="AM186" s="86" t="str">
        <f t="shared" si="149"/>
        <v/>
      </c>
      <c r="AN186" s="86" t="str">
        <f t="shared" si="150"/>
        <v/>
      </c>
      <c r="AO186" s="86" t="str">
        <f t="shared" si="151"/>
        <v/>
      </c>
      <c r="AQ186" s="33" t="str">
        <f t="shared" si="129"/>
        <v/>
      </c>
      <c r="AR186" s="30" t="str">
        <f t="shared" si="130"/>
        <v/>
      </c>
      <c r="AU186" s="20">
        <f t="shared" si="131"/>
        <v>0</v>
      </c>
      <c r="AV186" s="20">
        <f t="shared" si="132"/>
        <v>0</v>
      </c>
      <c r="AW186" s="19">
        <f t="shared" si="138"/>
        <v>0</v>
      </c>
      <c r="AX186" s="19">
        <f t="shared" si="139"/>
        <v>0</v>
      </c>
      <c r="AY186" s="19">
        <f t="shared" si="140"/>
        <v>0</v>
      </c>
      <c r="AZ186" s="19">
        <f t="shared" si="141"/>
        <v>0</v>
      </c>
      <c r="BA186" s="19">
        <f t="shared" si="142"/>
        <v>0</v>
      </c>
      <c r="BB186" s="19">
        <f t="shared" si="143"/>
        <v>0</v>
      </c>
      <c r="BC186" s="19">
        <f t="shared" si="144"/>
        <v>0</v>
      </c>
      <c r="BD186" s="19">
        <f>-IF(CUSTOS!B186="",0,CUSTOS!B186)</f>
        <v>0</v>
      </c>
      <c r="BF186" s="20">
        <f t="shared" si="145"/>
        <v>0</v>
      </c>
      <c r="BG186" s="20">
        <f t="shared" si="146"/>
        <v>0</v>
      </c>
      <c r="BH186" s="116">
        <f t="shared" si="146"/>
        <v>0</v>
      </c>
    </row>
    <row r="187" spans="1:60" ht="15" x14ac:dyDescent="0.25">
      <c r="A187" s="66" t="str">
        <f>IF(LARGE($A$11:A186,1)=$F$2,"",A186+1)</f>
        <v/>
      </c>
      <c r="B187" s="27" t="str">
        <f t="shared" si="106"/>
        <v/>
      </c>
      <c r="C187" s="28" t="str">
        <f t="shared" si="133"/>
        <v/>
      </c>
      <c r="D187" s="28" t="str">
        <f t="shared" si="107"/>
        <v/>
      </c>
      <c r="E187" s="28" t="str">
        <f t="shared" si="108"/>
        <v/>
      </c>
      <c r="F187" s="29" t="str">
        <f t="shared" si="109"/>
        <v/>
      </c>
      <c r="G187" s="29" t="str">
        <f t="shared" si="110"/>
        <v/>
      </c>
      <c r="H187" s="30" t="str">
        <f t="shared" si="111"/>
        <v/>
      </c>
      <c r="I187" s="30" t="str">
        <f t="shared" si="112"/>
        <v/>
      </c>
      <c r="J187" s="30" t="str">
        <f>IF(A187="","",H187+CUSTOS!B187)</f>
        <v/>
      </c>
      <c r="K187" s="30" t="str">
        <f t="shared" si="134"/>
        <v/>
      </c>
      <c r="L187" s="30" t="str">
        <f t="shared" si="135"/>
        <v/>
      </c>
      <c r="M187" s="30" t="str">
        <f t="shared" si="136"/>
        <v/>
      </c>
      <c r="N187" s="30" t="str">
        <f t="shared" si="113"/>
        <v/>
      </c>
      <c r="O187" s="31" t="str">
        <f t="shared" si="137"/>
        <v/>
      </c>
      <c r="P187" s="32"/>
      <c r="Q187" s="33" t="str">
        <f t="shared" si="114"/>
        <v/>
      </c>
      <c r="R187" s="33" t="str">
        <f t="shared" si="115"/>
        <v/>
      </c>
      <c r="S187" s="33" t="str">
        <f t="shared" si="116"/>
        <v/>
      </c>
      <c r="T187" s="33" t="str">
        <f t="shared" si="117"/>
        <v/>
      </c>
      <c r="U187" s="33" t="str">
        <f t="shared" si="118"/>
        <v/>
      </c>
      <c r="V187" s="33" t="str">
        <f t="shared" si="119"/>
        <v/>
      </c>
      <c r="X187" s="33" t="str">
        <f t="shared" si="103"/>
        <v/>
      </c>
      <c r="Y187" s="30" t="str">
        <f t="shared" si="120"/>
        <v/>
      </c>
      <c r="Z187" s="30" t="str">
        <f t="shared" si="121"/>
        <v/>
      </c>
      <c r="AA187" s="30" t="str">
        <f t="shared" si="122"/>
        <v/>
      </c>
      <c r="AB187" s="30" t="str">
        <f t="shared" si="123"/>
        <v/>
      </c>
      <c r="AD187" s="33" t="str">
        <f t="shared" si="124"/>
        <v/>
      </c>
      <c r="AE187" s="30" t="str">
        <f t="shared" si="125"/>
        <v/>
      </c>
      <c r="AF187" s="30" t="str">
        <f t="shared" si="126"/>
        <v/>
      </c>
      <c r="AG187" s="30" t="str">
        <f t="shared" si="127"/>
        <v/>
      </c>
      <c r="AH187" s="30" t="str">
        <f t="shared" si="128"/>
        <v/>
      </c>
      <c r="AJ187" s="85" t="str">
        <f t="shared" si="105"/>
        <v/>
      </c>
      <c r="AK187" s="86" t="str">
        <f t="shared" si="147"/>
        <v/>
      </c>
      <c r="AL187" s="86" t="str">
        <f t="shared" si="148"/>
        <v/>
      </c>
      <c r="AM187" s="86" t="str">
        <f t="shared" si="149"/>
        <v/>
      </c>
      <c r="AN187" s="86" t="str">
        <f t="shared" si="150"/>
        <v/>
      </c>
      <c r="AO187" s="86" t="str">
        <f t="shared" si="151"/>
        <v/>
      </c>
      <c r="AQ187" s="33" t="str">
        <f t="shared" si="129"/>
        <v/>
      </c>
      <c r="AR187" s="30" t="str">
        <f t="shared" si="130"/>
        <v/>
      </c>
      <c r="AU187" s="20">
        <f t="shared" si="131"/>
        <v>0</v>
      </c>
      <c r="AV187" s="20">
        <f t="shared" si="132"/>
        <v>0</v>
      </c>
      <c r="AW187" s="19">
        <f t="shared" si="138"/>
        <v>0</v>
      </c>
      <c r="AX187" s="19">
        <f t="shared" si="139"/>
        <v>0</v>
      </c>
      <c r="AY187" s="19">
        <f t="shared" si="140"/>
        <v>0</v>
      </c>
      <c r="AZ187" s="19">
        <f t="shared" si="141"/>
        <v>0</v>
      </c>
      <c r="BA187" s="19">
        <f t="shared" si="142"/>
        <v>0</v>
      </c>
      <c r="BB187" s="19">
        <f t="shared" si="143"/>
        <v>0</v>
      </c>
      <c r="BC187" s="19">
        <f t="shared" si="144"/>
        <v>0</v>
      </c>
      <c r="BD187" s="19">
        <f>-IF(CUSTOS!B187="",0,CUSTOS!B187)</f>
        <v>0</v>
      </c>
      <c r="BF187" s="20">
        <f t="shared" si="145"/>
        <v>0</v>
      </c>
      <c r="BG187" s="20">
        <f t="shared" si="146"/>
        <v>0</v>
      </c>
      <c r="BH187" s="116">
        <f t="shared" si="146"/>
        <v>0</v>
      </c>
    </row>
    <row r="188" spans="1:60" ht="15" x14ac:dyDescent="0.25">
      <c r="A188" s="66" t="str">
        <f>IF(LARGE($A$11:A187,1)=$F$2,"",A187+1)</f>
        <v/>
      </c>
      <c r="B188" s="27" t="str">
        <f t="shared" si="106"/>
        <v/>
      </c>
      <c r="C188" s="28" t="str">
        <f t="shared" si="133"/>
        <v/>
      </c>
      <c r="D188" s="28" t="str">
        <f t="shared" si="107"/>
        <v/>
      </c>
      <c r="E188" s="28" t="str">
        <f t="shared" si="108"/>
        <v/>
      </c>
      <c r="F188" s="29" t="str">
        <f t="shared" si="109"/>
        <v/>
      </c>
      <c r="G188" s="29" t="str">
        <f t="shared" si="110"/>
        <v/>
      </c>
      <c r="H188" s="30" t="str">
        <f t="shared" si="111"/>
        <v/>
      </c>
      <c r="I188" s="30" t="str">
        <f t="shared" si="112"/>
        <v/>
      </c>
      <c r="J188" s="30" t="str">
        <f>IF(A188="","",H188+CUSTOS!B188)</f>
        <v/>
      </c>
      <c r="K188" s="30" t="str">
        <f t="shared" si="134"/>
        <v/>
      </c>
      <c r="L188" s="30" t="str">
        <f t="shared" si="135"/>
        <v/>
      </c>
      <c r="M188" s="30" t="str">
        <f t="shared" si="136"/>
        <v/>
      </c>
      <c r="N188" s="30" t="str">
        <f t="shared" si="113"/>
        <v/>
      </c>
      <c r="O188" s="31" t="str">
        <f t="shared" si="137"/>
        <v/>
      </c>
      <c r="P188" s="32"/>
      <c r="Q188" s="33" t="str">
        <f t="shared" si="114"/>
        <v/>
      </c>
      <c r="R188" s="33" t="str">
        <f t="shared" si="115"/>
        <v/>
      </c>
      <c r="S188" s="33" t="str">
        <f t="shared" si="116"/>
        <v/>
      </c>
      <c r="T188" s="33" t="str">
        <f t="shared" si="117"/>
        <v/>
      </c>
      <c r="U188" s="33" t="str">
        <f t="shared" si="118"/>
        <v/>
      </c>
      <c r="V188" s="33" t="str">
        <f t="shared" si="119"/>
        <v/>
      </c>
      <c r="X188" s="33" t="str">
        <f t="shared" si="103"/>
        <v/>
      </c>
      <c r="Y188" s="30" t="str">
        <f t="shared" si="120"/>
        <v/>
      </c>
      <c r="Z188" s="30" t="str">
        <f t="shared" si="121"/>
        <v/>
      </c>
      <c r="AA188" s="30" t="str">
        <f t="shared" si="122"/>
        <v/>
      </c>
      <c r="AB188" s="30" t="str">
        <f t="shared" si="123"/>
        <v/>
      </c>
      <c r="AD188" s="33" t="str">
        <f t="shared" si="124"/>
        <v/>
      </c>
      <c r="AE188" s="30" t="str">
        <f t="shared" si="125"/>
        <v/>
      </c>
      <c r="AF188" s="30" t="str">
        <f t="shared" si="126"/>
        <v/>
      </c>
      <c r="AG188" s="30" t="str">
        <f t="shared" si="127"/>
        <v/>
      </c>
      <c r="AH188" s="30" t="str">
        <f t="shared" si="128"/>
        <v/>
      </c>
      <c r="AJ188" s="85" t="str">
        <f t="shared" si="105"/>
        <v/>
      </c>
      <c r="AK188" s="86" t="str">
        <f t="shared" si="147"/>
        <v/>
      </c>
      <c r="AL188" s="86" t="str">
        <f t="shared" si="148"/>
        <v/>
      </c>
      <c r="AM188" s="86" t="str">
        <f t="shared" si="149"/>
        <v/>
      </c>
      <c r="AN188" s="86" t="str">
        <f t="shared" si="150"/>
        <v/>
      </c>
      <c r="AO188" s="86" t="str">
        <f t="shared" si="151"/>
        <v/>
      </c>
      <c r="AQ188" s="33" t="str">
        <f t="shared" si="129"/>
        <v/>
      </c>
      <c r="AR188" s="30" t="str">
        <f t="shared" si="130"/>
        <v/>
      </c>
      <c r="AU188" s="20">
        <f t="shared" si="131"/>
        <v>0</v>
      </c>
      <c r="AV188" s="20">
        <f t="shared" si="132"/>
        <v>0</v>
      </c>
      <c r="AW188" s="19">
        <f t="shared" si="138"/>
        <v>0</v>
      </c>
      <c r="AX188" s="19">
        <f t="shared" si="139"/>
        <v>0</v>
      </c>
      <c r="AY188" s="19">
        <f t="shared" si="140"/>
        <v>0</v>
      </c>
      <c r="AZ188" s="19">
        <f t="shared" si="141"/>
        <v>0</v>
      </c>
      <c r="BA188" s="19">
        <f t="shared" si="142"/>
        <v>0</v>
      </c>
      <c r="BB188" s="19">
        <f t="shared" si="143"/>
        <v>0</v>
      </c>
      <c r="BC188" s="19">
        <f t="shared" si="144"/>
        <v>0</v>
      </c>
      <c r="BD188" s="19">
        <f>-IF(CUSTOS!B188="",0,CUSTOS!B188)</f>
        <v>0</v>
      </c>
      <c r="BF188" s="20">
        <f t="shared" si="145"/>
        <v>0</v>
      </c>
      <c r="BG188" s="20">
        <f t="shared" si="146"/>
        <v>0</v>
      </c>
      <c r="BH188" s="116">
        <f t="shared" si="146"/>
        <v>0</v>
      </c>
    </row>
    <row r="189" spans="1:60" ht="15" x14ac:dyDescent="0.25">
      <c r="A189" s="66" t="str">
        <f>IF(LARGE($A$11:A188,1)=$F$2,"",A188+1)</f>
        <v/>
      </c>
      <c r="B189" s="27" t="str">
        <f t="shared" si="106"/>
        <v/>
      </c>
      <c r="C189" s="28" t="str">
        <f t="shared" si="133"/>
        <v/>
      </c>
      <c r="D189" s="28" t="str">
        <f t="shared" si="107"/>
        <v/>
      </c>
      <c r="E189" s="28" t="str">
        <f t="shared" si="108"/>
        <v/>
      </c>
      <c r="F189" s="29" t="str">
        <f t="shared" si="109"/>
        <v/>
      </c>
      <c r="G189" s="29" t="str">
        <f t="shared" si="110"/>
        <v/>
      </c>
      <c r="H189" s="30" t="str">
        <f t="shared" si="111"/>
        <v/>
      </c>
      <c r="I189" s="30" t="str">
        <f t="shared" si="112"/>
        <v/>
      </c>
      <c r="J189" s="30" t="str">
        <f>IF(A189="","",H189+CUSTOS!B189)</f>
        <v/>
      </c>
      <c r="K189" s="30" t="str">
        <f t="shared" si="134"/>
        <v/>
      </c>
      <c r="L189" s="30" t="str">
        <f t="shared" si="135"/>
        <v/>
      </c>
      <c r="M189" s="30" t="str">
        <f t="shared" si="136"/>
        <v/>
      </c>
      <c r="N189" s="30" t="str">
        <f t="shared" si="113"/>
        <v/>
      </c>
      <c r="O189" s="31" t="str">
        <f t="shared" si="137"/>
        <v/>
      </c>
      <c r="P189" s="32"/>
      <c r="Q189" s="33" t="str">
        <f t="shared" si="114"/>
        <v/>
      </c>
      <c r="R189" s="33" t="str">
        <f t="shared" si="115"/>
        <v/>
      </c>
      <c r="S189" s="33" t="str">
        <f t="shared" si="116"/>
        <v/>
      </c>
      <c r="T189" s="33" t="str">
        <f t="shared" si="117"/>
        <v/>
      </c>
      <c r="U189" s="33" t="str">
        <f t="shared" si="118"/>
        <v/>
      </c>
      <c r="V189" s="33" t="str">
        <f t="shared" si="119"/>
        <v/>
      </c>
      <c r="X189" s="33" t="str">
        <f t="shared" si="103"/>
        <v/>
      </c>
      <c r="Y189" s="30" t="str">
        <f t="shared" si="120"/>
        <v/>
      </c>
      <c r="Z189" s="30" t="str">
        <f t="shared" si="121"/>
        <v/>
      </c>
      <c r="AA189" s="30" t="str">
        <f t="shared" si="122"/>
        <v/>
      </c>
      <c r="AB189" s="30" t="str">
        <f t="shared" si="123"/>
        <v/>
      </c>
      <c r="AD189" s="33" t="str">
        <f t="shared" si="124"/>
        <v/>
      </c>
      <c r="AE189" s="30" t="str">
        <f t="shared" si="125"/>
        <v/>
      </c>
      <c r="AF189" s="30" t="str">
        <f t="shared" si="126"/>
        <v/>
      </c>
      <c r="AG189" s="30" t="str">
        <f t="shared" si="127"/>
        <v/>
      </c>
      <c r="AH189" s="30" t="str">
        <f t="shared" si="128"/>
        <v/>
      </c>
      <c r="AJ189" s="85" t="str">
        <f t="shared" si="105"/>
        <v/>
      </c>
      <c r="AK189" s="86" t="str">
        <f t="shared" si="147"/>
        <v/>
      </c>
      <c r="AL189" s="86" t="str">
        <f t="shared" si="148"/>
        <v/>
      </c>
      <c r="AM189" s="86" t="str">
        <f t="shared" si="149"/>
        <v/>
      </c>
      <c r="AN189" s="86" t="str">
        <f t="shared" si="150"/>
        <v/>
      </c>
      <c r="AO189" s="86" t="str">
        <f t="shared" si="151"/>
        <v/>
      </c>
      <c r="AQ189" s="33" t="str">
        <f t="shared" si="129"/>
        <v/>
      </c>
      <c r="AR189" s="30" t="str">
        <f t="shared" si="130"/>
        <v/>
      </c>
      <c r="AU189" s="20">
        <f t="shared" si="131"/>
        <v>0</v>
      </c>
      <c r="AV189" s="20">
        <f t="shared" si="132"/>
        <v>0</v>
      </c>
      <c r="AW189" s="19">
        <f t="shared" si="138"/>
        <v>0</v>
      </c>
      <c r="AX189" s="19">
        <f t="shared" si="139"/>
        <v>0</v>
      </c>
      <c r="AY189" s="19">
        <f t="shared" si="140"/>
        <v>0</v>
      </c>
      <c r="AZ189" s="19">
        <f t="shared" si="141"/>
        <v>0</v>
      </c>
      <c r="BA189" s="19">
        <f t="shared" si="142"/>
        <v>0</v>
      </c>
      <c r="BB189" s="19">
        <f t="shared" si="143"/>
        <v>0</v>
      </c>
      <c r="BC189" s="19">
        <f t="shared" si="144"/>
        <v>0</v>
      </c>
      <c r="BD189" s="19">
        <f>-IF(CUSTOS!B189="",0,CUSTOS!B189)</f>
        <v>0</v>
      </c>
      <c r="BF189" s="20">
        <f t="shared" si="145"/>
        <v>0</v>
      </c>
      <c r="BG189" s="20">
        <f t="shared" si="146"/>
        <v>0</v>
      </c>
      <c r="BH189" s="116">
        <f t="shared" si="146"/>
        <v>0</v>
      </c>
    </row>
    <row r="190" spans="1:60" ht="15" x14ac:dyDescent="0.25">
      <c r="A190" s="66" t="str">
        <f>IF(LARGE($A$11:A189,1)=$F$2,"",A189+1)</f>
        <v/>
      </c>
      <c r="B190" s="27" t="str">
        <f t="shared" si="106"/>
        <v/>
      </c>
      <c r="C190" s="28" t="str">
        <f t="shared" si="133"/>
        <v/>
      </c>
      <c r="D190" s="28" t="str">
        <f t="shared" si="107"/>
        <v/>
      </c>
      <c r="E190" s="28" t="str">
        <f t="shared" si="108"/>
        <v/>
      </c>
      <c r="F190" s="29" t="str">
        <f t="shared" si="109"/>
        <v/>
      </c>
      <c r="G190" s="29" t="str">
        <f t="shared" si="110"/>
        <v/>
      </c>
      <c r="H190" s="30" t="str">
        <f t="shared" si="111"/>
        <v/>
      </c>
      <c r="I190" s="30" t="str">
        <f t="shared" si="112"/>
        <v/>
      </c>
      <c r="J190" s="30" t="str">
        <f>IF(A190="","",H190+CUSTOS!B190)</f>
        <v/>
      </c>
      <c r="K190" s="30" t="str">
        <f t="shared" si="134"/>
        <v/>
      </c>
      <c r="L190" s="30" t="str">
        <f t="shared" si="135"/>
        <v/>
      </c>
      <c r="M190" s="30" t="str">
        <f t="shared" si="136"/>
        <v/>
      </c>
      <c r="N190" s="30" t="str">
        <f t="shared" si="113"/>
        <v/>
      </c>
      <c r="O190" s="31" t="str">
        <f t="shared" si="137"/>
        <v/>
      </c>
      <c r="P190" s="32"/>
      <c r="Q190" s="33" t="str">
        <f t="shared" si="114"/>
        <v/>
      </c>
      <c r="R190" s="33" t="str">
        <f t="shared" si="115"/>
        <v/>
      </c>
      <c r="S190" s="33" t="str">
        <f t="shared" si="116"/>
        <v/>
      </c>
      <c r="T190" s="33" t="str">
        <f t="shared" si="117"/>
        <v/>
      </c>
      <c r="U190" s="33" t="str">
        <f t="shared" si="118"/>
        <v/>
      </c>
      <c r="V190" s="33" t="str">
        <f t="shared" si="119"/>
        <v/>
      </c>
      <c r="X190" s="33" t="str">
        <f t="shared" si="103"/>
        <v/>
      </c>
      <c r="Y190" s="30" t="str">
        <f t="shared" si="120"/>
        <v/>
      </c>
      <c r="Z190" s="30" t="str">
        <f t="shared" si="121"/>
        <v/>
      </c>
      <c r="AA190" s="30" t="str">
        <f t="shared" si="122"/>
        <v/>
      </c>
      <c r="AB190" s="30" t="str">
        <f t="shared" si="123"/>
        <v/>
      </c>
      <c r="AD190" s="33" t="str">
        <f t="shared" si="124"/>
        <v/>
      </c>
      <c r="AE190" s="30" t="str">
        <f t="shared" si="125"/>
        <v/>
      </c>
      <c r="AF190" s="30" t="str">
        <f t="shared" si="126"/>
        <v/>
      </c>
      <c r="AG190" s="30" t="str">
        <f t="shared" si="127"/>
        <v/>
      </c>
      <c r="AH190" s="30" t="str">
        <f t="shared" si="128"/>
        <v/>
      </c>
      <c r="AJ190" s="85" t="str">
        <f t="shared" si="105"/>
        <v/>
      </c>
      <c r="AK190" s="86" t="str">
        <f t="shared" si="147"/>
        <v/>
      </c>
      <c r="AL190" s="86" t="str">
        <f t="shared" si="148"/>
        <v/>
      </c>
      <c r="AM190" s="86" t="str">
        <f t="shared" si="149"/>
        <v/>
      </c>
      <c r="AN190" s="86" t="str">
        <f t="shared" si="150"/>
        <v/>
      </c>
      <c r="AO190" s="86" t="str">
        <f t="shared" si="151"/>
        <v/>
      </c>
      <c r="AQ190" s="33" t="str">
        <f t="shared" si="129"/>
        <v/>
      </c>
      <c r="AR190" s="30" t="str">
        <f t="shared" si="130"/>
        <v/>
      </c>
      <c r="AU190" s="20">
        <f t="shared" si="131"/>
        <v>0</v>
      </c>
      <c r="AV190" s="20">
        <f t="shared" si="132"/>
        <v>0</v>
      </c>
      <c r="AW190" s="19">
        <f t="shared" si="138"/>
        <v>0</v>
      </c>
      <c r="AX190" s="19">
        <f t="shared" si="139"/>
        <v>0</v>
      </c>
      <c r="AY190" s="19">
        <f t="shared" si="140"/>
        <v>0</v>
      </c>
      <c r="AZ190" s="19">
        <f t="shared" si="141"/>
        <v>0</v>
      </c>
      <c r="BA190" s="19">
        <f t="shared" si="142"/>
        <v>0</v>
      </c>
      <c r="BB190" s="19">
        <f t="shared" si="143"/>
        <v>0</v>
      </c>
      <c r="BC190" s="19">
        <f t="shared" si="144"/>
        <v>0</v>
      </c>
      <c r="BD190" s="19">
        <f>-IF(CUSTOS!B190="",0,CUSTOS!B190)</f>
        <v>0</v>
      </c>
      <c r="BF190" s="20">
        <f t="shared" si="145"/>
        <v>0</v>
      </c>
      <c r="BG190" s="20">
        <f t="shared" si="146"/>
        <v>0</v>
      </c>
      <c r="BH190" s="116">
        <f t="shared" si="146"/>
        <v>0</v>
      </c>
    </row>
    <row r="191" spans="1:60" ht="15" x14ac:dyDescent="0.25">
      <c r="A191" s="66" t="str">
        <f>IF(LARGE($A$11:A190,1)=$F$2,"",A190+1)</f>
        <v/>
      </c>
      <c r="B191" s="27" t="str">
        <f t="shared" si="106"/>
        <v/>
      </c>
      <c r="C191" s="28" t="str">
        <f t="shared" si="133"/>
        <v/>
      </c>
      <c r="D191" s="28" t="str">
        <f t="shared" si="107"/>
        <v/>
      </c>
      <c r="E191" s="28" t="str">
        <f t="shared" si="108"/>
        <v/>
      </c>
      <c r="F191" s="29" t="str">
        <f t="shared" si="109"/>
        <v/>
      </c>
      <c r="G191" s="29" t="str">
        <f t="shared" si="110"/>
        <v/>
      </c>
      <c r="H191" s="30" t="str">
        <f t="shared" si="111"/>
        <v/>
      </c>
      <c r="I191" s="30" t="str">
        <f t="shared" si="112"/>
        <v/>
      </c>
      <c r="J191" s="30" t="str">
        <f>IF(A191="","",H191+CUSTOS!B191)</f>
        <v/>
      </c>
      <c r="K191" s="30" t="str">
        <f t="shared" si="134"/>
        <v/>
      </c>
      <c r="L191" s="30" t="str">
        <f t="shared" si="135"/>
        <v/>
      </c>
      <c r="M191" s="30" t="str">
        <f t="shared" si="136"/>
        <v/>
      </c>
      <c r="N191" s="30" t="str">
        <f t="shared" si="113"/>
        <v/>
      </c>
      <c r="O191" s="31" t="str">
        <f t="shared" si="137"/>
        <v/>
      </c>
      <c r="P191" s="32"/>
      <c r="Q191" s="33" t="str">
        <f t="shared" si="114"/>
        <v/>
      </c>
      <c r="R191" s="33" t="str">
        <f t="shared" si="115"/>
        <v/>
      </c>
      <c r="S191" s="33" t="str">
        <f t="shared" si="116"/>
        <v/>
      </c>
      <c r="T191" s="33" t="str">
        <f t="shared" si="117"/>
        <v/>
      </c>
      <c r="U191" s="33" t="str">
        <f t="shared" si="118"/>
        <v/>
      </c>
      <c r="V191" s="33" t="str">
        <f t="shared" si="119"/>
        <v/>
      </c>
      <c r="X191" s="33" t="str">
        <f t="shared" si="103"/>
        <v/>
      </c>
      <c r="Y191" s="30" t="str">
        <f t="shared" si="120"/>
        <v/>
      </c>
      <c r="Z191" s="30" t="str">
        <f t="shared" si="121"/>
        <v/>
      </c>
      <c r="AA191" s="30" t="str">
        <f t="shared" si="122"/>
        <v/>
      </c>
      <c r="AB191" s="30" t="str">
        <f t="shared" si="123"/>
        <v/>
      </c>
      <c r="AD191" s="33" t="str">
        <f t="shared" si="124"/>
        <v/>
      </c>
      <c r="AE191" s="30" t="str">
        <f t="shared" si="125"/>
        <v/>
      </c>
      <c r="AF191" s="30" t="str">
        <f t="shared" si="126"/>
        <v/>
      </c>
      <c r="AG191" s="30" t="str">
        <f t="shared" si="127"/>
        <v/>
      </c>
      <c r="AH191" s="30" t="str">
        <f t="shared" si="128"/>
        <v/>
      </c>
      <c r="AJ191" s="85" t="str">
        <f t="shared" si="105"/>
        <v/>
      </c>
      <c r="AK191" s="86" t="str">
        <f t="shared" si="147"/>
        <v/>
      </c>
      <c r="AL191" s="86" t="str">
        <f t="shared" si="148"/>
        <v/>
      </c>
      <c r="AM191" s="86" t="str">
        <f t="shared" si="149"/>
        <v/>
      </c>
      <c r="AN191" s="86" t="str">
        <f t="shared" si="150"/>
        <v/>
      </c>
      <c r="AO191" s="86" t="str">
        <f t="shared" si="151"/>
        <v/>
      </c>
      <c r="AQ191" s="33" t="str">
        <f t="shared" si="129"/>
        <v/>
      </c>
      <c r="AR191" s="30" t="str">
        <f t="shared" si="130"/>
        <v/>
      </c>
      <c r="AU191" s="20">
        <f t="shared" si="131"/>
        <v>0</v>
      </c>
      <c r="AV191" s="20">
        <f t="shared" si="132"/>
        <v>0</v>
      </c>
      <c r="AW191" s="19">
        <f t="shared" si="138"/>
        <v>0</v>
      </c>
      <c r="AX191" s="19">
        <f t="shared" si="139"/>
        <v>0</v>
      </c>
      <c r="AY191" s="19">
        <f t="shared" si="140"/>
        <v>0</v>
      </c>
      <c r="AZ191" s="19">
        <f t="shared" si="141"/>
        <v>0</v>
      </c>
      <c r="BA191" s="19">
        <f t="shared" si="142"/>
        <v>0</v>
      </c>
      <c r="BB191" s="19">
        <f t="shared" si="143"/>
        <v>0</v>
      </c>
      <c r="BC191" s="19">
        <f t="shared" si="144"/>
        <v>0</v>
      </c>
      <c r="BD191" s="19">
        <f>-IF(CUSTOS!B191="",0,CUSTOS!B191)</f>
        <v>0</v>
      </c>
      <c r="BF191" s="20">
        <f t="shared" si="145"/>
        <v>0</v>
      </c>
      <c r="BG191" s="20">
        <f t="shared" si="146"/>
        <v>0</v>
      </c>
      <c r="BH191" s="116">
        <f t="shared" si="146"/>
        <v>0</v>
      </c>
    </row>
    <row r="192" spans="1:60" ht="15" x14ac:dyDescent="0.25">
      <c r="A192" s="66" t="str">
        <f>IF(LARGE($A$11:A191,1)=$F$2,"",A191+1)</f>
        <v/>
      </c>
      <c r="B192" s="27" t="str">
        <f t="shared" si="106"/>
        <v/>
      </c>
      <c r="C192" s="28" t="str">
        <f t="shared" si="133"/>
        <v/>
      </c>
      <c r="D192" s="28" t="str">
        <f t="shared" si="107"/>
        <v/>
      </c>
      <c r="E192" s="28" t="str">
        <f t="shared" si="108"/>
        <v/>
      </c>
      <c r="F192" s="29" t="str">
        <f t="shared" si="109"/>
        <v/>
      </c>
      <c r="G192" s="29" t="str">
        <f t="shared" si="110"/>
        <v/>
      </c>
      <c r="H192" s="30" t="str">
        <f t="shared" si="111"/>
        <v/>
      </c>
      <c r="I192" s="30" t="str">
        <f t="shared" si="112"/>
        <v/>
      </c>
      <c r="J192" s="30" t="str">
        <f>IF(A192="","",H192+CUSTOS!B192)</f>
        <v/>
      </c>
      <c r="K192" s="30" t="str">
        <f t="shared" si="134"/>
        <v/>
      </c>
      <c r="L192" s="30" t="str">
        <f t="shared" si="135"/>
        <v/>
      </c>
      <c r="M192" s="30" t="str">
        <f t="shared" si="136"/>
        <v/>
      </c>
      <c r="N192" s="30" t="str">
        <f t="shared" si="113"/>
        <v/>
      </c>
      <c r="O192" s="31" t="str">
        <f t="shared" si="137"/>
        <v/>
      </c>
      <c r="P192" s="32"/>
      <c r="Q192" s="33" t="str">
        <f t="shared" si="114"/>
        <v/>
      </c>
      <c r="R192" s="33" t="str">
        <f t="shared" si="115"/>
        <v/>
      </c>
      <c r="S192" s="33" t="str">
        <f t="shared" si="116"/>
        <v/>
      </c>
      <c r="T192" s="33" t="str">
        <f t="shared" si="117"/>
        <v/>
      </c>
      <c r="U192" s="33" t="str">
        <f t="shared" si="118"/>
        <v/>
      </c>
      <c r="V192" s="33" t="str">
        <f t="shared" si="119"/>
        <v/>
      </c>
      <c r="X192" s="33" t="str">
        <f t="shared" si="103"/>
        <v/>
      </c>
      <c r="Y192" s="30" t="str">
        <f t="shared" si="120"/>
        <v/>
      </c>
      <c r="Z192" s="30" t="str">
        <f t="shared" si="121"/>
        <v/>
      </c>
      <c r="AA192" s="30" t="str">
        <f t="shared" si="122"/>
        <v/>
      </c>
      <c r="AB192" s="30" t="str">
        <f t="shared" si="123"/>
        <v/>
      </c>
      <c r="AD192" s="33" t="str">
        <f t="shared" si="124"/>
        <v/>
      </c>
      <c r="AE192" s="30" t="str">
        <f t="shared" si="125"/>
        <v/>
      </c>
      <c r="AF192" s="30" t="str">
        <f t="shared" si="126"/>
        <v/>
      </c>
      <c r="AG192" s="30" t="str">
        <f t="shared" si="127"/>
        <v/>
      </c>
      <c r="AH192" s="30" t="str">
        <f t="shared" si="128"/>
        <v/>
      </c>
      <c r="AJ192" s="85" t="str">
        <f t="shared" ref="AJ192:AJ204" si="152">IF($A192="","",J192-Q192-X192-AD192)</f>
        <v/>
      </c>
      <c r="AK192" s="86" t="str">
        <f t="shared" si="147"/>
        <v/>
      </c>
      <c r="AL192" s="86" t="str">
        <f t="shared" si="148"/>
        <v/>
      </c>
      <c r="AM192" s="86" t="str">
        <f t="shared" si="149"/>
        <v/>
      </c>
      <c r="AN192" s="86" t="str">
        <f t="shared" si="150"/>
        <v/>
      </c>
      <c r="AO192" s="86" t="str">
        <f t="shared" si="151"/>
        <v/>
      </c>
      <c r="AQ192" s="33" t="str">
        <f t="shared" si="129"/>
        <v/>
      </c>
      <c r="AR192" s="30" t="str">
        <f t="shared" si="130"/>
        <v/>
      </c>
      <c r="AU192" s="20">
        <f t="shared" si="131"/>
        <v>0</v>
      </c>
      <c r="AV192" s="20">
        <f t="shared" si="132"/>
        <v>0</v>
      </c>
      <c r="AW192" s="19">
        <f t="shared" si="138"/>
        <v>0</v>
      </c>
      <c r="AX192" s="19">
        <f t="shared" si="139"/>
        <v>0</v>
      </c>
      <c r="AY192" s="19">
        <f t="shared" si="140"/>
        <v>0</v>
      </c>
      <c r="AZ192" s="19">
        <f t="shared" si="141"/>
        <v>0</v>
      </c>
      <c r="BA192" s="19">
        <f t="shared" si="142"/>
        <v>0</v>
      </c>
      <c r="BB192" s="19">
        <f t="shared" si="143"/>
        <v>0</v>
      </c>
      <c r="BC192" s="19">
        <f t="shared" si="144"/>
        <v>0</v>
      </c>
      <c r="BD192" s="19">
        <f>-IF(CUSTOS!B192="",0,CUSTOS!B192)</f>
        <v>0</v>
      </c>
      <c r="BF192" s="20">
        <f t="shared" si="145"/>
        <v>0</v>
      </c>
      <c r="BG192" s="20">
        <f t="shared" si="146"/>
        <v>0</v>
      </c>
      <c r="BH192" s="116">
        <f t="shared" si="146"/>
        <v>0</v>
      </c>
    </row>
    <row r="193" spans="1:60" ht="15" x14ac:dyDescent="0.25">
      <c r="A193" s="66" t="str">
        <f>IF(LARGE($A$11:A192,1)=$F$2,"",A192+1)</f>
        <v/>
      </c>
      <c r="B193" s="27" t="str">
        <f t="shared" si="106"/>
        <v/>
      </c>
      <c r="C193" s="28" t="str">
        <f t="shared" si="133"/>
        <v/>
      </c>
      <c r="D193" s="28" t="str">
        <f t="shared" si="107"/>
        <v/>
      </c>
      <c r="E193" s="28" t="str">
        <f t="shared" si="108"/>
        <v/>
      </c>
      <c r="F193" s="29" t="str">
        <f t="shared" si="109"/>
        <v/>
      </c>
      <c r="G193" s="29" t="str">
        <f t="shared" si="110"/>
        <v/>
      </c>
      <c r="H193" s="30" t="str">
        <f t="shared" si="111"/>
        <v/>
      </c>
      <c r="I193" s="30" t="str">
        <f t="shared" si="112"/>
        <v/>
      </c>
      <c r="J193" s="30" t="str">
        <f>IF(A193="","",H193+CUSTOS!B193)</f>
        <v/>
      </c>
      <c r="K193" s="30" t="str">
        <f t="shared" si="134"/>
        <v/>
      </c>
      <c r="L193" s="30" t="str">
        <f t="shared" si="135"/>
        <v/>
      </c>
      <c r="M193" s="30" t="str">
        <f t="shared" si="136"/>
        <v/>
      </c>
      <c r="N193" s="30" t="str">
        <f t="shared" si="113"/>
        <v/>
      </c>
      <c r="O193" s="31" t="str">
        <f t="shared" si="137"/>
        <v/>
      </c>
      <c r="P193" s="32"/>
      <c r="Q193" s="33" t="str">
        <f t="shared" si="114"/>
        <v/>
      </c>
      <c r="R193" s="33" t="str">
        <f t="shared" si="115"/>
        <v/>
      </c>
      <c r="S193" s="33" t="str">
        <f t="shared" si="116"/>
        <v/>
      </c>
      <c r="T193" s="33" t="str">
        <f t="shared" si="117"/>
        <v/>
      </c>
      <c r="U193" s="33" t="str">
        <f t="shared" si="118"/>
        <v/>
      </c>
      <c r="V193" s="33" t="str">
        <f t="shared" si="119"/>
        <v/>
      </c>
      <c r="X193" s="33" t="str">
        <f t="shared" si="103"/>
        <v/>
      </c>
      <c r="Y193" s="30" t="str">
        <f t="shared" si="120"/>
        <v/>
      </c>
      <c r="Z193" s="30" t="str">
        <f t="shared" si="121"/>
        <v/>
      </c>
      <c r="AA193" s="30" t="str">
        <f t="shared" si="122"/>
        <v/>
      </c>
      <c r="AB193" s="30" t="str">
        <f t="shared" si="123"/>
        <v/>
      </c>
      <c r="AD193" s="33" t="str">
        <f t="shared" si="124"/>
        <v/>
      </c>
      <c r="AE193" s="30" t="str">
        <f t="shared" si="125"/>
        <v/>
      </c>
      <c r="AF193" s="30" t="str">
        <f t="shared" si="126"/>
        <v/>
      </c>
      <c r="AG193" s="30" t="str">
        <f t="shared" si="127"/>
        <v/>
      </c>
      <c r="AH193" s="30" t="str">
        <f t="shared" si="128"/>
        <v/>
      </c>
      <c r="AJ193" s="85" t="str">
        <f t="shared" si="152"/>
        <v/>
      </c>
      <c r="AK193" s="86" t="str">
        <f t="shared" si="147"/>
        <v/>
      </c>
      <c r="AL193" s="86" t="str">
        <f t="shared" si="148"/>
        <v/>
      </c>
      <c r="AM193" s="86" t="str">
        <f t="shared" si="149"/>
        <v/>
      </c>
      <c r="AN193" s="86" t="str">
        <f t="shared" si="150"/>
        <v/>
      </c>
      <c r="AO193" s="86" t="str">
        <f t="shared" si="151"/>
        <v/>
      </c>
      <c r="AQ193" s="33" t="str">
        <f t="shared" si="129"/>
        <v/>
      </c>
      <c r="AR193" s="30" t="str">
        <f t="shared" si="130"/>
        <v/>
      </c>
      <c r="AU193" s="20">
        <f t="shared" si="131"/>
        <v>0</v>
      </c>
      <c r="AV193" s="20">
        <f t="shared" si="132"/>
        <v>0</v>
      </c>
      <c r="AW193" s="19">
        <f t="shared" si="138"/>
        <v>0</v>
      </c>
      <c r="AX193" s="19">
        <f t="shared" si="139"/>
        <v>0</v>
      </c>
      <c r="AY193" s="19">
        <f t="shared" si="140"/>
        <v>0</v>
      </c>
      <c r="AZ193" s="19">
        <f t="shared" si="141"/>
        <v>0</v>
      </c>
      <c r="BA193" s="19">
        <f t="shared" si="142"/>
        <v>0</v>
      </c>
      <c r="BB193" s="19">
        <f t="shared" si="143"/>
        <v>0</v>
      </c>
      <c r="BC193" s="19">
        <f t="shared" si="144"/>
        <v>0</v>
      </c>
      <c r="BD193" s="19">
        <f>-IF(CUSTOS!B193="",0,CUSTOS!B193)</f>
        <v>0</v>
      </c>
      <c r="BF193" s="20">
        <f t="shared" si="145"/>
        <v>0</v>
      </c>
      <c r="BG193" s="20">
        <f t="shared" si="146"/>
        <v>0</v>
      </c>
      <c r="BH193" s="116">
        <f t="shared" si="146"/>
        <v>0</v>
      </c>
    </row>
    <row r="194" spans="1:60" ht="15" x14ac:dyDescent="0.25">
      <c r="A194" s="66" t="str">
        <f>IF(LARGE($A$11:A193,1)=$F$2,"",A193+1)</f>
        <v/>
      </c>
      <c r="B194" s="27" t="str">
        <f t="shared" si="106"/>
        <v/>
      </c>
      <c r="C194" s="28" t="str">
        <f t="shared" si="133"/>
        <v/>
      </c>
      <c r="D194" s="28" t="str">
        <f t="shared" si="107"/>
        <v/>
      </c>
      <c r="E194" s="28" t="str">
        <f t="shared" si="108"/>
        <v/>
      </c>
      <c r="F194" s="29" t="str">
        <f t="shared" si="109"/>
        <v/>
      </c>
      <c r="G194" s="29" t="str">
        <f t="shared" si="110"/>
        <v/>
      </c>
      <c r="H194" s="30" t="str">
        <f t="shared" si="111"/>
        <v/>
      </c>
      <c r="I194" s="30" t="str">
        <f t="shared" si="112"/>
        <v/>
      </c>
      <c r="J194" s="30" t="str">
        <f>IF(A194="","",H194+CUSTOS!B194)</f>
        <v/>
      </c>
      <c r="K194" s="30" t="str">
        <f t="shared" si="134"/>
        <v/>
      </c>
      <c r="L194" s="30" t="str">
        <f t="shared" si="135"/>
        <v/>
      </c>
      <c r="M194" s="30" t="str">
        <f t="shared" si="136"/>
        <v/>
      </c>
      <c r="N194" s="30" t="str">
        <f t="shared" si="113"/>
        <v/>
      </c>
      <c r="O194" s="31" t="str">
        <f t="shared" si="137"/>
        <v/>
      </c>
      <c r="P194" s="32"/>
      <c r="Q194" s="33" t="str">
        <f t="shared" si="114"/>
        <v/>
      </c>
      <c r="R194" s="33" t="str">
        <f t="shared" si="115"/>
        <v/>
      </c>
      <c r="S194" s="33" t="str">
        <f t="shared" si="116"/>
        <v/>
      </c>
      <c r="T194" s="33" t="str">
        <f t="shared" si="117"/>
        <v/>
      </c>
      <c r="U194" s="33" t="str">
        <f t="shared" si="118"/>
        <v/>
      </c>
      <c r="V194" s="33" t="str">
        <f t="shared" si="119"/>
        <v/>
      </c>
      <c r="X194" s="33" t="str">
        <f t="shared" si="103"/>
        <v/>
      </c>
      <c r="Y194" s="30" t="str">
        <f t="shared" si="120"/>
        <v/>
      </c>
      <c r="Z194" s="30" t="str">
        <f t="shared" si="121"/>
        <v/>
      </c>
      <c r="AA194" s="30" t="str">
        <f t="shared" si="122"/>
        <v/>
      </c>
      <c r="AB194" s="30" t="str">
        <f t="shared" si="123"/>
        <v/>
      </c>
      <c r="AD194" s="33" t="str">
        <f t="shared" si="124"/>
        <v/>
      </c>
      <c r="AE194" s="30" t="str">
        <f t="shared" si="125"/>
        <v/>
      </c>
      <c r="AF194" s="30" t="str">
        <f t="shared" si="126"/>
        <v/>
      </c>
      <c r="AG194" s="30" t="str">
        <f t="shared" si="127"/>
        <v/>
      </c>
      <c r="AH194" s="30" t="str">
        <f t="shared" si="128"/>
        <v/>
      </c>
      <c r="AJ194" s="85" t="str">
        <f t="shared" si="152"/>
        <v/>
      </c>
      <c r="AK194" s="86" t="str">
        <f t="shared" si="147"/>
        <v/>
      </c>
      <c r="AL194" s="86" t="str">
        <f t="shared" si="148"/>
        <v/>
      </c>
      <c r="AM194" s="86" t="str">
        <f t="shared" si="149"/>
        <v/>
      </c>
      <c r="AN194" s="86" t="str">
        <f t="shared" si="150"/>
        <v/>
      </c>
      <c r="AO194" s="86" t="str">
        <f t="shared" si="151"/>
        <v/>
      </c>
      <c r="AQ194" s="33" t="str">
        <f t="shared" si="129"/>
        <v/>
      </c>
      <c r="AR194" s="30" t="str">
        <f t="shared" si="130"/>
        <v/>
      </c>
      <c r="AU194" s="20">
        <f t="shared" si="131"/>
        <v>0</v>
      </c>
      <c r="AV194" s="20">
        <f t="shared" si="132"/>
        <v>0</v>
      </c>
      <c r="AW194" s="19">
        <f t="shared" si="138"/>
        <v>0</v>
      </c>
      <c r="AX194" s="19">
        <f t="shared" si="139"/>
        <v>0</v>
      </c>
      <c r="AY194" s="19">
        <f t="shared" si="140"/>
        <v>0</v>
      </c>
      <c r="AZ194" s="19">
        <f t="shared" si="141"/>
        <v>0</v>
      </c>
      <c r="BA194" s="19">
        <f t="shared" si="142"/>
        <v>0</v>
      </c>
      <c r="BB194" s="19">
        <f t="shared" si="143"/>
        <v>0</v>
      </c>
      <c r="BC194" s="19">
        <f t="shared" si="144"/>
        <v>0</v>
      </c>
      <c r="BD194" s="19">
        <f>-IF(CUSTOS!B194="",0,CUSTOS!B194)</f>
        <v>0</v>
      </c>
      <c r="BF194" s="20">
        <f t="shared" si="145"/>
        <v>0</v>
      </c>
      <c r="BG194" s="20">
        <f t="shared" si="146"/>
        <v>0</v>
      </c>
      <c r="BH194" s="116">
        <f t="shared" si="146"/>
        <v>0</v>
      </c>
    </row>
    <row r="195" spans="1:60" ht="15" x14ac:dyDescent="0.25">
      <c r="A195" s="66" t="str">
        <f>IF(LARGE($A$11:A194,1)=$F$2,"",A194+1)</f>
        <v/>
      </c>
      <c r="B195" s="27" t="str">
        <f t="shared" si="106"/>
        <v/>
      </c>
      <c r="C195" s="28" t="str">
        <f t="shared" si="133"/>
        <v/>
      </c>
      <c r="D195" s="28" t="str">
        <f t="shared" si="107"/>
        <v/>
      </c>
      <c r="E195" s="28" t="str">
        <f t="shared" si="108"/>
        <v/>
      </c>
      <c r="F195" s="29" t="str">
        <f t="shared" si="109"/>
        <v/>
      </c>
      <c r="G195" s="29" t="str">
        <f t="shared" si="110"/>
        <v/>
      </c>
      <c r="H195" s="30" t="str">
        <f t="shared" si="111"/>
        <v/>
      </c>
      <c r="I195" s="30" t="str">
        <f t="shared" si="112"/>
        <v/>
      </c>
      <c r="J195" s="30" t="str">
        <f>IF(A195="","",H195+CUSTOS!B195)</f>
        <v/>
      </c>
      <c r="K195" s="30" t="str">
        <f t="shared" si="134"/>
        <v/>
      </c>
      <c r="L195" s="30" t="str">
        <f t="shared" si="135"/>
        <v/>
      </c>
      <c r="M195" s="30" t="str">
        <f t="shared" si="136"/>
        <v/>
      </c>
      <c r="N195" s="30" t="str">
        <f t="shared" si="113"/>
        <v/>
      </c>
      <c r="O195" s="31" t="str">
        <f t="shared" si="137"/>
        <v/>
      </c>
      <c r="P195" s="32"/>
      <c r="Q195" s="33" t="str">
        <f t="shared" si="114"/>
        <v/>
      </c>
      <c r="R195" s="33" t="str">
        <f t="shared" si="115"/>
        <v/>
      </c>
      <c r="S195" s="33" t="str">
        <f t="shared" si="116"/>
        <v/>
      </c>
      <c r="T195" s="33" t="str">
        <f t="shared" si="117"/>
        <v/>
      </c>
      <c r="U195" s="33" t="str">
        <f t="shared" si="118"/>
        <v/>
      </c>
      <c r="V195" s="33" t="str">
        <f t="shared" si="119"/>
        <v/>
      </c>
      <c r="X195" s="33" t="str">
        <f t="shared" si="103"/>
        <v/>
      </c>
      <c r="Y195" s="30" t="str">
        <f t="shared" si="120"/>
        <v/>
      </c>
      <c r="Z195" s="30" t="str">
        <f t="shared" si="121"/>
        <v/>
      </c>
      <c r="AA195" s="30" t="str">
        <f t="shared" si="122"/>
        <v/>
      </c>
      <c r="AB195" s="30" t="str">
        <f t="shared" si="123"/>
        <v/>
      </c>
      <c r="AD195" s="33" t="str">
        <f t="shared" si="124"/>
        <v/>
      </c>
      <c r="AE195" s="30" t="str">
        <f t="shared" si="125"/>
        <v/>
      </c>
      <c r="AF195" s="30" t="str">
        <f t="shared" si="126"/>
        <v/>
      </c>
      <c r="AG195" s="30" t="str">
        <f t="shared" si="127"/>
        <v/>
      </c>
      <c r="AH195" s="30" t="str">
        <f t="shared" si="128"/>
        <v/>
      </c>
      <c r="AJ195" s="85" t="str">
        <f t="shared" si="152"/>
        <v/>
      </c>
      <c r="AK195" s="86" t="str">
        <f t="shared" si="147"/>
        <v/>
      </c>
      <c r="AL195" s="86" t="str">
        <f t="shared" si="148"/>
        <v/>
      </c>
      <c r="AM195" s="86" t="str">
        <f t="shared" si="149"/>
        <v/>
      </c>
      <c r="AN195" s="86" t="str">
        <f t="shared" si="150"/>
        <v/>
      </c>
      <c r="AO195" s="86" t="str">
        <f t="shared" si="151"/>
        <v/>
      </c>
      <c r="AQ195" s="33" t="str">
        <f t="shared" si="129"/>
        <v/>
      </c>
      <c r="AR195" s="30" t="str">
        <f t="shared" si="130"/>
        <v/>
      </c>
      <c r="AU195" s="20">
        <f t="shared" si="131"/>
        <v>0</v>
      </c>
      <c r="AV195" s="20">
        <f t="shared" si="132"/>
        <v>0</v>
      </c>
      <c r="AW195" s="19">
        <f t="shared" si="138"/>
        <v>0</v>
      </c>
      <c r="AX195" s="19">
        <f t="shared" si="139"/>
        <v>0</v>
      </c>
      <c r="AY195" s="19">
        <f t="shared" si="140"/>
        <v>0</v>
      </c>
      <c r="AZ195" s="19">
        <f t="shared" si="141"/>
        <v>0</v>
      </c>
      <c r="BA195" s="19">
        <f t="shared" si="142"/>
        <v>0</v>
      </c>
      <c r="BB195" s="19">
        <f t="shared" si="143"/>
        <v>0</v>
      </c>
      <c r="BC195" s="19">
        <f t="shared" si="144"/>
        <v>0</v>
      </c>
      <c r="BD195" s="19">
        <f>-IF(CUSTOS!B195="",0,CUSTOS!B195)</f>
        <v>0</v>
      </c>
      <c r="BF195" s="20">
        <f t="shared" si="145"/>
        <v>0</v>
      </c>
      <c r="BG195" s="20">
        <f t="shared" si="146"/>
        <v>0</v>
      </c>
      <c r="BH195" s="116">
        <f t="shared" si="146"/>
        <v>0</v>
      </c>
    </row>
    <row r="196" spans="1:60" ht="15" x14ac:dyDescent="0.25">
      <c r="A196" s="66" t="str">
        <f>IF(LARGE($A$11:A195,1)=$F$2,"",A195+1)</f>
        <v/>
      </c>
      <c r="B196" s="27" t="str">
        <f t="shared" si="106"/>
        <v/>
      </c>
      <c r="C196" s="28" t="str">
        <f t="shared" si="133"/>
        <v/>
      </c>
      <c r="D196" s="28" t="str">
        <f t="shared" si="107"/>
        <v/>
      </c>
      <c r="E196" s="28" t="str">
        <f t="shared" si="108"/>
        <v/>
      </c>
      <c r="F196" s="29" t="str">
        <f t="shared" si="109"/>
        <v/>
      </c>
      <c r="G196" s="29" t="str">
        <f t="shared" si="110"/>
        <v/>
      </c>
      <c r="H196" s="30" t="str">
        <f t="shared" si="111"/>
        <v/>
      </c>
      <c r="I196" s="30" t="str">
        <f t="shared" si="112"/>
        <v/>
      </c>
      <c r="J196" s="30" t="str">
        <f>IF(A196="","",H196+CUSTOS!B196)</f>
        <v/>
      </c>
      <c r="K196" s="30" t="str">
        <f t="shared" si="134"/>
        <v/>
      </c>
      <c r="L196" s="30" t="str">
        <f t="shared" si="135"/>
        <v/>
      </c>
      <c r="M196" s="30" t="str">
        <f t="shared" si="136"/>
        <v/>
      </c>
      <c r="N196" s="30" t="str">
        <f t="shared" si="113"/>
        <v/>
      </c>
      <c r="O196" s="31" t="str">
        <f t="shared" si="137"/>
        <v/>
      </c>
      <c r="P196" s="32"/>
      <c r="Q196" s="33" t="str">
        <f t="shared" si="114"/>
        <v/>
      </c>
      <c r="R196" s="33" t="str">
        <f t="shared" si="115"/>
        <v/>
      </c>
      <c r="S196" s="33" t="str">
        <f t="shared" si="116"/>
        <v/>
      </c>
      <c r="T196" s="33" t="str">
        <f t="shared" si="117"/>
        <v/>
      </c>
      <c r="U196" s="33" t="str">
        <f t="shared" si="118"/>
        <v/>
      </c>
      <c r="V196" s="33" t="str">
        <f t="shared" si="119"/>
        <v/>
      </c>
      <c r="X196" s="33" t="str">
        <f t="shared" ref="X196:X259" si="153">IF($A196="","",IF($A196&gt;prazo_subp,"",IF($Y$6="PMT [diferença]",J196-IF(Q196="",0,Q196),IF($Y$6="A + J",Y196+Z196,(J196-Q196)*pmt_subp))))</f>
        <v/>
      </c>
      <c r="Y196" s="30" t="str">
        <f t="shared" si="120"/>
        <v/>
      </c>
      <c r="Z196" s="30" t="str">
        <f t="shared" si="121"/>
        <v/>
      </c>
      <c r="AA196" s="30" t="str">
        <f t="shared" si="122"/>
        <v/>
      </c>
      <c r="AB196" s="30" t="str">
        <f t="shared" si="123"/>
        <v/>
      </c>
      <c r="AD196" s="33" t="str">
        <f t="shared" si="124"/>
        <v/>
      </c>
      <c r="AE196" s="30" t="str">
        <f t="shared" si="125"/>
        <v/>
      </c>
      <c r="AF196" s="30" t="str">
        <f t="shared" si="126"/>
        <v/>
      </c>
      <c r="AG196" s="30" t="str">
        <f t="shared" si="127"/>
        <v/>
      </c>
      <c r="AH196" s="30" t="str">
        <f t="shared" si="128"/>
        <v/>
      </c>
      <c r="AJ196" s="85" t="str">
        <f t="shared" si="152"/>
        <v/>
      </c>
      <c r="AK196" s="86" t="str">
        <f t="shared" si="147"/>
        <v/>
      </c>
      <c r="AL196" s="86" t="str">
        <f t="shared" si="148"/>
        <v/>
      </c>
      <c r="AM196" s="86" t="str">
        <f t="shared" si="149"/>
        <v/>
      </c>
      <c r="AN196" s="86" t="str">
        <f t="shared" si="150"/>
        <v/>
      </c>
      <c r="AO196" s="86" t="str">
        <f t="shared" si="151"/>
        <v/>
      </c>
      <c r="AQ196" s="33" t="str">
        <f t="shared" si="129"/>
        <v/>
      </c>
      <c r="AR196" s="30" t="str">
        <f t="shared" si="130"/>
        <v/>
      </c>
      <c r="AU196" s="20">
        <f t="shared" si="131"/>
        <v>0</v>
      </c>
      <c r="AV196" s="20">
        <f t="shared" si="132"/>
        <v>0</v>
      </c>
      <c r="AW196" s="19">
        <f t="shared" si="138"/>
        <v>0</v>
      </c>
      <c r="AX196" s="19">
        <f t="shared" si="139"/>
        <v>0</v>
      </c>
      <c r="AY196" s="19">
        <f t="shared" si="140"/>
        <v>0</v>
      </c>
      <c r="AZ196" s="19">
        <f t="shared" si="141"/>
        <v>0</v>
      </c>
      <c r="BA196" s="19">
        <f t="shared" si="142"/>
        <v>0</v>
      </c>
      <c r="BB196" s="19">
        <f t="shared" si="143"/>
        <v>0</v>
      </c>
      <c r="BC196" s="19">
        <f t="shared" si="144"/>
        <v>0</v>
      </c>
      <c r="BD196" s="19">
        <f>-IF(CUSTOS!B196="",0,CUSTOS!B196)</f>
        <v>0</v>
      </c>
      <c r="BF196" s="20">
        <f t="shared" si="145"/>
        <v>0</v>
      </c>
      <c r="BG196" s="20">
        <f t="shared" si="146"/>
        <v>0</v>
      </c>
      <c r="BH196" s="116">
        <f t="shared" si="146"/>
        <v>0</v>
      </c>
    </row>
    <row r="197" spans="1:60" ht="15" x14ac:dyDescent="0.25">
      <c r="A197" s="66" t="str">
        <f>IF(LARGE($A$11:A196,1)=$F$2,"",A196+1)</f>
        <v/>
      </c>
      <c r="B197" s="27" t="str">
        <f t="shared" si="106"/>
        <v/>
      </c>
      <c r="C197" s="28" t="str">
        <f t="shared" si="133"/>
        <v/>
      </c>
      <c r="D197" s="28" t="str">
        <f t="shared" si="107"/>
        <v/>
      </c>
      <c r="E197" s="28" t="str">
        <f t="shared" si="108"/>
        <v/>
      </c>
      <c r="F197" s="29" t="str">
        <f t="shared" si="109"/>
        <v/>
      </c>
      <c r="G197" s="29" t="str">
        <f t="shared" si="110"/>
        <v/>
      </c>
      <c r="H197" s="30" t="str">
        <f t="shared" si="111"/>
        <v/>
      </c>
      <c r="I197" s="30" t="str">
        <f t="shared" si="112"/>
        <v/>
      </c>
      <c r="J197" s="30" t="str">
        <f>IF(A197="","",H197+CUSTOS!B197)</f>
        <v/>
      </c>
      <c r="K197" s="30" t="str">
        <f t="shared" si="134"/>
        <v/>
      </c>
      <c r="L197" s="30" t="str">
        <f t="shared" si="135"/>
        <v/>
      </c>
      <c r="M197" s="30" t="str">
        <f t="shared" si="136"/>
        <v/>
      </c>
      <c r="N197" s="30" t="str">
        <f t="shared" si="113"/>
        <v/>
      </c>
      <c r="O197" s="31" t="str">
        <f t="shared" si="137"/>
        <v/>
      </c>
      <c r="P197" s="32"/>
      <c r="Q197" s="33" t="str">
        <f t="shared" si="114"/>
        <v/>
      </c>
      <c r="R197" s="33" t="str">
        <f t="shared" si="115"/>
        <v/>
      </c>
      <c r="S197" s="33" t="str">
        <f t="shared" si="116"/>
        <v/>
      </c>
      <c r="T197" s="33" t="str">
        <f t="shared" si="117"/>
        <v/>
      </c>
      <c r="U197" s="33" t="str">
        <f t="shared" si="118"/>
        <v/>
      </c>
      <c r="V197" s="33" t="str">
        <f t="shared" si="119"/>
        <v/>
      </c>
      <c r="X197" s="33" t="str">
        <f t="shared" si="153"/>
        <v/>
      </c>
      <c r="Y197" s="30" t="str">
        <f t="shared" si="120"/>
        <v/>
      </c>
      <c r="Z197" s="30" t="str">
        <f t="shared" si="121"/>
        <v/>
      </c>
      <c r="AA197" s="30" t="str">
        <f t="shared" si="122"/>
        <v/>
      </c>
      <c r="AB197" s="30" t="str">
        <f t="shared" si="123"/>
        <v/>
      </c>
      <c r="AD197" s="33" t="str">
        <f t="shared" si="124"/>
        <v/>
      </c>
      <c r="AE197" s="30" t="str">
        <f t="shared" si="125"/>
        <v/>
      </c>
      <c r="AF197" s="30" t="str">
        <f t="shared" si="126"/>
        <v/>
      </c>
      <c r="AG197" s="30" t="str">
        <f t="shared" si="127"/>
        <v/>
      </c>
      <c r="AH197" s="30" t="str">
        <f t="shared" si="128"/>
        <v/>
      </c>
      <c r="AJ197" s="85" t="str">
        <f t="shared" si="152"/>
        <v/>
      </c>
      <c r="AK197" s="86" t="str">
        <f t="shared" si="147"/>
        <v/>
      </c>
      <c r="AL197" s="86" t="str">
        <f t="shared" si="148"/>
        <v/>
      </c>
      <c r="AM197" s="86" t="str">
        <f t="shared" si="149"/>
        <v/>
      </c>
      <c r="AN197" s="86" t="str">
        <f t="shared" si="150"/>
        <v/>
      </c>
      <c r="AO197" s="86" t="str">
        <f t="shared" si="151"/>
        <v/>
      </c>
      <c r="AQ197" s="33" t="str">
        <f t="shared" si="129"/>
        <v/>
      </c>
      <c r="AR197" s="30" t="str">
        <f t="shared" si="130"/>
        <v/>
      </c>
      <c r="AU197" s="20">
        <f t="shared" si="131"/>
        <v>0</v>
      </c>
      <c r="AV197" s="20">
        <f t="shared" si="132"/>
        <v>0</v>
      </c>
      <c r="AW197" s="19">
        <f t="shared" si="138"/>
        <v>0</v>
      </c>
      <c r="AX197" s="19">
        <f t="shared" si="139"/>
        <v>0</v>
      </c>
      <c r="AY197" s="19">
        <f t="shared" si="140"/>
        <v>0</v>
      </c>
      <c r="AZ197" s="19">
        <f t="shared" si="141"/>
        <v>0</v>
      </c>
      <c r="BA197" s="19">
        <f t="shared" si="142"/>
        <v>0</v>
      </c>
      <c r="BB197" s="19">
        <f t="shared" si="143"/>
        <v>0</v>
      </c>
      <c r="BC197" s="19">
        <f t="shared" si="144"/>
        <v>0</v>
      </c>
      <c r="BD197" s="19">
        <f>-IF(CUSTOS!B197="",0,CUSTOS!B197)</f>
        <v>0</v>
      </c>
      <c r="BF197" s="20">
        <f t="shared" si="145"/>
        <v>0</v>
      </c>
      <c r="BG197" s="20">
        <f t="shared" si="146"/>
        <v>0</v>
      </c>
      <c r="BH197" s="116">
        <f t="shared" si="146"/>
        <v>0</v>
      </c>
    </row>
    <row r="198" spans="1:60" ht="15" x14ac:dyDescent="0.25">
      <c r="A198" s="66" t="str">
        <f>IF(LARGE($A$11:A197,1)=$F$2,"",A197+1)</f>
        <v/>
      </c>
      <c r="B198" s="27" t="str">
        <f t="shared" si="106"/>
        <v/>
      </c>
      <c r="C198" s="28" t="str">
        <f t="shared" si="133"/>
        <v/>
      </c>
      <c r="D198" s="28" t="str">
        <f t="shared" si="107"/>
        <v/>
      </c>
      <c r="E198" s="28" t="str">
        <f t="shared" si="108"/>
        <v/>
      </c>
      <c r="F198" s="29" t="str">
        <f t="shared" si="109"/>
        <v/>
      </c>
      <c r="G198" s="29" t="str">
        <f t="shared" si="110"/>
        <v/>
      </c>
      <c r="H198" s="30" t="str">
        <f t="shared" si="111"/>
        <v/>
      </c>
      <c r="I198" s="30" t="str">
        <f t="shared" si="112"/>
        <v/>
      </c>
      <c r="J198" s="30" t="str">
        <f>IF(A198="","",H198+CUSTOS!B198)</f>
        <v/>
      </c>
      <c r="K198" s="30" t="str">
        <f t="shared" si="134"/>
        <v/>
      </c>
      <c r="L198" s="30" t="str">
        <f t="shared" si="135"/>
        <v/>
      </c>
      <c r="M198" s="30" t="str">
        <f t="shared" si="136"/>
        <v/>
      </c>
      <c r="N198" s="30" t="str">
        <f t="shared" si="113"/>
        <v/>
      </c>
      <c r="O198" s="31" t="str">
        <f t="shared" si="137"/>
        <v/>
      </c>
      <c r="P198" s="32"/>
      <c r="Q198" s="33" t="str">
        <f t="shared" si="114"/>
        <v/>
      </c>
      <c r="R198" s="33" t="str">
        <f t="shared" si="115"/>
        <v/>
      </c>
      <c r="S198" s="33" t="str">
        <f t="shared" si="116"/>
        <v/>
      </c>
      <c r="T198" s="33" t="str">
        <f t="shared" si="117"/>
        <v/>
      </c>
      <c r="U198" s="33" t="str">
        <f t="shared" si="118"/>
        <v/>
      </c>
      <c r="V198" s="33" t="str">
        <f t="shared" si="119"/>
        <v/>
      </c>
      <c r="X198" s="33" t="str">
        <f t="shared" si="153"/>
        <v/>
      </c>
      <c r="Y198" s="30" t="str">
        <f t="shared" si="120"/>
        <v/>
      </c>
      <c r="Z198" s="30" t="str">
        <f t="shared" si="121"/>
        <v/>
      </c>
      <c r="AA198" s="30" t="str">
        <f t="shared" si="122"/>
        <v/>
      </c>
      <c r="AB198" s="30" t="str">
        <f t="shared" si="123"/>
        <v/>
      </c>
      <c r="AD198" s="33" t="str">
        <f t="shared" si="124"/>
        <v/>
      </c>
      <c r="AE198" s="30" t="str">
        <f t="shared" si="125"/>
        <v/>
      </c>
      <c r="AF198" s="30" t="str">
        <f t="shared" si="126"/>
        <v/>
      </c>
      <c r="AG198" s="30" t="str">
        <f t="shared" si="127"/>
        <v/>
      </c>
      <c r="AH198" s="30" t="str">
        <f t="shared" si="128"/>
        <v/>
      </c>
      <c r="AJ198" s="85" t="str">
        <f t="shared" si="152"/>
        <v/>
      </c>
      <c r="AK198" s="86" t="str">
        <f t="shared" si="147"/>
        <v/>
      </c>
      <c r="AL198" s="86" t="str">
        <f t="shared" si="148"/>
        <v/>
      </c>
      <c r="AM198" s="86" t="str">
        <f t="shared" si="149"/>
        <v/>
      </c>
      <c r="AN198" s="86" t="str">
        <f t="shared" si="150"/>
        <v/>
      </c>
      <c r="AO198" s="86" t="str">
        <f t="shared" si="151"/>
        <v/>
      </c>
      <c r="AQ198" s="33" t="str">
        <f t="shared" si="129"/>
        <v/>
      </c>
      <c r="AR198" s="30" t="str">
        <f t="shared" si="130"/>
        <v/>
      </c>
      <c r="AU198" s="20">
        <f t="shared" si="131"/>
        <v>0</v>
      </c>
      <c r="AV198" s="20">
        <f t="shared" si="132"/>
        <v>0</v>
      </c>
      <c r="AW198" s="19">
        <f t="shared" si="138"/>
        <v>0</v>
      </c>
      <c r="AX198" s="19">
        <f t="shared" si="139"/>
        <v>0</v>
      </c>
      <c r="AY198" s="19">
        <f t="shared" si="140"/>
        <v>0</v>
      </c>
      <c r="AZ198" s="19">
        <f t="shared" si="141"/>
        <v>0</v>
      </c>
      <c r="BA198" s="19">
        <f t="shared" si="142"/>
        <v>0</v>
      </c>
      <c r="BB198" s="19">
        <f t="shared" si="143"/>
        <v>0</v>
      </c>
      <c r="BC198" s="19">
        <f t="shared" si="144"/>
        <v>0</v>
      </c>
      <c r="BD198" s="19">
        <f>-IF(CUSTOS!B198="",0,CUSTOS!B198)</f>
        <v>0</v>
      </c>
      <c r="BF198" s="20">
        <f t="shared" si="145"/>
        <v>0</v>
      </c>
      <c r="BG198" s="20">
        <f t="shared" si="146"/>
        <v>0</v>
      </c>
      <c r="BH198" s="116">
        <f t="shared" si="146"/>
        <v>0</v>
      </c>
    </row>
    <row r="199" spans="1:60" ht="15" x14ac:dyDescent="0.25">
      <c r="A199" s="66" t="str">
        <f>IF(LARGE($A$11:A198,1)=$F$2,"",A198+1)</f>
        <v/>
      </c>
      <c r="B199" s="27" t="str">
        <f t="shared" si="106"/>
        <v/>
      </c>
      <c r="C199" s="28" t="str">
        <f t="shared" si="133"/>
        <v/>
      </c>
      <c r="D199" s="28" t="str">
        <f t="shared" si="107"/>
        <v/>
      </c>
      <c r="E199" s="28" t="str">
        <f t="shared" si="108"/>
        <v/>
      </c>
      <c r="F199" s="29" t="str">
        <f t="shared" si="109"/>
        <v/>
      </c>
      <c r="G199" s="29" t="str">
        <f t="shared" si="110"/>
        <v/>
      </c>
      <c r="H199" s="30" t="str">
        <f t="shared" si="111"/>
        <v/>
      </c>
      <c r="I199" s="30" t="str">
        <f t="shared" si="112"/>
        <v/>
      </c>
      <c r="J199" s="30" t="str">
        <f>IF(A199="","",H199+CUSTOS!B199)</f>
        <v/>
      </c>
      <c r="K199" s="30" t="str">
        <f t="shared" si="134"/>
        <v/>
      </c>
      <c r="L199" s="30" t="str">
        <f t="shared" si="135"/>
        <v/>
      </c>
      <c r="M199" s="30" t="str">
        <f t="shared" si="136"/>
        <v/>
      </c>
      <c r="N199" s="30" t="str">
        <f t="shared" si="113"/>
        <v/>
      </c>
      <c r="O199" s="31" t="str">
        <f t="shared" si="137"/>
        <v/>
      </c>
      <c r="P199" s="32"/>
      <c r="Q199" s="33" t="str">
        <f t="shared" si="114"/>
        <v/>
      </c>
      <c r="R199" s="33" t="str">
        <f t="shared" si="115"/>
        <v/>
      </c>
      <c r="S199" s="33" t="str">
        <f t="shared" si="116"/>
        <v/>
      </c>
      <c r="T199" s="33" t="str">
        <f t="shared" si="117"/>
        <v/>
      </c>
      <c r="U199" s="33" t="str">
        <f t="shared" si="118"/>
        <v/>
      </c>
      <c r="V199" s="33" t="str">
        <f t="shared" si="119"/>
        <v/>
      </c>
      <c r="X199" s="33" t="str">
        <f t="shared" si="153"/>
        <v/>
      </c>
      <c r="Y199" s="30" t="str">
        <f t="shared" si="120"/>
        <v/>
      </c>
      <c r="Z199" s="30" t="str">
        <f t="shared" si="121"/>
        <v/>
      </c>
      <c r="AA199" s="30" t="str">
        <f t="shared" si="122"/>
        <v/>
      </c>
      <c r="AB199" s="30" t="str">
        <f t="shared" si="123"/>
        <v/>
      </c>
      <c r="AD199" s="33" t="str">
        <f t="shared" si="124"/>
        <v/>
      </c>
      <c r="AE199" s="30" t="str">
        <f t="shared" si="125"/>
        <v/>
      </c>
      <c r="AF199" s="30" t="str">
        <f t="shared" si="126"/>
        <v/>
      </c>
      <c r="AG199" s="30" t="str">
        <f t="shared" si="127"/>
        <v/>
      </c>
      <c r="AH199" s="30" t="str">
        <f t="shared" si="128"/>
        <v/>
      </c>
      <c r="AJ199" s="85" t="str">
        <f t="shared" si="152"/>
        <v/>
      </c>
      <c r="AK199" s="86" t="str">
        <f t="shared" si="147"/>
        <v/>
      </c>
      <c r="AL199" s="86" t="str">
        <f t="shared" si="148"/>
        <v/>
      </c>
      <c r="AM199" s="86" t="str">
        <f t="shared" si="149"/>
        <v/>
      </c>
      <c r="AN199" s="86" t="str">
        <f t="shared" si="150"/>
        <v/>
      </c>
      <c r="AO199" s="86" t="str">
        <f t="shared" si="151"/>
        <v/>
      </c>
      <c r="AQ199" s="33" t="str">
        <f t="shared" si="129"/>
        <v/>
      </c>
      <c r="AR199" s="30" t="str">
        <f t="shared" si="130"/>
        <v/>
      </c>
      <c r="AU199" s="20">
        <f t="shared" si="131"/>
        <v>0</v>
      </c>
      <c r="AV199" s="20">
        <f t="shared" si="132"/>
        <v>0</v>
      </c>
      <c r="AW199" s="19">
        <f t="shared" si="138"/>
        <v>0</v>
      </c>
      <c r="AX199" s="19">
        <f t="shared" si="139"/>
        <v>0</v>
      </c>
      <c r="AY199" s="19">
        <f t="shared" si="140"/>
        <v>0</v>
      </c>
      <c r="AZ199" s="19">
        <f t="shared" si="141"/>
        <v>0</v>
      </c>
      <c r="BA199" s="19">
        <f t="shared" si="142"/>
        <v>0</v>
      </c>
      <c r="BB199" s="19">
        <f t="shared" si="143"/>
        <v>0</v>
      </c>
      <c r="BC199" s="19">
        <f t="shared" si="144"/>
        <v>0</v>
      </c>
      <c r="BD199" s="19">
        <f>-IF(CUSTOS!B199="",0,CUSTOS!B199)</f>
        <v>0</v>
      </c>
      <c r="BF199" s="20">
        <f t="shared" si="145"/>
        <v>0</v>
      </c>
      <c r="BG199" s="20">
        <f t="shared" si="146"/>
        <v>0</v>
      </c>
      <c r="BH199" s="116">
        <f t="shared" si="146"/>
        <v>0</v>
      </c>
    </row>
    <row r="200" spans="1:60" ht="15" x14ac:dyDescent="0.25">
      <c r="A200" s="66" t="str">
        <f>IF(LARGE($A$11:A199,1)=$F$2,"",A199+1)</f>
        <v/>
      </c>
      <c r="B200" s="27" t="str">
        <f t="shared" si="106"/>
        <v/>
      </c>
      <c r="C200" s="28" t="str">
        <f t="shared" si="133"/>
        <v/>
      </c>
      <c r="D200" s="28" t="str">
        <f t="shared" si="107"/>
        <v/>
      </c>
      <c r="E200" s="28" t="str">
        <f t="shared" si="108"/>
        <v/>
      </c>
      <c r="F200" s="29" t="str">
        <f t="shared" si="109"/>
        <v/>
      </c>
      <c r="G200" s="29" t="str">
        <f t="shared" si="110"/>
        <v/>
      </c>
      <c r="H200" s="30" t="str">
        <f t="shared" si="111"/>
        <v/>
      </c>
      <c r="I200" s="30" t="str">
        <f t="shared" si="112"/>
        <v/>
      </c>
      <c r="J200" s="30" t="str">
        <f>IF(A200="","",H200+CUSTOS!B200)</f>
        <v/>
      </c>
      <c r="K200" s="30" t="str">
        <f t="shared" si="134"/>
        <v/>
      </c>
      <c r="L200" s="30" t="str">
        <f t="shared" si="135"/>
        <v/>
      </c>
      <c r="M200" s="30" t="str">
        <f t="shared" si="136"/>
        <v/>
      </c>
      <c r="N200" s="30" t="str">
        <f t="shared" si="113"/>
        <v/>
      </c>
      <c r="O200" s="31" t="str">
        <f t="shared" si="137"/>
        <v/>
      </c>
      <c r="P200" s="32"/>
      <c r="Q200" s="33" t="str">
        <f t="shared" si="114"/>
        <v/>
      </c>
      <c r="R200" s="33" t="str">
        <f t="shared" si="115"/>
        <v/>
      </c>
      <c r="S200" s="33" t="str">
        <f t="shared" si="116"/>
        <v/>
      </c>
      <c r="T200" s="33" t="str">
        <f t="shared" si="117"/>
        <v/>
      </c>
      <c r="U200" s="33" t="str">
        <f t="shared" si="118"/>
        <v/>
      </c>
      <c r="V200" s="33" t="str">
        <f t="shared" si="119"/>
        <v/>
      </c>
      <c r="X200" s="33" t="str">
        <f t="shared" si="153"/>
        <v/>
      </c>
      <c r="Y200" s="30" t="str">
        <f t="shared" si="120"/>
        <v/>
      </c>
      <c r="Z200" s="30" t="str">
        <f t="shared" si="121"/>
        <v/>
      </c>
      <c r="AA200" s="30" t="str">
        <f t="shared" si="122"/>
        <v/>
      </c>
      <c r="AB200" s="30" t="str">
        <f t="shared" si="123"/>
        <v/>
      </c>
      <c r="AD200" s="33" t="str">
        <f t="shared" si="124"/>
        <v/>
      </c>
      <c r="AE200" s="30" t="str">
        <f t="shared" si="125"/>
        <v/>
      </c>
      <c r="AF200" s="30" t="str">
        <f t="shared" si="126"/>
        <v/>
      </c>
      <c r="AG200" s="30" t="str">
        <f t="shared" si="127"/>
        <v/>
      </c>
      <c r="AH200" s="30" t="str">
        <f t="shared" si="128"/>
        <v/>
      </c>
      <c r="AJ200" s="85" t="str">
        <f t="shared" si="152"/>
        <v/>
      </c>
      <c r="AK200" s="86" t="str">
        <f t="shared" si="147"/>
        <v/>
      </c>
      <c r="AL200" s="86" t="str">
        <f t="shared" si="148"/>
        <v/>
      </c>
      <c r="AM200" s="86" t="str">
        <f t="shared" si="149"/>
        <v/>
      </c>
      <c r="AN200" s="86" t="str">
        <f t="shared" si="150"/>
        <v/>
      </c>
      <c r="AO200" s="86" t="str">
        <f t="shared" si="151"/>
        <v/>
      </c>
      <c r="AQ200" s="33" t="str">
        <f t="shared" si="129"/>
        <v/>
      </c>
      <c r="AR200" s="30" t="str">
        <f t="shared" si="130"/>
        <v/>
      </c>
      <c r="AU200" s="20">
        <f t="shared" si="131"/>
        <v>0</v>
      </c>
      <c r="AV200" s="20">
        <f t="shared" si="132"/>
        <v>0</v>
      </c>
      <c r="AW200" s="19">
        <f t="shared" si="138"/>
        <v>0</v>
      </c>
      <c r="AX200" s="19">
        <f t="shared" si="139"/>
        <v>0</v>
      </c>
      <c r="AY200" s="19">
        <f t="shared" si="140"/>
        <v>0</v>
      </c>
      <c r="AZ200" s="19">
        <f t="shared" si="141"/>
        <v>0</v>
      </c>
      <c r="BA200" s="19">
        <f t="shared" si="142"/>
        <v>0</v>
      </c>
      <c r="BB200" s="19">
        <f t="shared" si="143"/>
        <v>0</v>
      </c>
      <c r="BC200" s="19">
        <f t="shared" si="144"/>
        <v>0</v>
      </c>
      <c r="BD200" s="19">
        <f>-IF(CUSTOS!B200="",0,CUSTOS!B200)</f>
        <v>0</v>
      </c>
      <c r="BF200" s="20">
        <f t="shared" si="145"/>
        <v>0</v>
      </c>
      <c r="BG200" s="20">
        <f t="shared" si="146"/>
        <v>0</v>
      </c>
      <c r="BH200" s="116">
        <f t="shared" si="146"/>
        <v>0</v>
      </c>
    </row>
    <row r="201" spans="1:60" ht="15" x14ac:dyDescent="0.25">
      <c r="A201" s="66" t="str">
        <f>IF(LARGE($A$11:A200,1)=$F$2,"",A200+1)</f>
        <v/>
      </c>
      <c r="B201" s="27" t="str">
        <f t="shared" si="106"/>
        <v/>
      </c>
      <c r="C201" s="28" t="str">
        <f t="shared" si="133"/>
        <v/>
      </c>
      <c r="D201" s="28" t="str">
        <f t="shared" si="107"/>
        <v/>
      </c>
      <c r="E201" s="28" t="str">
        <f t="shared" si="108"/>
        <v/>
      </c>
      <c r="F201" s="29" t="str">
        <f t="shared" si="109"/>
        <v/>
      </c>
      <c r="G201" s="29" t="str">
        <f t="shared" si="110"/>
        <v/>
      </c>
      <c r="H201" s="30" t="str">
        <f t="shared" si="111"/>
        <v/>
      </c>
      <c r="I201" s="30" t="str">
        <f t="shared" si="112"/>
        <v/>
      </c>
      <c r="J201" s="30" t="str">
        <f>IF(A201="","",H201+CUSTOS!B201)</f>
        <v/>
      </c>
      <c r="K201" s="30" t="str">
        <f t="shared" si="134"/>
        <v/>
      </c>
      <c r="L201" s="30" t="str">
        <f t="shared" si="135"/>
        <v/>
      </c>
      <c r="M201" s="30" t="str">
        <f t="shared" si="136"/>
        <v/>
      </c>
      <c r="N201" s="30" t="str">
        <f t="shared" si="113"/>
        <v/>
      </c>
      <c r="O201" s="31" t="str">
        <f t="shared" si="137"/>
        <v/>
      </c>
      <c r="P201" s="32"/>
      <c r="Q201" s="33" t="str">
        <f t="shared" si="114"/>
        <v/>
      </c>
      <c r="R201" s="33" t="str">
        <f t="shared" si="115"/>
        <v/>
      </c>
      <c r="S201" s="33" t="str">
        <f t="shared" si="116"/>
        <v/>
      </c>
      <c r="T201" s="33" t="str">
        <f t="shared" si="117"/>
        <v/>
      </c>
      <c r="U201" s="33" t="str">
        <f t="shared" si="118"/>
        <v/>
      </c>
      <c r="V201" s="33" t="str">
        <f t="shared" si="119"/>
        <v/>
      </c>
      <c r="X201" s="33" t="str">
        <f t="shared" si="153"/>
        <v/>
      </c>
      <c r="Y201" s="30" t="str">
        <f t="shared" si="120"/>
        <v/>
      </c>
      <c r="Z201" s="30" t="str">
        <f t="shared" si="121"/>
        <v/>
      </c>
      <c r="AA201" s="30" t="str">
        <f t="shared" si="122"/>
        <v/>
      </c>
      <c r="AB201" s="30" t="str">
        <f t="shared" si="123"/>
        <v/>
      </c>
      <c r="AD201" s="33" t="str">
        <f t="shared" si="124"/>
        <v/>
      </c>
      <c r="AE201" s="30" t="str">
        <f t="shared" si="125"/>
        <v/>
      </c>
      <c r="AF201" s="30" t="str">
        <f t="shared" si="126"/>
        <v/>
      </c>
      <c r="AG201" s="30" t="str">
        <f t="shared" si="127"/>
        <v/>
      </c>
      <c r="AH201" s="30" t="str">
        <f t="shared" si="128"/>
        <v/>
      </c>
      <c r="AJ201" s="85" t="str">
        <f t="shared" si="152"/>
        <v/>
      </c>
      <c r="AK201" s="86" t="str">
        <f t="shared" si="147"/>
        <v/>
      </c>
      <c r="AL201" s="86" t="str">
        <f t="shared" si="148"/>
        <v/>
      </c>
      <c r="AM201" s="86" t="str">
        <f t="shared" si="149"/>
        <v/>
      </c>
      <c r="AN201" s="86" t="str">
        <f t="shared" si="150"/>
        <v/>
      </c>
      <c r="AO201" s="86" t="str">
        <f t="shared" si="151"/>
        <v/>
      </c>
      <c r="AQ201" s="33" t="str">
        <f t="shared" si="129"/>
        <v/>
      </c>
      <c r="AR201" s="30" t="str">
        <f t="shared" si="130"/>
        <v/>
      </c>
      <c r="AU201" s="20">
        <f t="shared" si="131"/>
        <v>0</v>
      </c>
      <c r="AV201" s="20">
        <f t="shared" si="132"/>
        <v>0</v>
      </c>
      <c r="AW201" s="19">
        <f t="shared" si="138"/>
        <v>0</v>
      </c>
      <c r="AX201" s="19">
        <f t="shared" si="139"/>
        <v>0</v>
      </c>
      <c r="AY201" s="19">
        <f t="shared" si="140"/>
        <v>0</v>
      </c>
      <c r="AZ201" s="19">
        <f t="shared" si="141"/>
        <v>0</v>
      </c>
      <c r="BA201" s="19">
        <f t="shared" si="142"/>
        <v>0</v>
      </c>
      <c r="BB201" s="19">
        <f t="shared" si="143"/>
        <v>0</v>
      </c>
      <c r="BC201" s="19">
        <f t="shared" si="144"/>
        <v>0</v>
      </c>
      <c r="BD201" s="19">
        <f>-IF(CUSTOS!B201="",0,CUSTOS!B201)</f>
        <v>0</v>
      </c>
      <c r="BF201" s="20">
        <f t="shared" si="145"/>
        <v>0</v>
      </c>
      <c r="BG201" s="20">
        <f t="shared" si="146"/>
        <v>0</v>
      </c>
      <c r="BH201" s="116">
        <f t="shared" si="146"/>
        <v>0</v>
      </c>
    </row>
    <row r="202" spans="1:60" ht="15" x14ac:dyDescent="0.25">
      <c r="A202" s="66" t="str">
        <f>IF(LARGE($A$11:A201,1)=$F$2,"",A201+1)</f>
        <v/>
      </c>
      <c r="B202" s="27" t="str">
        <f t="shared" si="106"/>
        <v/>
      </c>
      <c r="C202" s="28" t="str">
        <f t="shared" si="133"/>
        <v/>
      </c>
      <c r="D202" s="28" t="str">
        <f t="shared" si="107"/>
        <v/>
      </c>
      <c r="E202" s="28" t="str">
        <f t="shared" si="108"/>
        <v/>
      </c>
      <c r="F202" s="29" t="str">
        <f t="shared" si="109"/>
        <v/>
      </c>
      <c r="G202" s="29" t="str">
        <f t="shared" si="110"/>
        <v/>
      </c>
      <c r="H202" s="30" t="str">
        <f t="shared" si="111"/>
        <v/>
      </c>
      <c r="I202" s="30" t="str">
        <f t="shared" si="112"/>
        <v/>
      </c>
      <c r="J202" s="30" t="str">
        <f>IF(A202="","",H202+CUSTOS!B202)</f>
        <v/>
      </c>
      <c r="K202" s="30" t="str">
        <f t="shared" si="134"/>
        <v/>
      </c>
      <c r="L202" s="30" t="str">
        <f t="shared" si="135"/>
        <v/>
      </c>
      <c r="M202" s="30" t="str">
        <f t="shared" si="136"/>
        <v/>
      </c>
      <c r="N202" s="30" t="str">
        <f t="shared" si="113"/>
        <v/>
      </c>
      <c r="O202" s="31" t="str">
        <f t="shared" si="137"/>
        <v/>
      </c>
      <c r="P202" s="32"/>
      <c r="Q202" s="33" t="str">
        <f t="shared" si="114"/>
        <v/>
      </c>
      <c r="R202" s="33" t="str">
        <f t="shared" si="115"/>
        <v/>
      </c>
      <c r="S202" s="33" t="str">
        <f t="shared" si="116"/>
        <v/>
      </c>
      <c r="T202" s="33" t="str">
        <f t="shared" si="117"/>
        <v/>
      </c>
      <c r="U202" s="33" t="str">
        <f t="shared" si="118"/>
        <v/>
      </c>
      <c r="V202" s="33" t="str">
        <f t="shared" si="119"/>
        <v/>
      </c>
      <c r="X202" s="33" t="str">
        <f t="shared" si="153"/>
        <v/>
      </c>
      <c r="Y202" s="30" t="str">
        <f t="shared" si="120"/>
        <v/>
      </c>
      <c r="Z202" s="30" t="str">
        <f t="shared" si="121"/>
        <v/>
      </c>
      <c r="AA202" s="30" t="str">
        <f t="shared" si="122"/>
        <v/>
      </c>
      <c r="AB202" s="30" t="str">
        <f t="shared" si="123"/>
        <v/>
      </c>
      <c r="AD202" s="33" t="str">
        <f t="shared" si="124"/>
        <v/>
      </c>
      <c r="AE202" s="30" t="str">
        <f t="shared" si="125"/>
        <v/>
      </c>
      <c r="AF202" s="30" t="str">
        <f t="shared" si="126"/>
        <v/>
      </c>
      <c r="AG202" s="30" t="str">
        <f t="shared" si="127"/>
        <v/>
      </c>
      <c r="AH202" s="30" t="str">
        <f t="shared" si="128"/>
        <v/>
      </c>
      <c r="AJ202" s="85" t="str">
        <f t="shared" si="152"/>
        <v/>
      </c>
      <c r="AK202" s="86" t="str">
        <f t="shared" si="147"/>
        <v/>
      </c>
      <c r="AL202" s="86" t="str">
        <f t="shared" si="148"/>
        <v/>
      </c>
      <c r="AM202" s="86" t="str">
        <f t="shared" si="149"/>
        <v/>
      </c>
      <c r="AN202" s="86" t="str">
        <f t="shared" si="150"/>
        <v/>
      </c>
      <c r="AO202" s="86" t="str">
        <f t="shared" si="151"/>
        <v/>
      </c>
      <c r="AQ202" s="33" t="str">
        <f t="shared" si="129"/>
        <v/>
      </c>
      <c r="AR202" s="30" t="str">
        <f t="shared" si="130"/>
        <v/>
      </c>
      <c r="AU202" s="20">
        <f t="shared" si="131"/>
        <v>0</v>
      </c>
      <c r="AV202" s="20">
        <f t="shared" si="132"/>
        <v>0</v>
      </c>
      <c r="AW202" s="19">
        <f t="shared" si="138"/>
        <v>0</v>
      </c>
      <c r="AX202" s="19">
        <f t="shared" si="139"/>
        <v>0</v>
      </c>
      <c r="AY202" s="19">
        <f t="shared" si="140"/>
        <v>0</v>
      </c>
      <c r="AZ202" s="19">
        <f t="shared" si="141"/>
        <v>0</v>
      </c>
      <c r="BA202" s="19">
        <f t="shared" si="142"/>
        <v>0</v>
      </c>
      <c r="BB202" s="19">
        <f t="shared" si="143"/>
        <v>0</v>
      </c>
      <c r="BC202" s="19">
        <f t="shared" si="144"/>
        <v>0</v>
      </c>
      <c r="BD202" s="19">
        <f>-IF(CUSTOS!B202="",0,CUSTOS!B202)</f>
        <v>0</v>
      </c>
      <c r="BF202" s="20">
        <f t="shared" si="145"/>
        <v>0</v>
      </c>
      <c r="BG202" s="20">
        <f t="shared" si="146"/>
        <v>0</v>
      </c>
      <c r="BH202" s="116">
        <f t="shared" si="146"/>
        <v>0</v>
      </c>
    </row>
    <row r="203" spans="1:60" ht="15" x14ac:dyDescent="0.25">
      <c r="A203" s="66" t="str">
        <f>IF(LARGE($A$11:A202,1)=$F$2,"",A202+1)</f>
        <v/>
      </c>
      <c r="B203" s="27" t="str">
        <f t="shared" si="106"/>
        <v/>
      </c>
      <c r="C203" s="28" t="str">
        <f t="shared" si="133"/>
        <v/>
      </c>
      <c r="D203" s="28" t="str">
        <f t="shared" si="107"/>
        <v/>
      </c>
      <c r="E203" s="28" t="str">
        <f t="shared" si="108"/>
        <v/>
      </c>
      <c r="F203" s="29" t="str">
        <f t="shared" si="109"/>
        <v/>
      </c>
      <c r="G203" s="29" t="str">
        <f t="shared" si="110"/>
        <v/>
      </c>
      <c r="H203" s="30" t="str">
        <f t="shared" si="111"/>
        <v/>
      </c>
      <c r="I203" s="30" t="str">
        <f t="shared" si="112"/>
        <v/>
      </c>
      <c r="J203" s="30" t="str">
        <f>IF(A203="","",H203+CUSTOS!B203)</f>
        <v/>
      </c>
      <c r="K203" s="30" t="str">
        <f t="shared" si="134"/>
        <v/>
      </c>
      <c r="L203" s="30" t="str">
        <f t="shared" si="135"/>
        <v/>
      </c>
      <c r="M203" s="30" t="str">
        <f t="shared" si="136"/>
        <v/>
      </c>
      <c r="N203" s="30" t="str">
        <f t="shared" si="113"/>
        <v/>
      </c>
      <c r="O203" s="31" t="str">
        <f t="shared" si="137"/>
        <v/>
      </c>
      <c r="P203" s="32"/>
      <c r="Q203" s="33" t="str">
        <f t="shared" si="114"/>
        <v/>
      </c>
      <c r="R203" s="33" t="str">
        <f t="shared" si="115"/>
        <v/>
      </c>
      <c r="S203" s="33" t="str">
        <f t="shared" si="116"/>
        <v/>
      </c>
      <c r="T203" s="33" t="str">
        <f t="shared" si="117"/>
        <v/>
      </c>
      <c r="U203" s="33" t="str">
        <f t="shared" si="118"/>
        <v/>
      </c>
      <c r="V203" s="33" t="str">
        <f t="shared" si="119"/>
        <v/>
      </c>
      <c r="X203" s="33" t="str">
        <f t="shared" si="153"/>
        <v/>
      </c>
      <c r="Y203" s="30" t="str">
        <f t="shared" si="120"/>
        <v/>
      </c>
      <c r="Z203" s="30" t="str">
        <f t="shared" si="121"/>
        <v/>
      </c>
      <c r="AA203" s="30" t="str">
        <f t="shared" si="122"/>
        <v/>
      </c>
      <c r="AB203" s="30" t="str">
        <f t="shared" si="123"/>
        <v/>
      </c>
      <c r="AD203" s="33" t="str">
        <f t="shared" si="124"/>
        <v/>
      </c>
      <c r="AE203" s="30" t="str">
        <f t="shared" si="125"/>
        <v/>
      </c>
      <c r="AF203" s="30" t="str">
        <f t="shared" si="126"/>
        <v/>
      </c>
      <c r="AG203" s="30" t="str">
        <f t="shared" si="127"/>
        <v/>
      </c>
      <c r="AH203" s="30" t="str">
        <f t="shared" si="128"/>
        <v/>
      </c>
      <c r="AJ203" s="85" t="str">
        <f t="shared" si="152"/>
        <v/>
      </c>
      <c r="AK203" s="86" t="str">
        <f t="shared" si="147"/>
        <v/>
      </c>
      <c r="AL203" s="86" t="str">
        <f t="shared" si="148"/>
        <v/>
      </c>
      <c r="AM203" s="86" t="str">
        <f t="shared" si="149"/>
        <v/>
      </c>
      <c r="AN203" s="86" t="str">
        <f t="shared" si="150"/>
        <v/>
      </c>
      <c r="AO203" s="86" t="str">
        <f t="shared" si="151"/>
        <v/>
      </c>
      <c r="AQ203" s="33" t="str">
        <f t="shared" si="129"/>
        <v/>
      </c>
      <c r="AR203" s="30" t="str">
        <f t="shared" si="130"/>
        <v/>
      </c>
      <c r="AU203" s="20">
        <f t="shared" si="131"/>
        <v>0</v>
      </c>
      <c r="AV203" s="20">
        <f t="shared" si="132"/>
        <v>0</v>
      </c>
      <c r="AW203" s="19">
        <f t="shared" si="138"/>
        <v>0</v>
      </c>
      <c r="AX203" s="19">
        <f t="shared" si="139"/>
        <v>0</v>
      </c>
      <c r="AY203" s="19">
        <f t="shared" si="140"/>
        <v>0</v>
      </c>
      <c r="AZ203" s="19">
        <f t="shared" si="141"/>
        <v>0</v>
      </c>
      <c r="BA203" s="19">
        <f t="shared" si="142"/>
        <v>0</v>
      </c>
      <c r="BB203" s="19">
        <f t="shared" si="143"/>
        <v>0</v>
      </c>
      <c r="BC203" s="19">
        <f t="shared" si="144"/>
        <v>0</v>
      </c>
      <c r="BD203" s="19">
        <f>-IF(CUSTOS!B203="",0,CUSTOS!B203)</f>
        <v>0</v>
      </c>
      <c r="BF203" s="20">
        <f t="shared" si="145"/>
        <v>0</v>
      </c>
      <c r="BG203" s="20">
        <f t="shared" si="146"/>
        <v>0</v>
      </c>
      <c r="BH203" s="116">
        <f t="shared" si="146"/>
        <v>0</v>
      </c>
    </row>
    <row r="204" spans="1:60" ht="15" x14ac:dyDescent="0.25">
      <c r="A204" s="66" t="str">
        <f>IF(LARGE($A$11:A203,1)=$F$2,"",A203+1)</f>
        <v/>
      </c>
      <c r="B204" s="27" t="str">
        <f t="shared" ref="B204:B267" si="154">IF($A204="","",DATE(YEAR(EDATE(C204,-def_fluxo)),MONTH(EDATE(C204,-def_fluxo)),1))</f>
        <v/>
      </c>
      <c r="C204" s="28" t="str">
        <f t="shared" si="133"/>
        <v/>
      </c>
      <c r="D204" s="28" t="str">
        <f t="shared" ref="D204:D267" si="155">IF($A204="","",WORKDAY(C204-1,1,holiday))</f>
        <v/>
      </c>
      <c r="E204" s="28" t="str">
        <f t="shared" ref="E204:E267" si="156">IF($A204="","",WORKDAY(D204,def_pgto,holiday))</f>
        <v/>
      </c>
      <c r="F204" s="29" t="str">
        <f t="shared" ref="F204:F267" si="157">IF(A204="","",IF(base_calc=252,NETWORKDAYS(D204,D204,holiday)-1,IF(base_calc=360,DAYS360(EDATE(C204,-1),C204,0),"")))</f>
        <v/>
      </c>
      <c r="G204" s="29" t="str">
        <f t="shared" ref="G204:G267" si="158">IF(A204="","",IF(base_calc=252,NETWORKDAYS($F$3,D204,holiday)-1,IF(base_calc=360,DAYS360($F$3,C204),"")))</f>
        <v/>
      </c>
      <c r="H204" s="30" t="str">
        <f t="shared" ref="H204:H267" si="159">IF($A204="","",IF(C204&gt;=$F$5,IF($C$5&gt;0,$C$5,PMT((1+tx_lastro)^(1/12)-1,prazo_op,-$C$6)),0))</f>
        <v/>
      </c>
      <c r="I204" s="30" t="str">
        <f t="shared" ref="I204:I267" si="160">IF(A204="","",H204/(1+tx_lastro)^(G204/base_calc))</f>
        <v/>
      </c>
      <c r="J204" s="30" t="str">
        <f>IF(A204="","",H204+CUSTOS!B204)</f>
        <v/>
      </c>
      <c r="K204" s="30" t="str">
        <f t="shared" si="134"/>
        <v/>
      </c>
      <c r="L204" s="30" t="str">
        <f t="shared" si="135"/>
        <v/>
      </c>
      <c r="M204" s="30" t="str">
        <f t="shared" si="136"/>
        <v/>
      </c>
      <c r="N204" s="30" t="str">
        <f t="shared" ref="N204:N267" si="161">IF(A204="","",J204/(1+tx_lastro)^(G204/base_calc))</f>
        <v/>
      </c>
      <c r="O204" s="31" t="str">
        <f t="shared" si="137"/>
        <v/>
      </c>
      <c r="P204" s="32"/>
      <c r="Q204" s="33" t="str">
        <f t="shared" ref="Q204:Q267" si="162">IF($A204="","",IF($A204&gt;prazo_se,"",IF($R$6="A + J",R204+S204,J204*pmt_se)))</f>
        <v/>
      </c>
      <c r="R204" s="33" t="str">
        <f t="shared" ref="R204:R267" si="163">IF($A204="","",IF($A204&gt;prazo_se,"",IF(OR(H204=0,A204&lt;=carência_se),-S204,IF($R$6="A + J",O204*T203,Q204-S204))))</f>
        <v/>
      </c>
      <c r="S204" s="33" t="str">
        <f t="shared" ref="S204:S267" si="164">IF($A204="","",IF($A204&gt;prazo_se,"",T203*((1+tx_se)^(IF(A204&gt;1,F204,G204)/base_calc)-1)))</f>
        <v/>
      </c>
      <c r="T204" s="33" t="str">
        <f t="shared" ref="T204:T267" si="165">IF($A204="","",IF($A204&gt;prazo_se,"",T203-R204))</f>
        <v/>
      </c>
      <c r="U204" s="33" t="str">
        <f t="shared" ref="U204:U267" si="166">IF($A204="","",IF($A204&gt;prazo_se,"",Q204/(1+tx_se)^(G204/base_calc)))</f>
        <v/>
      </c>
      <c r="V204" s="33" t="str">
        <f t="shared" ref="V204:V267" si="167">IF($A204="","",IF($A204&gt;prazo_se,"",Q204/(1+tx_se2)^(G204/base_calc)))</f>
        <v/>
      </c>
      <c r="X204" s="33" t="str">
        <f t="shared" si="153"/>
        <v/>
      </c>
      <c r="Y204" s="30" t="str">
        <f t="shared" ref="Y204:Y267" si="168">IF($A204="","",IF($A204&gt;prazo_subp,"",IF(A204&lt;=carência_subp,-Z204,IF($Y$6="A + J",O204*AA203,X204-Z204))))</f>
        <v/>
      </c>
      <c r="Z204" s="30" t="str">
        <f t="shared" ref="Z204:Z267" si="169">IF($A204="","",IF($A204&gt;prazo_subp,"",AA203*((1+tx_subp)^(IF(A204&gt;1,F204,G204)/base_calc)-1)))</f>
        <v/>
      </c>
      <c r="AA204" s="30" t="str">
        <f t="shared" ref="AA204:AA267" si="170">IF($A204="","",IF($A204&gt;prazo_subp,"",AA203-Y204))</f>
        <v/>
      </c>
      <c r="AB204" s="30" t="str">
        <f t="shared" ref="AB204:AB267" si="171">IF($A204="","",IF($A204&gt;prazo_subp,"",X204/(1+tx_subp)^(G204/base_calc)))</f>
        <v/>
      </c>
      <c r="AD204" s="33" t="str">
        <f t="shared" ref="AD204:AD267" si="172">IF($A204="","",IF($A204&gt;prazo_sub,"",IF($AE$6="PMT [diferença]",J204-Q204-X204,(J204-Q204-X204)*pmt_sub)))</f>
        <v/>
      </c>
      <c r="AE204" s="30" t="str">
        <f t="shared" ref="AE204:AE267" si="173">IF($A204="","",IF($A204&gt;prazo_sub,"",IF(A204&lt;=carência_sub,-AF204,IF($AE$6="% PMT",O204*AG203,AD204-AF204))))</f>
        <v/>
      </c>
      <c r="AF204" s="30" t="str">
        <f t="shared" ref="AF204:AF267" si="174">IF($A204="","",IF($A204&gt;prazo_sub,"",AG203*((1+tx_sub)^(IF(A204&gt;1,F204,G204)/base_calc)-1)))</f>
        <v/>
      </c>
      <c r="AG204" s="30" t="str">
        <f t="shared" ref="AG204:AG267" si="175">IF($A204="","",IF($A204&gt;prazo_sub,"",AG203-AE204))</f>
        <v/>
      </c>
      <c r="AH204" s="30" t="str">
        <f t="shared" ref="AH204:AH267" si="176">IF($A204="","",IF($A204&gt;prazo_sub,"",AD204/(1+tx_sub)^(G204/base_calc)))</f>
        <v/>
      </c>
      <c r="AJ204" s="85" t="str">
        <f t="shared" si="152"/>
        <v/>
      </c>
      <c r="AK204" s="86" t="str">
        <f t="shared" si="147"/>
        <v/>
      </c>
      <c r="AL204" s="86" t="str">
        <f t="shared" si="148"/>
        <v/>
      </c>
      <c r="AM204" s="86" t="str">
        <f t="shared" si="149"/>
        <v/>
      </c>
      <c r="AN204" s="86" t="str">
        <f t="shared" si="150"/>
        <v/>
      </c>
      <c r="AO204" s="86" t="str">
        <f t="shared" si="151"/>
        <v/>
      </c>
      <c r="AQ204" s="33" t="str">
        <f t="shared" ref="AQ204:AQ267" si="177">IF(A204="","",IF(AJ204&lt;=0,AJ204,0))</f>
        <v/>
      </c>
      <c r="AR204" s="30" t="str">
        <f t="shared" ref="AR204:AR267" si="178">IF(A204="","",IF(AJ204&gt;0,AJ204,0))</f>
        <v/>
      </c>
      <c r="AU204" s="20">
        <f t="shared" ref="AU204:AU267" si="179">IF(H204="",0,H204)</f>
        <v>0</v>
      </c>
      <c r="AV204" s="20">
        <f t="shared" ref="AV204:AV267" si="180">IF(J204="",0,J204)</f>
        <v>0</v>
      </c>
      <c r="AW204" s="19">
        <f t="shared" si="138"/>
        <v>0</v>
      </c>
      <c r="AX204" s="19">
        <f t="shared" si="139"/>
        <v>0</v>
      </c>
      <c r="AY204" s="19">
        <f t="shared" si="140"/>
        <v>0</v>
      </c>
      <c r="AZ204" s="19">
        <f t="shared" si="141"/>
        <v>0</v>
      </c>
      <c r="BA204" s="19">
        <f t="shared" si="142"/>
        <v>0</v>
      </c>
      <c r="BB204" s="19">
        <f t="shared" si="143"/>
        <v>0</v>
      </c>
      <c r="BC204" s="19">
        <f t="shared" si="144"/>
        <v>0</v>
      </c>
      <c r="BD204" s="19">
        <f>-IF(CUSTOS!B204="",0,CUSTOS!B204)</f>
        <v>0</v>
      </c>
      <c r="BF204" s="20">
        <f t="shared" si="145"/>
        <v>0</v>
      </c>
      <c r="BG204" s="20">
        <f t="shared" si="146"/>
        <v>0</v>
      </c>
      <c r="BH204" s="116">
        <f t="shared" si="146"/>
        <v>0</v>
      </c>
    </row>
    <row r="205" spans="1:60" ht="15" x14ac:dyDescent="0.25">
      <c r="A205" s="66" t="str">
        <f>IF(LARGE($A$11:A204,1)=$F$2,"",A204+1)</f>
        <v/>
      </c>
      <c r="B205" s="27" t="str">
        <f t="shared" si="154"/>
        <v/>
      </c>
      <c r="C205" s="28" t="str">
        <f t="shared" ref="C205:C268" si="181">IF($A205="","",IF(OR(DAY($C$12)=30,DAY($C$12)=31),EOMONTH(EDATE(C204,1),0),EDATE(C204,1)))</f>
        <v/>
      </c>
      <c r="D205" s="28" t="str">
        <f t="shared" si="155"/>
        <v/>
      </c>
      <c r="E205" s="28" t="str">
        <f t="shared" si="156"/>
        <v/>
      </c>
      <c r="F205" s="29" t="str">
        <f t="shared" si="157"/>
        <v/>
      </c>
      <c r="G205" s="29" t="str">
        <f t="shared" si="158"/>
        <v/>
      </c>
      <c r="H205" s="30" t="str">
        <f t="shared" si="159"/>
        <v/>
      </c>
      <c r="I205" s="30" t="str">
        <f t="shared" si="160"/>
        <v/>
      </c>
      <c r="J205" s="30" t="str">
        <f>IF(A205="","",H205+CUSTOS!B205)</f>
        <v/>
      </c>
      <c r="K205" s="30" t="str">
        <f t="shared" ref="K205:K268" si="182">IF(A205="","",J205-L205)</f>
        <v/>
      </c>
      <c r="L205" s="30" t="str">
        <f t="shared" ref="L205:L268" si="183">IF(A205="","",M204*((1+tx_lastro)^(F205/base_calc)-1))</f>
        <v/>
      </c>
      <c r="M205" s="30" t="str">
        <f t="shared" ref="M205:M268" si="184">IF(A205="","",M204-K205)</f>
        <v/>
      </c>
      <c r="N205" s="30" t="str">
        <f t="shared" si="161"/>
        <v/>
      </c>
      <c r="O205" s="31" t="str">
        <f t="shared" ref="O205:O268" si="185">IF(A205="","",IFERROR(K205/M204,0))</f>
        <v/>
      </c>
      <c r="P205" s="32"/>
      <c r="Q205" s="33" t="str">
        <f t="shared" si="162"/>
        <v/>
      </c>
      <c r="R205" s="33" t="str">
        <f t="shared" si="163"/>
        <v/>
      </c>
      <c r="S205" s="33" t="str">
        <f t="shared" si="164"/>
        <v/>
      </c>
      <c r="T205" s="33" t="str">
        <f t="shared" si="165"/>
        <v/>
      </c>
      <c r="U205" s="33" t="str">
        <f t="shared" si="166"/>
        <v/>
      </c>
      <c r="V205" s="33" t="str">
        <f t="shared" si="167"/>
        <v/>
      </c>
      <c r="X205" s="33" t="str">
        <f t="shared" si="153"/>
        <v/>
      </c>
      <c r="Y205" s="30" t="str">
        <f t="shared" si="168"/>
        <v/>
      </c>
      <c r="Z205" s="30" t="str">
        <f t="shared" si="169"/>
        <v/>
      </c>
      <c r="AA205" s="30" t="str">
        <f t="shared" si="170"/>
        <v/>
      </c>
      <c r="AB205" s="30" t="str">
        <f t="shared" si="171"/>
        <v/>
      </c>
      <c r="AD205" s="33" t="str">
        <f t="shared" si="172"/>
        <v/>
      </c>
      <c r="AE205" s="30" t="str">
        <f t="shared" si="173"/>
        <v/>
      </c>
      <c r="AF205" s="30" t="str">
        <f t="shared" si="174"/>
        <v/>
      </c>
      <c r="AG205" s="30" t="str">
        <f t="shared" si="175"/>
        <v/>
      </c>
      <c r="AH205" s="30" t="str">
        <f t="shared" si="176"/>
        <v/>
      </c>
      <c r="AJ205" s="85" t="str">
        <f t="shared" ref="AJ205:AJ268" si="186">IF($A205="","",J205-Q205-X205-AD205)</f>
        <v/>
      </c>
      <c r="AK205" s="86" t="str">
        <f t="shared" si="147"/>
        <v/>
      </c>
      <c r="AL205" s="86" t="str">
        <f t="shared" si="148"/>
        <v/>
      </c>
      <c r="AM205" s="86" t="str">
        <f t="shared" si="149"/>
        <v/>
      </c>
      <c r="AN205" s="86" t="str">
        <f t="shared" si="150"/>
        <v/>
      </c>
      <c r="AO205" s="86" t="str">
        <f t="shared" si="151"/>
        <v/>
      </c>
      <c r="AQ205" s="33" t="str">
        <f t="shared" si="177"/>
        <v/>
      </c>
      <c r="AR205" s="30" t="str">
        <f t="shared" si="178"/>
        <v/>
      </c>
      <c r="AU205" s="20">
        <f t="shared" si="179"/>
        <v>0</v>
      </c>
      <c r="AV205" s="20">
        <f t="shared" si="180"/>
        <v>0</v>
      </c>
      <c r="AW205" s="19">
        <f t="shared" ref="AW205:AW268" si="187">IF(Q205="",0,Q205)</f>
        <v>0</v>
      </c>
      <c r="AX205" s="19">
        <f t="shared" ref="AX205:AX268" si="188">IF(X205="",0,X205)</f>
        <v>0</v>
      </c>
      <c r="AY205" s="19">
        <f t="shared" ref="AY205:AY268" si="189">IF(AD205="",0,AD205)</f>
        <v>0</v>
      </c>
      <c r="AZ205" s="19">
        <f t="shared" ref="AZ205:AZ268" si="190">IF(AJ205="",0,AJ205)</f>
        <v>0</v>
      </c>
      <c r="BA205" s="19">
        <f t="shared" ref="BA205:BA268" si="191">AX205</f>
        <v>0</v>
      </c>
      <c r="BB205" s="19">
        <f t="shared" ref="BB205:BB268" si="192">AY205</f>
        <v>0</v>
      </c>
      <c r="BC205" s="19">
        <f t="shared" ref="BC205:BC268" si="193">AZ205</f>
        <v>0</v>
      </c>
      <c r="BD205" s="19">
        <f>-IF(CUSTOS!B205="",0,CUSTOS!B205)</f>
        <v>0</v>
      </c>
      <c r="BF205" s="20">
        <f t="shared" ref="BF205:BF268" si="194">AW205+AX205+AY205+BD205</f>
        <v>0</v>
      </c>
      <c r="BG205" s="20">
        <f t="shared" ref="BG205:BH268" si="195">BF205</f>
        <v>0</v>
      </c>
      <c r="BH205" s="116">
        <f t="shared" si="195"/>
        <v>0</v>
      </c>
    </row>
    <row r="206" spans="1:60" ht="15" x14ac:dyDescent="0.25">
      <c r="A206" s="66" t="str">
        <f>IF(LARGE($A$11:A205,1)=$F$2,"",A205+1)</f>
        <v/>
      </c>
      <c r="B206" s="27" t="str">
        <f t="shared" si="154"/>
        <v/>
      </c>
      <c r="C206" s="28" t="str">
        <f t="shared" si="181"/>
        <v/>
      </c>
      <c r="D206" s="28" t="str">
        <f t="shared" si="155"/>
        <v/>
      </c>
      <c r="E206" s="28" t="str">
        <f t="shared" si="156"/>
        <v/>
      </c>
      <c r="F206" s="29" t="str">
        <f t="shared" si="157"/>
        <v/>
      </c>
      <c r="G206" s="29" t="str">
        <f t="shared" si="158"/>
        <v/>
      </c>
      <c r="H206" s="30" t="str">
        <f t="shared" si="159"/>
        <v/>
      </c>
      <c r="I206" s="30" t="str">
        <f t="shared" si="160"/>
        <v/>
      </c>
      <c r="J206" s="30" t="str">
        <f>IF(A206="","",H206+CUSTOS!B206)</f>
        <v/>
      </c>
      <c r="K206" s="30" t="str">
        <f t="shared" si="182"/>
        <v/>
      </c>
      <c r="L206" s="30" t="str">
        <f t="shared" si="183"/>
        <v/>
      </c>
      <c r="M206" s="30" t="str">
        <f t="shared" si="184"/>
        <v/>
      </c>
      <c r="N206" s="30" t="str">
        <f t="shared" si="161"/>
        <v/>
      </c>
      <c r="O206" s="31" t="str">
        <f t="shared" si="185"/>
        <v/>
      </c>
      <c r="P206" s="32"/>
      <c r="Q206" s="33" t="str">
        <f t="shared" si="162"/>
        <v/>
      </c>
      <c r="R206" s="33" t="str">
        <f t="shared" si="163"/>
        <v/>
      </c>
      <c r="S206" s="33" t="str">
        <f t="shared" si="164"/>
        <v/>
      </c>
      <c r="T206" s="33" t="str">
        <f t="shared" si="165"/>
        <v/>
      </c>
      <c r="U206" s="33" t="str">
        <f t="shared" si="166"/>
        <v/>
      </c>
      <c r="V206" s="33" t="str">
        <f t="shared" si="167"/>
        <v/>
      </c>
      <c r="X206" s="33" t="str">
        <f t="shared" si="153"/>
        <v/>
      </c>
      <c r="Y206" s="30" t="str">
        <f t="shared" si="168"/>
        <v/>
      </c>
      <c r="Z206" s="30" t="str">
        <f t="shared" si="169"/>
        <v/>
      </c>
      <c r="AA206" s="30" t="str">
        <f t="shared" si="170"/>
        <v/>
      </c>
      <c r="AB206" s="30" t="str">
        <f t="shared" si="171"/>
        <v/>
      </c>
      <c r="AD206" s="33" t="str">
        <f t="shared" si="172"/>
        <v/>
      </c>
      <c r="AE206" s="30" t="str">
        <f t="shared" si="173"/>
        <v/>
      </c>
      <c r="AF206" s="30" t="str">
        <f t="shared" si="174"/>
        <v/>
      </c>
      <c r="AG206" s="30" t="str">
        <f t="shared" si="175"/>
        <v/>
      </c>
      <c r="AH206" s="30" t="str">
        <f t="shared" si="176"/>
        <v/>
      </c>
      <c r="AJ206" s="85" t="str">
        <f t="shared" si="186"/>
        <v/>
      </c>
      <c r="AK206" s="86" t="str">
        <f t="shared" ref="AK206:AK269" si="196">IF($A206="","",AJ206-AL206)</f>
        <v/>
      </c>
      <c r="AL206" s="86" t="str">
        <f t="shared" ref="AL206:AL269" si="197">IF(A206="","",AM205*((1+tx_over)^(IF(A206&gt;1,F206,G206)/base_calc)-1))</f>
        <v/>
      </c>
      <c r="AM206" s="86" t="str">
        <f t="shared" ref="AM206:AM269" si="198">IF(A206="","",AM205-AK206)</f>
        <v/>
      </c>
      <c r="AN206" s="86" t="str">
        <f t="shared" ref="AN206:AN269" si="199">IF($A206="","",AJ206/(1+tx_over)^(G206/base_calc))</f>
        <v/>
      </c>
      <c r="AO206" s="86" t="str">
        <f t="shared" ref="AO206:AO269" si="200">IF($A206="","",AJ206/(1+tx_lastro)^(G206/base_calc))</f>
        <v/>
      </c>
      <c r="AQ206" s="33" t="str">
        <f t="shared" si="177"/>
        <v/>
      </c>
      <c r="AR206" s="30" t="str">
        <f t="shared" si="178"/>
        <v/>
      </c>
      <c r="AU206" s="20">
        <f t="shared" si="179"/>
        <v>0</v>
      </c>
      <c r="AV206" s="20">
        <f t="shared" si="180"/>
        <v>0</v>
      </c>
      <c r="AW206" s="19">
        <f t="shared" si="187"/>
        <v>0</v>
      </c>
      <c r="AX206" s="19">
        <f t="shared" si="188"/>
        <v>0</v>
      </c>
      <c r="AY206" s="19">
        <f t="shared" si="189"/>
        <v>0</v>
      </c>
      <c r="AZ206" s="19">
        <f t="shared" si="190"/>
        <v>0</v>
      </c>
      <c r="BA206" s="19">
        <f t="shared" si="191"/>
        <v>0</v>
      </c>
      <c r="BB206" s="19">
        <f t="shared" si="192"/>
        <v>0</v>
      </c>
      <c r="BC206" s="19">
        <f t="shared" si="193"/>
        <v>0</v>
      </c>
      <c r="BD206" s="19">
        <f>-IF(CUSTOS!B206="",0,CUSTOS!B206)</f>
        <v>0</v>
      </c>
      <c r="BF206" s="20">
        <f t="shared" si="194"/>
        <v>0</v>
      </c>
      <c r="BG206" s="20">
        <f t="shared" si="195"/>
        <v>0</v>
      </c>
      <c r="BH206" s="116">
        <f t="shared" si="195"/>
        <v>0</v>
      </c>
    </row>
    <row r="207" spans="1:60" ht="15" x14ac:dyDescent="0.25">
      <c r="A207" s="66" t="str">
        <f>IF(LARGE($A$11:A206,1)=$F$2,"",A206+1)</f>
        <v/>
      </c>
      <c r="B207" s="27" t="str">
        <f t="shared" si="154"/>
        <v/>
      </c>
      <c r="C207" s="28" t="str">
        <f t="shared" si="181"/>
        <v/>
      </c>
      <c r="D207" s="28" t="str">
        <f t="shared" si="155"/>
        <v/>
      </c>
      <c r="E207" s="28" t="str">
        <f t="shared" si="156"/>
        <v/>
      </c>
      <c r="F207" s="29" t="str">
        <f t="shared" si="157"/>
        <v/>
      </c>
      <c r="G207" s="29" t="str">
        <f t="shared" si="158"/>
        <v/>
      </c>
      <c r="H207" s="30" t="str">
        <f t="shared" si="159"/>
        <v/>
      </c>
      <c r="I207" s="30" t="str">
        <f t="shared" si="160"/>
        <v/>
      </c>
      <c r="J207" s="30" t="str">
        <f>IF(A207="","",H207+CUSTOS!B207)</f>
        <v/>
      </c>
      <c r="K207" s="30" t="str">
        <f t="shared" si="182"/>
        <v/>
      </c>
      <c r="L207" s="30" t="str">
        <f t="shared" si="183"/>
        <v/>
      </c>
      <c r="M207" s="30" t="str">
        <f t="shared" si="184"/>
        <v/>
      </c>
      <c r="N207" s="30" t="str">
        <f t="shared" si="161"/>
        <v/>
      </c>
      <c r="O207" s="31" t="str">
        <f t="shared" si="185"/>
        <v/>
      </c>
      <c r="P207" s="32"/>
      <c r="Q207" s="33" t="str">
        <f t="shared" si="162"/>
        <v/>
      </c>
      <c r="R207" s="33" t="str">
        <f t="shared" si="163"/>
        <v/>
      </c>
      <c r="S207" s="33" t="str">
        <f t="shared" si="164"/>
        <v/>
      </c>
      <c r="T207" s="33" t="str">
        <f t="shared" si="165"/>
        <v/>
      </c>
      <c r="U207" s="33" t="str">
        <f t="shared" si="166"/>
        <v/>
      </c>
      <c r="V207" s="33" t="str">
        <f t="shared" si="167"/>
        <v/>
      </c>
      <c r="X207" s="33" t="str">
        <f t="shared" si="153"/>
        <v/>
      </c>
      <c r="Y207" s="30" t="str">
        <f t="shared" si="168"/>
        <v/>
      </c>
      <c r="Z207" s="30" t="str">
        <f t="shared" si="169"/>
        <v/>
      </c>
      <c r="AA207" s="30" t="str">
        <f t="shared" si="170"/>
        <v/>
      </c>
      <c r="AB207" s="30" t="str">
        <f t="shared" si="171"/>
        <v/>
      </c>
      <c r="AD207" s="33" t="str">
        <f t="shared" si="172"/>
        <v/>
      </c>
      <c r="AE207" s="30" t="str">
        <f t="shared" si="173"/>
        <v/>
      </c>
      <c r="AF207" s="30" t="str">
        <f t="shared" si="174"/>
        <v/>
      </c>
      <c r="AG207" s="30" t="str">
        <f t="shared" si="175"/>
        <v/>
      </c>
      <c r="AH207" s="30" t="str">
        <f t="shared" si="176"/>
        <v/>
      </c>
      <c r="AJ207" s="85" t="str">
        <f t="shared" si="186"/>
        <v/>
      </c>
      <c r="AK207" s="86" t="str">
        <f t="shared" si="196"/>
        <v/>
      </c>
      <c r="AL207" s="86" t="str">
        <f t="shared" si="197"/>
        <v/>
      </c>
      <c r="AM207" s="86" t="str">
        <f t="shared" si="198"/>
        <v/>
      </c>
      <c r="AN207" s="86" t="str">
        <f t="shared" si="199"/>
        <v/>
      </c>
      <c r="AO207" s="86" t="str">
        <f t="shared" si="200"/>
        <v/>
      </c>
      <c r="AQ207" s="33" t="str">
        <f t="shared" si="177"/>
        <v/>
      </c>
      <c r="AR207" s="30" t="str">
        <f t="shared" si="178"/>
        <v/>
      </c>
      <c r="AU207" s="20">
        <f t="shared" si="179"/>
        <v>0</v>
      </c>
      <c r="AV207" s="20">
        <f t="shared" si="180"/>
        <v>0</v>
      </c>
      <c r="AW207" s="19">
        <f t="shared" si="187"/>
        <v>0</v>
      </c>
      <c r="AX207" s="19">
        <f t="shared" si="188"/>
        <v>0</v>
      </c>
      <c r="AY207" s="19">
        <f t="shared" si="189"/>
        <v>0</v>
      </c>
      <c r="AZ207" s="19">
        <f t="shared" si="190"/>
        <v>0</v>
      </c>
      <c r="BA207" s="19">
        <f t="shared" si="191"/>
        <v>0</v>
      </c>
      <c r="BB207" s="19">
        <f t="shared" si="192"/>
        <v>0</v>
      </c>
      <c r="BC207" s="19">
        <f t="shared" si="193"/>
        <v>0</v>
      </c>
      <c r="BD207" s="19">
        <f>-IF(CUSTOS!B207="",0,CUSTOS!B207)</f>
        <v>0</v>
      </c>
      <c r="BF207" s="20">
        <f t="shared" si="194"/>
        <v>0</v>
      </c>
      <c r="BG207" s="20">
        <f t="shared" si="195"/>
        <v>0</v>
      </c>
      <c r="BH207" s="116">
        <f t="shared" si="195"/>
        <v>0</v>
      </c>
    </row>
    <row r="208" spans="1:60" ht="15" x14ac:dyDescent="0.25">
      <c r="A208" s="66" t="str">
        <f>IF(LARGE($A$11:A207,1)=$F$2,"",A207+1)</f>
        <v/>
      </c>
      <c r="B208" s="27" t="str">
        <f t="shared" si="154"/>
        <v/>
      </c>
      <c r="C208" s="28" t="str">
        <f t="shared" si="181"/>
        <v/>
      </c>
      <c r="D208" s="28" t="str">
        <f t="shared" si="155"/>
        <v/>
      </c>
      <c r="E208" s="28" t="str">
        <f t="shared" si="156"/>
        <v/>
      </c>
      <c r="F208" s="29" t="str">
        <f t="shared" si="157"/>
        <v/>
      </c>
      <c r="G208" s="29" t="str">
        <f t="shared" si="158"/>
        <v/>
      </c>
      <c r="H208" s="30" t="str">
        <f t="shared" si="159"/>
        <v/>
      </c>
      <c r="I208" s="30" t="str">
        <f t="shared" si="160"/>
        <v/>
      </c>
      <c r="J208" s="30" t="str">
        <f>IF(A208="","",H208+CUSTOS!B208)</f>
        <v/>
      </c>
      <c r="K208" s="30" t="str">
        <f t="shared" si="182"/>
        <v/>
      </c>
      <c r="L208" s="30" t="str">
        <f t="shared" si="183"/>
        <v/>
      </c>
      <c r="M208" s="30" t="str">
        <f t="shared" si="184"/>
        <v/>
      </c>
      <c r="N208" s="30" t="str">
        <f t="shared" si="161"/>
        <v/>
      </c>
      <c r="O208" s="31" t="str">
        <f t="shared" si="185"/>
        <v/>
      </c>
      <c r="P208" s="32"/>
      <c r="Q208" s="33" t="str">
        <f t="shared" si="162"/>
        <v/>
      </c>
      <c r="R208" s="33" t="str">
        <f t="shared" si="163"/>
        <v/>
      </c>
      <c r="S208" s="33" t="str">
        <f t="shared" si="164"/>
        <v/>
      </c>
      <c r="T208" s="33" t="str">
        <f t="shared" si="165"/>
        <v/>
      </c>
      <c r="U208" s="33" t="str">
        <f t="shared" si="166"/>
        <v/>
      </c>
      <c r="V208" s="33" t="str">
        <f t="shared" si="167"/>
        <v/>
      </c>
      <c r="X208" s="33" t="str">
        <f t="shared" si="153"/>
        <v/>
      </c>
      <c r="Y208" s="30" t="str">
        <f t="shared" si="168"/>
        <v/>
      </c>
      <c r="Z208" s="30" t="str">
        <f t="shared" si="169"/>
        <v/>
      </c>
      <c r="AA208" s="30" t="str">
        <f t="shared" si="170"/>
        <v/>
      </c>
      <c r="AB208" s="30" t="str">
        <f t="shared" si="171"/>
        <v/>
      </c>
      <c r="AD208" s="33" t="str">
        <f t="shared" si="172"/>
        <v/>
      </c>
      <c r="AE208" s="30" t="str">
        <f t="shared" si="173"/>
        <v/>
      </c>
      <c r="AF208" s="30" t="str">
        <f t="shared" si="174"/>
        <v/>
      </c>
      <c r="AG208" s="30" t="str">
        <f t="shared" si="175"/>
        <v/>
      </c>
      <c r="AH208" s="30" t="str">
        <f t="shared" si="176"/>
        <v/>
      </c>
      <c r="AJ208" s="85" t="str">
        <f t="shared" si="186"/>
        <v/>
      </c>
      <c r="AK208" s="86" t="str">
        <f t="shared" si="196"/>
        <v/>
      </c>
      <c r="AL208" s="86" t="str">
        <f t="shared" si="197"/>
        <v/>
      </c>
      <c r="AM208" s="86" t="str">
        <f t="shared" si="198"/>
        <v/>
      </c>
      <c r="AN208" s="86" t="str">
        <f t="shared" si="199"/>
        <v/>
      </c>
      <c r="AO208" s="86" t="str">
        <f t="shared" si="200"/>
        <v/>
      </c>
      <c r="AQ208" s="33" t="str">
        <f t="shared" si="177"/>
        <v/>
      </c>
      <c r="AR208" s="30" t="str">
        <f t="shared" si="178"/>
        <v/>
      </c>
      <c r="AU208" s="20">
        <f t="shared" si="179"/>
        <v>0</v>
      </c>
      <c r="AV208" s="20">
        <f t="shared" si="180"/>
        <v>0</v>
      </c>
      <c r="AW208" s="19">
        <f t="shared" si="187"/>
        <v>0</v>
      </c>
      <c r="AX208" s="19">
        <f t="shared" si="188"/>
        <v>0</v>
      </c>
      <c r="AY208" s="19">
        <f t="shared" si="189"/>
        <v>0</v>
      </c>
      <c r="AZ208" s="19">
        <f t="shared" si="190"/>
        <v>0</v>
      </c>
      <c r="BA208" s="19">
        <f t="shared" si="191"/>
        <v>0</v>
      </c>
      <c r="BB208" s="19">
        <f t="shared" si="192"/>
        <v>0</v>
      </c>
      <c r="BC208" s="19">
        <f t="shared" si="193"/>
        <v>0</v>
      </c>
      <c r="BD208" s="19">
        <f>-IF(CUSTOS!B208="",0,CUSTOS!B208)</f>
        <v>0</v>
      </c>
      <c r="BF208" s="20">
        <f t="shared" si="194"/>
        <v>0</v>
      </c>
      <c r="BG208" s="20">
        <f t="shared" si="195"/>
        <v>0</v>
      </c>
      <c r="BH208" s="116">
        <f t="shared" si="195"/>
        <v>0</v>
      </c>
    </row>
    <row r="209" spans="1:60" ht="15" x14ac:dyDescent="0.25">
      <c r="A209" s="66" t="str">
        <f>IF(LARGE($A$11:A208,1)=$F$2,"",A208+1)</f>
        <v/>
      </c>
      <c r="B209" s="27" t="str">
        <f t="shared" si="154"/>
        <v/>
      </c>
      <c r="C209" s="28" t="str">
        <f t="shared" si="181"/>
        <v/>
      </c>
      <c r="D209" s="28" t="str">
        <f t="shared" si="155"/>
        <v/>
      </c>
      <c r="E209" s="28" t="str">
        <f t="shared" si="156"/>
        <v/>
      </c>
      <c r="F209" s="29" t="str">
        <f t="shared" si="157"/>
        <v/>
      </c>
      <c r="G209" s="29" t="str">
        <f t="shared" si="158"/>
        <v/>
      </c>
      <c r="H209" s="30" t="str">
        <f t="shared" si="159"/>
        <v/>
      </c>
      <c r="I209" s="30" t="str">
        <f t="shared" si="160"/>
        <v/>
      </c>
      <c r="J209" s="30" t="str">
        <f>IF(A209="","",H209+CUSTOS!B209)</f>
        <v/>
      </c>
      <c r="K209" s="30" t="str">
        <f t="shared" si="182"/>
        <v/>
      </c>
      <c r="L209" s="30" t="str">
        <f t="shared" si="183"/>
        <v/>
      </c>
      <c r="M209" s="30" t="str">
        <f t="shared" si="184"/>
        <v/>
      </c>
      <c r="N209" s="30" t="str">
        <f t="shared" si="161"/>
        <v/>
      </c>
      <c r="O209" s="31" t="str">
        <f t="shared" si="185"/>
        <v/>
      </c>
      <c r="P209" s="32"/>
      <c r="Q209" s="33" t="str">
        <f t="shared" si="162"/>
        <v/>
      </c>
      <c r="R209" s="33" t="str">
        <f t="shared" si="163"/>
        <v/>
      </c>
      <c r="S209" s="33" t="str">
        <f t="shared" si="164"/>
        <v/>
      </c>
      <c r="T209" s="33" t="str">
        <f t="shared" si="165"/>
        <v/>
      </c>
      <c r="U209" s="33" t="str">
        <f t="shared" si="166"/>
        <v/>
      </c>
      <c r="V209" s="33" t="str">
        <f t="shared" si="167"/>
        <v/>
      </c>
      <c r="X209" s="33" t="str">
        <f t="shared" si="153"/>
        <v/>
      </c>
      <c r="Y209" s="30" t="str">
        <f t="shared" si="168"/>
        <v/>
      </c>
      <c r="Z209" s="30" t="str">
        <f t="shared" si="169"/>
        <v/>
      </c>
      <c r="AA209" s="30" t="str">
        <f t="shared" si="170"/>
        <v/>
      </c>
      <c r="AB209" s="30" t="str">
        <f t="shared" si="171"/>
        <v/>
      </c>
      <c r="AD209" s="33" t="str">
        <f t="shared" si="172"/>
        <v/>
      </c>
      <c r="AE209" s="30" t="str">
        <f t="shared" si="173"/>
        <v/>
      </c>
      <c r="AF209" s="30" t="str">
        <f t="shared" si="174"/>
        <v/>
      </c>
      <c r="AG209" s="30" t="str">
        <f t="shared" si="175"/>
        <v/>
      </c>
      <c r="AH209" s="30" t="str">
        <f t="shared" si="176"/>
        <v/>
      </c>
      <c r="AJ209" s="85" t="str">
        <f t="shared" si="186"/>
        <v/>
      </c>
      <c r="AK209" s="86" t="str">
        <f t="shared" si="196"/>
        <v/>
      </c>
      <c r="AL209" s="86" t="str">
        <f t="shared" si="197"/>
        <v/>
      </c>
      <c r="AM209" s="86" t="str">
        <f t="shared" si="198"/>
        <v/>
      </c>
      <c r="AN209" s="86" t="str">
        <f t="shared" si="199"/>
        <v/>
      </c>
      <c r="AO209" s="86" t="str">
        <f t="shared" si="200"/>
        <v/>
      </c>
      <c r="AQ209" s="33" t="str">
        <f t="shared" si="177"/>
        <v/>
      </c>
      <c r="AR209" s="30" t="str">
        <f t="shared" si="178"/>
        <v/>
      </c>
      <c r="AU209" s="20">
        <f t="shared" si="179"/>
        <v>0</v>
      </c>
      <c r="AV209" s="20">
        <f t="shared" si="180"/>
        <v>0</v>
      </c>
      <c r="AW209" s="19">
        <f t="shared" si="187"/>
        <v>0</v>
      </c>
      <c r="AX209" s="19">
        <f t="shared" si="188"/>
        <v>0</v>
      </c>
      <c r="AY209" s="19">
        <f t="shared" si="189"/>
        <v>0</v>
      </c>
      <c r="AZ209" s="19">
        <f t="shared" si="190"/>
        <v>0</v>
      </c>
      <c r="BA209" s="19">
        <f t="shared" si="191"/>
        <v>0</v>
      </c>
      <c r="BB209" s="19">
        <f t="shared" si="192"/>
        <v>0</v>
      </c>
      <c r="BC209" s="19">
        <f t="shared" si="193"/>
        <v>0</v>
      </c>
      <c r="BD209" s="19">
        <f>-IF(CUSTOS!B209="",0,CUSTOS!B209)</f>
        <v>0</v>
      </c>
      <c r="BF209" s="20">
        <f t="shared" si="194"/>
        <v>0</v>
      </c>
      <c r="BG209" s="20">
        <f t="shared" si="195"/>
        <v>0</v>
      </c>
      <c r="BH209" s="116">
        <f t="shared" si="195"/>
        <v>0</v>
      </c>
    </row>
    <row r="210" spans="1:60" ht="15" x14ac:dyDescent="0.25">
      <c r="A210" s="66" t="str">
        <f>IF(LARGE($A$11:A209,1)=$F$2,"",A209+1)</f>
        <v/>
      </c>
      <c r="B210" s="27" t="str">
        <f t="shared" si="154"/>
        <v/>
      </c>
      <c r="C210" s="28" t="str">
        <f t="shared" si="181"/>
        <v/>
      </c>
      <c r="D210" s="28" t="str">
        <f t="shared" si="155"/>
        <v/>
      </c>
      <c r="E210" s="28" t="str">
        <f t="shared" si="156"/>
        <v/>
      </c>
      <c r="F210" s="29" t="str">
        <f t="shared" si="157"/>
        <v/>
      </c>
      <c r="G210" s="29" t="str">
        <f t="shared" si="158"/>
        <v/>
      </c>
      <c r="H210" s="30" t="str">
        <f t="shared" si="159"/>
        <v/>
      </c>
      <c r="I210" s="30" t="str">
        <f t="shared" si="160"/>
        <v/>
      </c>
      <c r="J210" s="30" t="str">
        <f>IF(A210="","",H210+CUSTOS!B210)</f>
        <v/>
      </c>
      <c r="K210" s="30" t="str">
        <f t="shared" si="182"/>
        <v/>
      </c>
      <c r="L210" s="30" t="str">
        <f t="shared" si="183"/>
        <v/>
      </c>
      <c r="M210" s="30" t="str">
        <f t="shared" si="184"/>
        <v/>
      </c>
      <c r="N210" s="30" t="str">
        <f t="shared" si="161"/>
        <v/>
      </c>
      <c r="O210" s="31" t="str">
        <f t="shared" si="185"/>
        <v/>
      </c>
      <c r="P210" s="32"/>
      <c r="Q210" s="33" t="str">
        <f t="shared" si="162"/>
        <v/>
      </c>
      <c r="R210" s="33" t="str">
        <f t="shared" si="163"/>
        <v/>
      </c>
      <c r="S210" s="33" t="str">
        <f t="shared" si="164"/>
        <v/>
      </c>
      <c r="T210" s="33" t="str">
        <f t="shared" si="165"/>
        <v/>
      </c>
      <c r="U210" s="33" t="str">
        <f t="shared" si="166"/>
        <v/>
      </c>
      <c r="V210" s="33" t="str">
        <f t="shared" si="167"/>
        <v/>
      </c>
      <c r="X210" s="33" t="str">
        <f t="shared" si="153"/>
        <v/>
      </c>
      <c r="Y210" s="30" t="str">
        <f t="shared" si="168"/>
        <v/>
      </c>
      <c r="Z210" s="30" t="str">
        <f t="shared" si="169"/>
        <v/>
      </c>
      <c r="AA210" s="30" t="str">
        <f t="shared" si="170"/>
        <v/>
      </c>
      <c r="AB210" s="30" t="str">
        <f t="shared" si="171"/>
        <v/>
      </c>
      <c r="AD210" s="33" t="str">
        <f t="shared" si="172"/>
        <v/>
      </c>
      <c r="AE210" s="30" t="str">
        <f t="shared" si="173"/>
        <v/>
      </c>
      <c r="AF210" s="30" t="str">
        <f t="shared" si="174"/>
        <v/>
      </c>
      <c r="AG210" s="30" t="str">
        <f t="shared" si="175"/>
        <v/>
      </c>
      <c r="AH210" s="30" t="str">
        <f t="shared" si="176"/>
        <v/>
      </c>
      <c r="AJ210" s="85" t="str">
        <f t="shared" si="186"/>
        <v/>
      </c>
      <c r="AK210" s="86" t="str">
        <f t="shared" si="196"/>
        <v/>
      </c>
      <c r="AL210" s="86" t="str">
        <f t="shared" si="197"/>
        <v/>
      </c>
      <c r="AM210" s="86" t="str">
        <f t="shared" si="198"/>
        <v/>
      </c>
      <c r="AN210" s="86" t="str">
        <f t="shared" si="199"/>
        <v/>
      </c>
      <c r="AO210" s="86" t="str">
        <f t="shared" si="200"/>
        <v/>
      </c>
      <c r="AQ210" s="33" t="str">
        <f t="shared" si="177"/>
        <v/>
      </c>
      <c r="AR210" s="30" t="str">
        <f t="shared" si="178"/>
        <v/>
      </c>
      <c r="AU210" s="20">
        <f t="shared" si="179"/>
        <v>0</v>
      </c>
      <c r="AV210" s="20">
        <f t="shared" si="180"/>
        <v>0</v>
      </c>
      <c r="AW210" s="19">
        <f t="shared" si="187"/>
        <v>0</v>
      </c>
      <c r="AX210" s="19">
        <f t="shared" si="188"/>
        <v>0</v>
      </c>
      <c r="AY210" s="19">
        <f t="shared" si="189"/>
        <v>0</v>
      </c>
      <c r="AZ210" s="19">
        <f t="shared" si="190"/>
        <v>0</v>
      </c>
      <c r="BA210" s="19">
        <f t="shared" si="191"/>
        <v>0</v>
      </c>
      <c r="BB210" s="19">
        <f t="shared" si="192"/>
        <v>0</v>
      </c>
      <c r="BC210" s="19">
        <f t="shared" si="193"/>
        <v>0</v>
      </c>
      <c r="BD210" s="19">
        <f>-IF(CUSTOS!B210="",0,CUSTOS!B210)</f>
        <v>0</v>
      </c>
      <c r="BF210" s="20">
        <f t="shared" si="194"/>
        <v>0</v>
      </c>
      <c r="BG210" s="20">
        <f t="shared" si="195"/>
        <v>0</v>
      </c>
      <c r="BH210" s="116">
        <f t="shared" si="195"/>
        <v>0</v>
      </c>
    </row>
    <row r="211" spans="1:60" ht="15" x14ac:dyDescent="0.25">
      <c r="A211" s="66" t="str">
        <f>IF(LARGE($A$11:A210,1)=$F$2,"",A210+1)</f>
        <v/>
      </c>
      <c r="B211" s="27" t="str">
        <f t="shared" si="154"/>
        <v/>
      </c>
      <c r="C211" s="28" t="str">
        <f t="shared" si="181"/>
        <v/>
      </c>
      <c r="D211" s="28" t="str">
        <f t="shared" si="155"/>
        <v/>
      </c>
      <c r="E211" s="28" t="str">
        <f t="shared" si="156"/>
        <v/>
      </c>
      <c r="F211" s="29" t="str">
        <f t="shared" si="157"/>
        <v/>
      </c>
      <c r="G211" s="29" t="str">
        <f t="shared" si="158"/>
        <v/>
      </c>
      <c r="H211" s="30" t="str">
        <f t="shared" si="159"/>
        <v/>
      </c>
      <c r="I211" s="30" t="str">
        <f t="shared" si="160"/>
        <v/>
      </c>
      <c r="J211" s="30" t="str">
        <f>IF(A211="","",H211+CUSTOS!B211)</f>
        <v/>
      </c>
      <c r="K211" s="30" t="str">
        <f t="shared" si="182"/>
        <v/>
      </c>
      <c r="L211" s="30" t="str">
        <f t="shared" si="183"/>
        <v/>
      </c>
      <c r="M211" s="30" t="str">
        <f t="shared" si="184"/>
        <v/>
      </c>
      <c r="N211" s="30" t="str">
        <f t="shared" si="161"/>
        <v/>
      </c>
      <c r="O211" s="31" t="str">
        <f t="shared" si="185"/>
        <v/>
      </c>
      <c r="P211" s="32"/>
      <c r="Q211" s="33" t="str">
        <f t="shared" si="162"/>
        <v/>
      </c>
      <c r="R211" s="33" t="str">
        <f t="shared" si="163"/>
        <v/>
      </c>
      <c r="S211" s="33" t="str">
        <f t="shared" si="164"/>
        <v/>
      </c>
      <c r="T211" s="33" t="str">
        <f t="shared" si="165"/>
        <v/>
      </c>
      <c r="U211" s="33" t="str">
        <f t="shared" si="166"/>
        <v/>
      </c>
      <c r="V211" s="33" t="str">
        <f t="shared" si="167"/>
        <v/>
      </c>
      <c r="X211" s="33" t="str">
        <f t="shared" si="153"/>
        <v/>
      </c>
      <c r="Y211" s="30" t="str">
        <f t="shared" si="168"/>
        <v/>
      </c>
      <c r="Z211" s="30" t="str">
        <f t="shared" si="169"/>
        <v/>
      </c>
      <c r="AA211" s="30" t="str">
        <f t="shared" si="170"/>
        <v/>
      </c>
      <c r="AB211" s="30" t="str">
        <f t="shared" si="171"/>
        <v/>
      </c>
      <c r="AD211" s="33" t="str">
        <f t="shared" si="172"/>
        <v/>
      </c>
      <c r="AE211" s="30" t="str">
        <f t="shared" si="173"/>
        <v/>
      </c>
      <c r="AF211" s="30" t="str">
        <f t="shared" si="174"/>
        <v/>
      </c>
      <c r="AG211" s="30" t="str">
        <f t="shared" si="175"/>
        <v/>
      </c>
      <c r="AH211" s="30" t="str">
        <f t="shared" si="176"/>
        <v/>
      </c>
      <c r="AJ211" s="85" t="str">
        <f t="shared" si="186"/>
        <v/>
      </c>
      <c r="AK211" s="86" t="str">
        <f t="shared" si="196"/>
        <v/>
      </c>
      <c r="AL211" s="86" t="str">
        <f t="shared" si="197"/>
        <v/>
      </c>
      <c r="AM211" s="86" t="str">
        <f t="shared" si="198"/>
        <v/>
      </c>
      <c r="AN211" s="86" t="str">
        <f t="shared" si="199"/>
        <v/>
      </c>
      <c r="AO211" s="86" t="str">
        <f t="shared" si="200"/>
        <v/>
      </c>
      <c r="AQ211" s="33" t="str">
        <f t="shared" si="177"/>
        <v/>
      </c>
      <c r="AR211" s="30" t="str">
        <f t="shared" si="178"/>
        <v/>
      </c>
      <c r="AU211" s="20">
        <f t="shared" si="179"/>
        <v>0</v>
      </c>
      <c r="AV211" s="20">
        <f t="shared" si="180"/>
        <v>0</v>
      </c>
      <c r="AW211" s="19">
        <f t="shared" si="187"/>
        <v>0</v>
      </c>
      <c r="AX211" s="19">
        <f t="shared" si="188"/>
        <v>0</v>
      </c>
      <c r="AY211" s="19">
        <f t="shared" si="189"/>
        <v>0</v>
      </c>
      <c r="AZ211" s="19">
        <f t="shared" si="190"/>
        <v>0</v>
      </c>
      <c r="BA211" s="19">
        <f t="shared" si="191"/>
        <v>0</v>
      </c>
      <c r="BB211" s="19">
        <f t="shared" si="192"/>
        <v>0</v>
      </c>
      <c r="BC211" s="19">
        <f t="shared" si="193"/>
        <v>0</v>
      </c>
      <c r="BD211" s="19">
        <f>-IF(CUSTOS!B211="",0,CUSTOS!B211)</f>
        <v>0</v>
      </c>
      <c r="BF211" s="20">
        <f t="shared" si="194"/>
        <v>0</v>
      </c>
      <c r="BG211" s="20">
        <f t="shared" si="195"/>
        <v>0</v>
      </c>
      <c r="BH211" s="116">
        <f t="shared" si="195"/>
        <v>0</v>
      </c>
    </row>
    <row r="212" spans="1:60" ht="15" x14ac:dyDescent="0.25">
      <c r="A212" s="66" t="str">
        <f>IF(LARGE($A$11:A211,1)=$F$2,"",A211+1)</f>
        <v/>
      </c>
      <c r="B212" s="27" t="str">
        <f t="shared" si="154"/>
        <v/>
      </c>
      <c r="C212" s="28" t="str">
        <f t="shared" si="181"/>
        <v/>
      </c>
      <c r="D212" s="28" t="str">
        <f t="shared" si="155"/>
        <v/>
      </c>
      <c r="E212" s="28" t="str">
        <f t="shared" si="156"/>
        <v/>
      </c>
      <c r="F212" s="29" t="str">
        <f t="shared" si="157"/>
        <v/>
      </c>
      <c r="G212" s="29" t="str">
        <f t="shared" si="158"/>
        <v/>
      </c>
      <c r="H212" s="30" t="str">
        <f t="shared" si="159"/>
        <v/>
      </c>
      <c r="I212" s="30" t="str">
        <f t="shared" si="160"/>
        <v/>
      </c>
      <c r="J212" s="30" t="str">
        <f>IF(A212="","",H212+CUSTOS!B212)</f>
        <v/>
      </c>
      <c r="K212" s="30" t="str">
        <f t="shared" si="182"/>
        <v/>
      </c>
      <c r="L212" s="30" t="str">
        <f t="shared" si="183"/>
        <v/>
      </c>
      <c r="M212" s="30" t="str">
        <f t="shared" si="184"/>
        <v/>
      </c>
      <c r="N212" s="30" t="str">
        <f t="shared" si="161"/>
        <v/>
      </c>
      <c r="O212" s="31" t="str">
        <f t="shared" si="185"/>
        <v/>
      </c>
      <c r="P212" s="32"/>
      <c r="Q212" s="33" t="str">
        <f t="shared" si="162"/>
        <v/>
      </c>
      <c r="R212" s="33" t="str">
        <f t="shared" si="163"/>
        <v/>
      </c>
      <c r="S212" s="33" t="str">
        <f t="shared" si="164"/>
        <v/>
      </c>
      <c r="T212" s="33" t="str">
        <f t="shared" si="165"/>
        <v/>
      </c>
      <c r="U212" s="33" t="str">
        <f t="shared" si="166"/>
        <v/>
      </c>
      <c r="V212" s="33" t="str">
        <f t="shared" si="167"/>
        <v/>
      </c>
      <c r="X212" s="33" t="str">
        <f t="shared" si="153"/>
        <v/>
      </c>
      <c r="Y212" s="30" t="str">
        <f t="shared" si="168"/>
        <v/>
      </c>
      <c r="Z212" s="30" t="str">
        <f t="shared" si="169"/>
        <v/>
      </c>
      <c r="AA212" s="30" t="str">
        <f t="shared" si="170"/>
        <v/>
      </c>
      <c r="AB212" s="30" t="str">
        <f t="shared" si="171"/>
        <v/>
      </c>
      <c r="AD212" s="33" t="str">
        <f t="shared" si="172"/>
        <v/>
      </c>
      <c r="AE212" s="30" t="str">
        <f t="shared" si="173"/>
        <v/>
      </c>
      <c r="AF212" s="30" t="str">
        <f t="shared" si="174"/>
        <v/>
      </c>
      <c r="AG212" s="30" t="str">
        <f t="shared" si="175"/>
        <v/>
      </c>
      <c r="AH212" s="30" t="str">
        <f t="shared" si="176"/>
        <v/>
      </c>
      <c r="AJ212" s="85" t="str">
        <f t="shared" si="186"/>
        <v/>
      </c>
      <c r="AK212" s="86" t="str">
        <f t="shared" si="196"/>
        <v/>
      </c>
      <c r="AL212" s="86" t="str">
        <f t="shared" si="197"/>
        <v/>
      </c>
      <c r="AM212" s="86" t="str">
        <f t="shared" si="198"/>
        <v/>
      </c>
      <c r="AN212" s="86" t="str">
        <f t="shared" si="199"/>
        <v/>
      </c>
      <c r="AO212" s="86" t="str">
        <f t="shared" si="200"/>
        <v/>
      </c>
      <c r="AQ212" s="33" t="str">
        <f t="shared" si="177"/>
        <v/>
      </c>
      <c r="AR212" s="30" t="str">
        <f t="shared" si="178"/>
        <v/>
      </c>
      <c r="AU212" s="20">
        <f t="shared" si="179"/>
        <v>0</v>
      </c>
      <c r="AV212" s="20">
        <f t="shared" si="180"/>
        <v>0</v>
      </c>
      <c r="AW212" s="19">
        <f t="shared" si="187"/>
        <v>0</v>
      </c>
      <c r="AX212" s="19">
        <f t="shared" si="188"/>
        <v>0</v>
      </c>
      <c r="AY212" s="19">
        <f t="shared" si="189"/>
        <v>0</v>
      </c>
      <c r="AZ212" s="19">
        <f t="shared" si="190"/>
        <v>0</v>
      </c>
      <c r="BA212" s="19">
        <f t="shared" si="191"/>
        <v>0</v>
      </c>
      <c r="BB212" s="19">
        <f t="shared" si="192"/>
        <v>0</v>
      </c>
      <c r="BC212" s="19">
        <f t="shared" si="193"/>
        <v>0</v>
      </c>
      <c r="BD212" s="19">
        <f>-IF(CUSTOS!B212="",0,CUSTOS!B212)</f>
        <v>0</v>
      </c>
      <c r="BF212" s="20">
        <f t="shared" si="194"/>
        <v>0</v>
      </c>
      <c r="BG212" s="20">
        <f t="shared" si="195"/>
        <v>0</v>
      </c>
      <c r="BH212" s="116">
        <f t="shared" si="195"/>
        <v>0</v>
      </c>
    </row>
    <row r="213" spans="1:60" ht="15" x14ac:dyDescent="0.25">
      <c r="A213" s="66" t="str">
        <f>IF(LARGE($A$11:A212,1)=$F$2,"",A212+1)</f>
        <v/>
      </c>
      <c r="B213" s="27" t="str">
        <f t="shared" si="154"/>
        <v/>
      </c>
      <c r="C213" s="28" t="str">
        <f t="shared" si="181"/>
        <v/>
      </c>
      <c r="D213" s="28" t="str">
        <f t="shared" si="155"/>
        <v/>
      </c>
      <c r="E213" s="28" t="str">
        <f t="shared" si="156"/>
        <v/>
      </c>
      <c r="F213" s="29" t="str">
        <f t="shared" si="157"/>
        <v/>
      </c>
      <c r="G213" s="29" t="str">
        <f t="shared" si="158"/>
        <v/>
      </c>
      <c r="H213" s="30" t="str">
        <f t="shared" si="159"/>
        <v/>
      </c>
      <c r="I213" s="30" t="str">
        <f t="shared" si="160"/>
        <v/>
      </c>
      <c r="J213" s="30" t="str">
        <f>IF(A213="","",H213+CUSTOS!B213)</f>
        <v/>
      </c>
      <c r="K213" s="30" t="str">
        <f t="shared" si="182"/>
        <v/>
      </c>
      <c r="L213" s="30" t="str">
        <f t="shared" si="183"/>
        <v/>
      </c>
      <c r="M213" s="30" t="str">
        <f t="shared" si="184"/>
        <v/>
      </c>
      <c r="N213" s="30" t="str">
        <f t="shared" si="161"/>
        <v/>
      </c>
      <c r="O213" s="31" t="str">
        <f t="shared" si="185"/>
        <v/>
      </c>
      <c r="P213" s="32"/>
      <c r="Q213" s="33" t="str">
        <f t="shared" si="162"/>
        <v/>
      </c>
      <c r="R213" s="33" t="str">
        <f t="shared" si="163"/>
        <v/>
      </c>
      <c r="S213" s="33" t="str">
        <f t="shared" si="164"/>
        <v/>
      </c>
      <c r="T213" s="33" t="str">
        <f t="shared" si="165"/>
        <v/>
      </c>
      <c r="U213" s="33" t="str">
        <f t="shared" si="166"/>
        <v/>
      </c>
      <c r="V213" s="33" t="str">
        <f t="shared" si="167"/>
        <v/>
      </c>
      <c r="X213" s="33" t="str">
        <f t="shared" si="153"/>
        <v/>
      </c>
      <c r="Y213" s="30" t="str">
        <f t="shared" si="168"/>
        <v/>
      </c>
      <c r="Z213" s="30" t="str">
        <f t="shared" si="169"/>
        <v/>
      </c>
      <c r="AA213" s="30" t="str">
        <f t="shared" si="170"/>
        <v/>
      </c>
      <c r="AB213" s="30" t="str">
        <f t="shared" si="171"/>
        <v/>
      </c>
      <c r="AD213" s="33" t="str">
        <f t="shared" si="172"/>
        <v/>
      </c>
      <c r="AE213" s="30" t="str">
        <f t="shared" si="173"/>
        <v/>
      </c>
      <c r="AF213" s="30" t="str">
        <f t="shared" si="174"/>
        <v/>
      </c>
      <c r="AG213" s="30" t="str">
        <f t="shared" si="175"/>
        <v/>
      </c>
      <c r="AH213" s="30" t="str">
        <f t="shared" si="176"/>
        <v/>
      </c>
      <c r="AJ213" s="85" t="str">
        <f t="shared" si="186"/>
        <v/>
      </c>
      <c r="AK213" s="86" t="str">
        <f t="shared" si="196"/>
        <v/>
      </c>
      <c r="AL213" s="86" t="str">
        <f t="shared" si="197"/>
        <v/>
      </c>
      <c r="AM213" s="86" t="str">
        <f t="shared" si="198"/>
        <v/>
      </c>
      <c r="AN213" s="86" t="str">
        <f t="shared" si="199"/>
        <v/>
      </c>
      <c r="AO213" s="86" t="str">
        <f t="shared" si="200"/>
        <v/>
      </c>
      <c r="AQ213" s="33" t="str">
        <f t="shared" si="177"/>
        <v/>
      </c>
      <c r="AR213" s="30" t="str">
        <f t="shared" si="178"/>
        <v/>
      </c>
      <c r="AU213" s="20">
        <f t="shared" si="179"/>
        <v>0</v>
      </c>
      <c r="AV213" s="20">
        <f t="shared" si="180"/>
        <v>0</v>
      </c>
      <c r="AW213" s="19">
        <f t="shared" si="187"/>
        <v>0</v>
      </c>
      <c r="AX213" s="19">
        <f t="shared" si="188"/>
        <v>0</v>
      </c>
      <c r="AY213" s="19">
        <f t="shared" si="189"/>
        <v>0</v>
      </c>
      <c r="AZ213" s="19">
        <f t="shared" si="190"/>
        <v>0</v>
      </c>
      <c r="BA213" s="19">
        <f t="shared" si="191"/>
        <v>0</v>
      </c>
      <c r="BB213" s="19">
        <f t="shared" si="192"/>
        <v>0</v>
      </c>
      <c r="BC213" s="19">
        <f t="shared" si="193"/>
        <v>0</v>
      </c>
      <c r="BD213" s="19">
        <f>-IF(CUSTOS!B213="",0,CUSTOS!B213)</f>
        <v>0</v>
      </c>
      <c r="BF213" s="20">
        <f t="shared" si="194"/>
        <v>0</v>
      </c>
      <c r="BG213" s="20">
        <f t="shared" si="195"/>
        <v>0</v>
      </c>
      <c r="BH213" s="116">
        <f t="shared" si="195"/>
        <v>0</v>
      </c>
    </row>
    <row r="214" spans="1:60" ht="15" x14ac:dyDescent="0.25">
      <c r="A214" s="66" t="str">
        <f>IF(LARGE($A$11:A213,1)=$F$2,"",A213+1)</f>
        <v/>
      </c>
      <c r="B214" s="27" t="str">
        <f t="shared" si="154"/>
        <v/>
      </c>
      <c r="C214" s="28" t="str">
        <f t="shared" si="181"/>
        <v/>
      </c>
      <c r="D214" s="28" t="str">
        <f t="shared" si="155"/>
        <v/>
      </c>
      <c r="E214" s="28" t="str">
        <f t="shared" si="156"/>
        <v/>
      </c>
      <c r="F214" s="29" t="str">
        <f t="shared" si="157"/>
        <v/>
      </c>
      <c r="G214" s="29" t="str">
        <f t="shared" si="158"/>
        <v/>
      </c>
      <c r="H214" s="30" t="str">
        <f t="shared" si="159"/>
        <v/>
      </c>
      <c r="I214" s="30" t="str">
        <f t="shared" si="160"/>
        <v/>
      </c>
      <c r="J214" s="30" t="str">
        <f>IF(A214="","",H214+CUSTOS!B214)</f>
        <v/>
      </c>
      <c r="K214" s="30" t="str">
        <f t="shared" si="182"/>
        <v/>
      </c>
      <c r="L214" s="30" t="str">
        <f t="shared" si="183"/>
        <v/>
      </c>
      <c r="M214" s="30" t="str">
        <f t="shared" si="184"/>
        <v/>
      </c>
      <c r="N214" s="30" t="str">
        <f t="shared" si="161"/>
        <v/>
      </c>
      <c r="O214" s="31" t="str">
        <f t="shared" si="185"/>
        <v/>
      </c>
      <c r="P214" s="32"/>
      <c r="Q214" s="33" t="str">
        <f t="shared" si="162"/>
        <v/>
      </c>
      <c r="R214" s="33" t="str">
        <f t="shared" si="163"/>
        <v/>
      </c>
      <c r="S214" s="33" t="str">
        <f t="shared" si="164"/>
        <v/>
      </c>
      <c r="T214" s="33" t="str">
        <f t="shared" si="165"/>
        <v/>
      </c>
      <c r="U214" s="33" t="str">
        <f t="shared" si="166"/>
        <v/>
      </c>
      <c r="V214" s="33" t="str">
        <f t="shared" si="167"/>
        <v/>
      </c>
      <c r="X214" s="33" t="str">
        <f t="shared" si="153"/>
        <v/>
      </c>
      <c r="Y214" s="30" t="str">
        <f t="shared" si="168"/>
        <v/>
      </c>
      <c r="Z214" s="30" t="str">
        <f t="shared" si="169"/>
        <v/>
      </c>
      <c r="AA214" s="30" t="str">
        <f t="shared" si="170"/>
        <v/>
      </c>
      <c r="AB214" s="30" t="str">
        <f t="shared" si="171"/>
        <v/>
      </c>
      <c r="AD214" s="33" t="str">
        <f t="shared" si="172"/>
        <v/>
      </c>
      <c r="AE214" s="30" t="str">
        <f t="shared" si="173"/>
        <v/>
      </c>
      <c r="AF214" s="30" t="str">
        <f t="shared" si="174"/>
        <v/>
      </c>
      <c r="AG214" s="30" t="str">
        <f t="shared" si="175"/>
        <v/>
      </c>
      <c r="AH214" s="30" t="str">
        <f t="shared" si="176"/>
        <v/>
      </c>
      <c r="AJ214" s="85" t="str">
        <f t="shared" si="186"/>
        <v/>
      </c>
      <c r="AK214" s="86" t="str">
        <f t="shared" si="196"/>
        <v/>
      </c>
      <c r="AL214" s="86" t="str">
        <f t="shared" si="197"/>
        <v/>
      </c>
      <c r="AM214" s="86" t="str">
        <f t="shared" si="198"/>
        <v/>
      </c>
      <c r="AN214" s="86" t="str">
        <f t="shared" si="199"/>
        <v/>
      </c>
      <c r="AO214" s="86" t="str">
        <f t="shared" si="200"/>
        <v/>
      </c>
      <c r="AQ214" s="33" t="str">
        <f t="shared" si="177"/>
        <v/>
      </c>
      <c r="AR214" s="30" t="str">
        <f t="shared" si="178"/>
        <v/>
      </c>
      <c r="AU214" s="20">
        <f t="shared" si="179"/>
        <v>0</v>
      </c>
      <c r="AV214" s="20">
        <f t="shared" si="180"/>
        <v>0</v>
      </c>
      <c r="AW214" s="19">
        <f t="shared" si="187"/>
        <v>0</v>
      </c>
      <c r="AX214" s="19">
        <f t="shared" si="188"/>
        <v>0</v>
      </c>
      <c r="AY214" s="19">
        <f t="shared" si="189"/>
        <v>0</v>
      </c>
      <c r="AZ214" s="19">
        <f t="shared" si="190"/>
        <v>0</v>
      </c>
      <c r="BA214" s="19">
        <f t="shared" si="191"/>
        <v>0</v>
      </c>
      <c r="BB214" s="19">
        <f t="shared" si="192"/>
        <v>0</v>
      </c>
      <c r="BC214" s="19">
        <f t="shared" si="193"/>
        <v>0</v>
      </c>
      <c r="BD214" s="19">
        <f>-IF(CUSTOS!B214="",0,CUSTOS!B214)</f>
        <v>0</v>
      </c>
      <c r="BF214" s="20">
        <f t="shared" si="194"/>
        <v>0</v>
      </c>
      <c r="BG214" s="20">
        <f t="shared" si="195"/>
        <v>0</v>
      </c>
      <c r="BH214" s="116">
        <f t="shared" si="195"/>
        <v>0</v>
      </c>
    </row>
    <row r="215" spans="1:60" ht="15" x14ac:dyDescent="0.25">
      <c r="A215" s="66" t="str">
        <f>IF(LARGE($A$11:A214,1)=$F$2,"",A214+1)</f>
        <v/>
      </c>
      <c r="B215" s="27" t="str">
        <f t="shared" si="154"/>
        <v/>
      </c>
      <c r="C215" s="28" t="str">
        <f t="shared" si="181"/>
        <v/>
      </c>
      <c r="D215" s="28" t="str">
        <f t="shared" si="155"/>
        <v/>
      </c>
      <c r="E215" s="28" t="str">
        <f t="shared" si="156"/>
        <v/>
      </c>
      <c r="F215" s="29" t="str">
        <f t="shared" si="157"/>
        <v/>
      </c>
      <c r="G215" s="29" t="str">
        <f t="shared" si="158"/>
        <v/>
      </c>
      <c r="H215" s="30" t="str">
        <f t="shared" si="159"/>
        <v/>
      </c>
      <c r="I215" s="30" t="str">
        <f t="shared" si="160"/>
        <v/>
      </c>
      <c r="J215" s="30" t="str">
        <f>IF(A215="","",H215+CUSTOS!B215)</f>
        <v/>
      </c>
      <c r="K215" s="30" t="str">
        <f t="shared" si="182"/>
        <v/>
      </c>
      <c r="L215" s="30" t="str">
        <f t="shared" si="183"/>
        <v/>
      </c>
      <c r="M215" s="30" t="str">
        <f t="shared" si="184"/>
        <v/>
      </c>
      <c r="N215" s="30" t="str">
        <f t="shared" si="161"/>
        <v/>
      </c>
      <c r="O215" s="31" t="str">
        <f t="shared" si="185"/>
        <v/>
      </c>
      <c r="P215" s="32"/>
      <c r="Q215" s="33" t="str">
        <f t="shared" si="162"/>
        <v/>
      </c>
      <c r="R215" s="33" t="str">
        <f t="shared" si="163"/>
        <v/>
      </c>
      <c r="S215" s="33" t="str">
        <f t="shared" si="164"/>
        <v/>
      </c>
      <c r="T215" s="33" t="str">
        <f t="shared" si="165"/>
        <v/>
      </c>
      <c r="U215" s="33" t="str">
        <f t="shared" si="166"/>
        <v/>
      </c>
      <c r="V215" s="33" t="str">
        <f t="shared" si="167"/>
        <v/>
      </c>
      <c r="X215" s="33" t="str">
        <f t="shared" si="153"/>
        <v/>
      </c>
      <c r="Y215" s="30" t="str">
        <f t="shared" si="168"/>
        <v/>
      </c>
      <c r="Z215" s="30" t="str">
        <f t="shared" si="169"/>
        <v/>
      </c>
      <c r="AA215" s="30" t="str">
        <f t="shared" si="170"/>
        <v/>
      </c>
      <c r="AB215" s="30" t="str">
        <f t="shared" si="171"/>
        <v/>
      </c>
      <c r="AD215" s="33" t="str">
        <f t="shared" si="172"/>
        <v/>
      </c>
      <c r="AE215" s="30" t="str">
        <f t="shared" si="173"/>
        <v/>
      </c>
      <c r="AF215" s="30" t="str">
        <f t="shared" si="174"/>
        <v/>
      </c>
      <c r="AG215" s="30" t="str">
        <f t="shared" si="175"/>
        <v/>
      </c>
      <c r="AH215" s="30" t="str">
        <f t="shared" si="176"/>
        <v/>
      </c>
      <c r="AJ215" s="85" t="str">
        <f t="shared" si="186"/>
        <v/>
      </c>
      <c r="AK215" s="86" t="str">
        <f t="shared" si="196"/>
        <v/>
      </c>
      <c r="AL215" s="86" t="str">
        <f t="shared" si="197"/>
        <v/>
      </c>
      <c r="AM215" s="86" t="str">
        <f t="shared" si="198"/>
        <v/>
      </c>
      <c r="AN215" s="86" t="str">
        <f t="shared" si="199"/>
        <v/>
      </c>
      <c r="AO215" s="86" t="str">
        <f t="shared" si="200"/>
        <v/>
      </c>
      <c r="AQ215" s="33" t="str">
        <f t="shared" si="177"/>
        <v/>
      </c>
      <c r="AR215" s="30" t="str">
        <f t="shared" si="178"/>
        <v/>
      </c>
      <c r="AU215" s="20">
        <f t="shared" si="179"/>
        <v>0</v>
      </c>
      <c r="AV215" s="20">
        <f t="shared" si="180"/>
        <v>0</v>
      </c>
      <c r="AW215" s="19">
        <f t="shared" si="187"/>
        <v>0</v>
      </c>
      <c r="AX215" s="19">
        <f t="shared" si="188"/>
        <v>0</v>
      </c>
      <c r="AY215" s="19">
        <f t="shared" si="189"/>
        <v>0</v>
      </c>
      <c r="AZ215" s="19">
        <f t="shared" si="190"/>
        <v>0</v>
      </c>
      <c r="BA215" s="19">
        <f t="shared" si="191"/>
        <v>0</v>
      </c>
      <c r="BB215" s="19">
        <f t="shared" si="192"/>
        <v>0</v>
      </c>
      <c r="BC215" s="19">
        <f t="shared" si="193"/>
        <v>0</v>
      </c>
      <c r="BD215" s="19">
        <f>-IF(CUSTOS!B215="",0,CUSTOS!B215)</f>
        <v>0</v>
      </c>
      <c r="BF215" s="20">
        <f t="shared" si="194"/>
        <v>0</v>
      </c>
      <c r="BG215" s="20">
        <f t="shared" si="195"/>
        <v>0</v>
      </c>
      <c r="BH215" s="116">
        <f t="shared" si="195"/>
        <v>0</v>
      </c>
    </row>
    <row r="216" spans="1:60" ht="15" x14ac:dyDescent="0.25">
      <c r="A216" s="66" t="str">
        <f>IF(LARGE($A$11:A215,1)=$F$2,"",A215+1)</f>
        <v/>
      </c>
      <c r="B216" s="27" t="str">
        <f t="shared" si="154"/>
        <v/>
      </c>
      <c r="C216" s="28" t="str">
        <f t="shared" si="181"/>
        <v/>
      </c>
      <c r="D216" s="28" t="str">
        <f t="shared" si="155"/>
        <v/>
      </c>
      <c r="E216" s="28" t="str">
        <f t="shared" si="156"/>
        <v/>
      </c>
      <c r="F216" s="29" t="str">
        <f t="shared" si="157"/>
        <v/>
      </c>
      <c r="G216" s="29" t="str">
        <f t="shared" si="158"/>
        <v/>
      </c>
      <c r="H216" s="30" t="str">
        <f t="shared" si="159"/>
        <v/>
      </c>
      <c r="I216" s="30" t="str">
        <f t="shared" si="160"/>
        <v/>
      </c>
      <c r="J216" s="30" t="str">
        <f>IF(A216="","",H216+CUSTOS!B216)</f>
        <v/>
      </c>
      <c r="K216" s="30" t="str">
        <f t="shared" si="182"/>
        <v/>
      </c>
      <c r="L216" s="30" t="str">
        <f t="shared" si="183"/>
        <v/>
      </c>
      <c r="M216" s="30" t="str">
        <f t="shared" si="184"/>
        <v/>
      </c>
      <c r="N216" s="30" t="str">
        <f t="shared" si="161"/>
        <v/>
      </c>
      <c r="O216" s="31" t="str">
        <f t="shared" si="185"/>
        <v/>
      </c>
      <c r="P216" s="32"/>
      <c r="Q216" s="33" t="str">
        <f t="shared" si="162"/>
        <v/>
      </c>
      <c r="R216" s="33" t="str">
        <f t="shared" si="163"/>
        <v/>
      </c>
      <c r="S216" s="33" t="str">
        <f t="shared" si="164"/>
        <v/>
      </c>
      <c r="T216" s="33" t="str">
        <f t="shared" si="165"/>
        <v/>
      </c>
      <c r="U216" s="33" t="str">
        <f t="shared" si="166"/>
        <v/>
      </c>
      <c r="V216" s="33" t="str">
        <f t="shared" si="167"/>
        <v/>
      </c>
      <c r="X216" s="33" t="str">
        <f t="shared" si="153"/>
        <v/>
      </c>
      <c r="Y216" s="30" t="str">
        <f t="shared" si="168"/>
        <v/>
      </c>
      <c r="Z216" s="30" t="str">
        <f t="shared" si="169"/>
        <v/>
      </c>
      <c r="AA216" s="30" t="str">
        <f t="shared" si="170"/>
        <v/>
      </c>
      <c r="AB216" s="30" t="str">
        <f t="shared" si="171"/>
        <v/>
      </c>
      <c r="AD216" s="33" t="str">
        <f t="shared" si="172"/>
        <v/>
      </c>
      <c r="AE216" s="30" t="str">
        <f t="shared" si="173"/>
        <v/>
      </c>
      <c r="AF216" s="30" t="str">
        <f t="shared" si="174"/>
        <v/>
      </c>
      <c r="AG216" s="30" t="str">
        <f t="shared" si="175"/>
        <v/>
      </c>
      <c r="AH216" s="30" t="str">
        <f t="shared" si="176"/>
        <v/>
      </c>
      <c r="AJ216" s="85" t="str">
        <f t="shared" si="186"/>
        <v/>
      </c>
      <c r="AK216" s="86" t="str">
        <f t="shared" si="196"/>
        <v/>
      </c>
      <c r="AL216" s="86" t="str">
        <f t="shared" si="197"/>
        <v/>
      </c>
      <c r="AM216" s="86" t="str">
        <f t="shared" si="198"/>
        <v/>
      </c>
      <c r="AN216" s="86" t="str">
        <f t="shared" si="199"/>
        <v/>
      </c>
      <c r="AO216" s="86" t="str">
        <f t="shared" si="200"/>
        <v/>
      </c>
      <c r="AQ216" s="33" t="str">
        <f t="shared" si="177"/>
        <v/>
      </c>
      <c r="AR216" s="30" t="str">
        <f t="shared" si="178"/>
        <v/>
      </c>
      <c r="AU216" s="20">
        <f t="shared" si="179"/>
        <v>0</v>
      </c>
      <c r="AV216" s="20">
        <f t="shared" si="180"/>
        <v>0</v>
      </c>
      <c r="AW216" s="19">
        <f t="shared" si="187"/>
        <v>0</v>
      </c>
      <c r="AX216" s="19">
        <f t="shared" si="188"/>
        <v>0</v>
      </c>
      <c r="AY216" s="19">
        <f t="shared" si="189"/>
        <v>0</v>
      </c>
      <c r="AZ216" s="19">
        <f t="shared" si="190"/>
        <v>0</v>
      </c>
      <c r="BA216" s="19">
        <f t="shared" si="191"/>
        <v>0</v>
      </c>
      <c r="BB216" s="19">
        <f t="shared" si="192"/>
        <v>0</v>
      </c>
      <c r="BC216" s="19">
        <f t="shared" si="193"/>
        <v>0</v>
      </c>
      <c r="BD216" s="19">
        <f>-IF(CUSTOS!B216="",0,CUSTOS!B216)</f>
        <v>0</v>
      </c>
      <c r="BF216" s="20">
        <f t="shared" si="194"/>
        <v>0</v>
      </c>
      <c r="BG216" s="20">
        <f t="shared" si="195"/>
        <v>0</v>
      </c>
      <c r="BH216" s="116">
        <f t="shared" si="195"/>
        <v>0</v>
      </c>
    </row>
    <row r="217" spans="1:60" ht="15" x14ac:dyDescent="0.25">
      <c r="A217" s="66" t="str">
        <f>IF(LARGE($A$11:A216,1)=$F$2,"",A216+1)</f>
        <v/>
      </c>
      <c r="B217" s="27" t="str">
        <f t="shared" si="154"/>
        <v/>
      </c>
      <c r="C217" s="28" t="str">
        <f t="shared" si="181"/>
        <v/>
      </c>
      <c r="D217" s="28" t="str">
        <f t="shared" si="155"/>
        <v/>
      </c>
      <c r="E217" s="28" t="str">
        <f t="shared" si="156"/>
        <v/>
      </c>
      <c r="F217" s="29" t="str">
        <f t="shared" si="157"/>
        <v/>
      </c>
      <c r="G217" s="29" t="str">
        <f t="shared" si="158"/>
        <v/>
      </c>
      <c r="H217" s="30" t="str">
        <f t="shared" si="159"/>
        <v/>
      </c>
      <c r="I217" s="30" t="str">
        <f t="shared" si="160"/>
        <v/>
      </c>
      <c r="J217" s="30" t="str">
        <f>IF(A217="","",H217+CUSTOS!B217)</f>
        <v/>
      </c>
      <c r="K217" s="30" t="str">
        <f t="shared" si="182"/>
        <v/>
      </c>
      <c r="L217" s="30" t="str">
        <f t="shared" si="183"/>
        <v/>
      </c>
      <c r="M217" s="30" t="str">
        <f t="shared" si="184"/>
        <v/>
      </c>
      <c r="N217" s="30" t="str">
        <f t="shared" si="161"/>
        <v/>
      </c>
      <c r="O217" s="31" t="str">
        <f t="shared" si="185"/>
        <v/>
      </c>
      <c r="P217" s="32"/>
      <c r="Q217" s="33" t="str">
        <f t="shared" si="162"/>
        <v/>
      </c>
      <c r="R217" s="33" t="str">
        <f t="shared" si="163"/>
        <v/>
      </c>
      <c r="S217" s="33" t="str">
        <f t="shared" si="164"/>
        <v/>
      </c>
      <c r="T217" s="33" t="str">
        <f t="shared" si="165"/>
        <v/>
      </c>
      <c r="U217" s="33" t="str">
        <f t="shared" si="166"/>
        <v/>
      </c>
      <c r="V217" s="33" t="str">
        <f t="shared" si="167"/>
        <v/>
      </c>
      <c r="X217" s="33" t="str">
        <f t="shared" si="153"/>
        <v/>
      </c>
      <c r="Y217" s="30" t="str">
        <f t="shared" si="168"/>
        <v/>
      </c>
      <c r="Z217" s="30" t="str">
        <f t="shared" si="169"/>
        <v/>
      </c>
      <c r="AA217" s="30" t="str">
        <f t="shared" si="170"/>
        <v/>
      </c>
      <c r="AB217" s="30" t="str">
        <f t="shared" si="171"/>
        <v/>
      </c>
      <c r="AD217" s="33" t="str">
        <f t="shared" si="172"/>
        <v/>
      </c>
      <c r="AE217" s="30" t="str">
        <f t="shared" si="173"/>
        <v/>
      </c>
      <c r="AF217" s="30" t="str">
        <f t="shared" si="174"/>
        <v/>
      </c>
      <c r="AG217" s="30" t="str">
        <f t="shared" si="175"/>
        <v/>
      </c>
      <c r="AH217" s="30" t="str">
        <f t="shared" si="176"/>
        <v/>
      </c>
      <c r="AJ217" s="85" t="str">
        <f t="shared" si="186"/>
        <v/>
      </c>
      <c r="AK217" s="86" t="str">
        <f t="shared" si="196"/>
        <v/>
      </c>
      <c r="AL217" s="86" t="str">
        <f t="shared" si="197"/>
        <v/>
      </c>
      <c r="AM217" s="86" t="str">
        <f t="shared" si="198"/>
        <v/>
      </c>
      <c r="AN217" s="86" t="str">
        <f t="shared" si="199"/>
        <v/>
      </c>
      <c r="AO217" s="86" t="str">
        <f t="shared" si="200"/>
        <v/>
      </c>
      <c r="AQ217" s="33" t="str">
        <f t="shared" si="177"/>
        <v/>
      </c>
      <c r="AR217" s="30" t="str">
        <f t="shared" si="178"/>
        <v/>
      </c>
      <c r="AU217" s="20">
        <f t="shared" si="179"/>
        <v>0</v>
      </c>
      <c r="AV217" s="20">
        <f t="shared" si="180"/>
        <v>0</v>
      </c>
      <c r="AW217" s="19">
        <f t="shared" si="187"/>
        <v>0</v>
      </c>
      <c r="AX217" s="19">
        <f t="shared" si="188"/>
        <v>0</v>
      </c>
      <c r="AY217" s="19">
        <f t="shared" si="189"/>
        <v>0</v>
      </c>
      <c r="AZ217" s="19">
        <f t="shared" si="190"/>
        <v>0</v>
      </c>
      <c r="BA217" s="19">
        <f t="shared" si="191"/>
        <v>0</v>
      </c>
      <c r="BB217" s="19">
        <f t="shared" si="192"/>
        <v>0</v>
      </c>
      <c r="BC217" s="19">
        <f t="shared" si="193"/>
        <v>0</v>
      </c>
      <c r="BD217" s="19">
        <f>-IF(CUSTOS!B217="",0,CUSTOS!B217)</f>
        <v>0</v>
      </c>
      <c r="BF217" s="20">
        <f t="shared" si="194"/>
        <v>0</v>
      </c>
      <c r="BG217" s="20">
        <f t="shared" si="195"/>
        <v>0</v>
      </c>
      <c r="BH217" s="116">
        <f t="shared" si="195"/>
        <v>0</v>
      </c>
    </row>
    <row r="218" spans="1:60" ht="15" x14ac:dyDescent="0.25">
      <c r="A218" s="66" t="str">
        <f>IF(LARGE($A$11:A217,1)=$F$2,"",A217+1)</f>
        <v/>
      </c>
      <c r="B218" s="27" t="str">
        <f t="shared" si="154"/>
        <v/>
      </c>
      <c r="C218" s="28" t="str">
        <f t="shared" si="181"/>
        <v/>
      </c>
      <c r="D218" s="28" t="str">
        <f t="shared" si="155"/>
        <v/>
      </c>
      <c r="E218" s="28" t="str">
        <f t="shared" si="156"/>
        <v/>
      </c>
      <c r="F218" s="29" t="str">
        <f t="shared" si="157"/>
        <v/>
      </c>
      <c r="G218" s="29" t="str">
        <f t="shared" si="158"/>
        <v/>
      </c>
      <c r="H218" s="30" t="str">
        <f t="shared" si="159"/>
        <v/>
      </c>
      <c r="I218" s="30" t="str">
        <f t="shared" si="160"/>
        <v/>
      </c>
      <c r="J218" s="30" t="str">
        <f>IF(A218="","",H218+CUSTOS!B218)</f>
        <v/>
      </c>
      <c r="K218" s="30" t="str">
        <f t="shared" si="182"/>
        <v/>
      </c>
      <c r="L218" s="30" t="str">
        <f t="shared" si="183"/>
        <v/>
      </c>
      <c r="M218" s="30" t="str">
        <f t="shared" si="184"/>
        <v/>
      </c>
      <c r="N218" s="30" t="str">
        <f t="shared" si="161"/>
        <v/>
      </c>
      <c r="O218" s="31" t="str">
        <f t="shared" si="185"/>
        <v/>
      </c>
      <c r="P218" s="32"/>
      <c r="Q218" s="33" t="str">
        <f t="shared" si="162"/>
        <v/>
      </c>
      <c r="R218" s="33" t="str">
        <f t="shared" si="163"/>
        <v/>
      </c>
      <c r="S218" s="33" t="str">
        <f t="shared" si="164"/>
        <v/>
      </c>
      <c r="T218" s="33" t="str">
        <f t="shared" si="165"/>
        <v/>
      </c>
      <c r="U218" s="33" t="str">
        <f t="shared" si="166"/>
        <v/>
      </c>
      <c r="V218" s="33" t="str">
        <f t="shared" si="167"/>
        <v/>
      </c>
      <c r="X218" s="33" t="str">
        <f t="shared" si="153"/>
        <v/>
      </c>
      <c r="Y218" s="30" t="str">
        <f t="shared" si="168"/>
        <v/>
      </c>
      <c r="Z218" s="30" t="str">
        <f t="shared" si="169"/>
        <v/>
      </c>
      <c r="AA218" s="30" t="str">
        <f t="shared" si="170"/>
        <v/>
      </c>
      <c r="AB218" s="30" t="str">
        <f t="shared" si="171"/>
        <v/>
      </c>
      <c r="AD218" s="33" t="str">
        <f t="shared" si="172"/>
        <v/>
      </c>
      <c r="AE218" s="30" t="str">
        <f t="shared" si="173"/>
        <v/>
      </c>
      <c r="AF218" s="30" t="str">
        <f t="shared" si="174"/>
        <v/>
      </c>
      <c r="AG218" s="30" t="str">
        <f t="shared" si="175"/>
        <v/>
      </c>
      <c r="AH218" s="30" t="str">
        <f t="shared" si="176"/>
        <v/>
      </c>
      <c r="AJ218" s="85" t="str">
        <f t="shared" si="186"/>
        <v/>
      </c>
      <c r="AK218" s="86" t="str">
        <f t="shared" si="196"/>
        <v/>
      </c>
      <c r="AL218" s="86" t="str">
        <f t="shared" si="197"/>
        <v/>
      </c>
      <c r="AM218" s="86" t="str">
        <f t="shared" si="198"/>
        <v/>
      </c>
      <c r="AN218" s="86" t="str">
        <f t="shared" si="199"/>
        <v/>
      </c>
      <c r="AO218" s="86" t="str">
        <f t="shared" si="200"/>
        <v/>
      </c>
      <c r="AQ218" s="33" t="str">
        <f t="shared" si="177"/>
        <v/>
      </c>
      <c r="AR218" s="30" t="str">
        <f t="shared" si="178"/>
        <v/>
      </c>
      <c r="AU218" s="20">
        <f t="shared" si="179"/>
        <v>0</v>
      </c>
      <c r="AV218" s="20">
        <f t="shared" si="180"/>
        <v>0</v>
      </c>
      <c r="AW218" s="19">
        <f t="shared" si="187"/>
        <v>0</v>
      </c>
      <c r="AX218" s="19">
        <f t="shared" si="188"/>
        <v>0</v>
      </c>
      <c r="AY218" s="19">
        <f t="shared" si="189"/>
        <v>0</v>
      </c>
      <c r="AZ218" s="19">
        <f t="shared" si="190"/>
        <v>0</v>
      </c>
      <c r="BA218" s="19">
        <f t="shared" si="191"/>
        <v>0</v>
      </c>
      <c r="BB218" s="19">
        <f t="shared" si="192"/>
        <v>0</v>
      </c>
      <c r="BC218" s="19">
        <f t="shared" si="193"/>
        <v>0</v>
      </c>
      <c r="BD218" s="19">
        <f>-IF(CUSTOS!B218="",0,CUSTOS!B218)</f>
        <v>0</v>
      </c>
      <c r="BF218" s="20">
        <f t="shared" si="194"/>
        <v>0</v>
      </c>
      <c r="BG218" s="20">
        <f t="shared" si="195"/>
        <v>0</v>
      </c>
      <c r="BH218" s="116">
        <f t="shared" si="195"/>
        <v>0</v>
      </c>
    </row>
    <row r="219" spans="1:60" ht="15" x14ac:dyDescent="0.25">
      <c r="A219" s="66" t="str">
        <f>IF(LARGE($A$11:A218,1)=$F$2,"",A218+1)</f>
        <v/>
      </c>
      <c r="B219" s="27" t="str">
        <f t="shared" si="154"/>
        <v/>
      </c>
      <c r="C219" s="28" t="str">
        <f t="shared" si="181"/>
        <v/>
      </c>
      <c r="D219" s="28" t="str">
        <f t="shared" si="155"/>
        <v/>
      </c>
      <c r="E219" s="28" t="str">
        <f t="shared" si="156"/>
        <v/>
      </c>
      <c r="F219" s="29" t="str">
        <f t="shared" si="157"/>
        <v/>
      </c>
      <c r="G219" s="29" t="str">
        <f t="shared" si="158"/>
        <v/>
      </c>
      <c r="H219" s="30" t="str">
        <f t="shared" si="159"/>
        <v/>
      </c>
      <c r="I219" s="30" t="str">
        <f t="shared" si="160"/>
        <v/>
      </c>
      <c r="J219" s="30" t="str">
        <f>IF(A219="","",H219+CUSTOS!B219)</f>
        <v/>
      </c>
      <c r="K219" s="30" t="str">
        <f t="shared" si="182"/>
        <v/>
      </c>
      <c r="L219" s="30" t="str">
        <f t="shared" si="183"/>
        <v/>
      </c>
      <c r="M219" s="30" t="str">
        <f t="shared" si="184"/>
        <v/>
      </c>
      <c r="N219" s="30" t="str">
        <f t="shared" si="161"/>
        <v/>
      </c>
      <c r="O219" s="31" t="str">
        <f t="shared" si="185"/>
        <v/>
      </c>
      <c r="P219" s="32"/>
      <c r="Q219" s="33" t="str">
        <f t="shared" si="162"/>
        <v/>
      </c>
      <c r="R219" s="33" t="str">
        <f t="shared" si="163"/>
        <v/>
      </c>
      <c r="S219" s="33" t="str">
        <f t="shared" si="164"/>
        <v/>
      </c>
      <c r="T219" s="33" t="str">
        <f t="shared" si="165"/>
        <v/>
      </c>
      <c r="U219" s="33" t="str">
        <f t="shared" si="166"/>
        <v/>
      </c>
      <c r="V219" s="33" t="str">
        <f t="shared" si="167"/>
        <v/>
      </c>
      <c r="X219" s="33" t="str">
        <f t="shared" si="153"/>
        <v/>
      </c>
      <c r="Y219" s="30" t="str">
        <f t="shared" si="168"/>
        <v/>
      </c>
      <c r="Z219" s="30" t="str">
        <f t="shared" si="169"/>
        <v/>
      </c>
      <c r="AA219" s="30" t="str">
        <f t="shared" si="170"/>
        <v/>
      </c>
      <c r="AB219" s="30" t="str">
        <f t="shared" si="171"/>
        <v/>
      </c>
      <c r="AD219" s="33" t="str">
        <f t="shared" si="172"/>
        <v/>
      </c>
      <c r="AE219" s="30" t="str">
        <f t="shared" si="173"/>
        <v/>
      </c>
      <c r="AF219" s="30" t="str">
        <f t="shared" si="174"/>
        <v/>
      </c>
      <c r="AG219" s="30" t="str">
        <f t="shared" si="175"/>
        <v/>
      </c>
      <c r="AH219" s="30" t="str">
        <f t="shared" si="176"/>
        <v/>
      </c>
      <c r="AJ219" s="85" t="str">
        <f t="shared" si="186"/>
        <v/>
      </c>
      <c r="AK219" s="86" t="str">
        <f t="shared" si="196"/>
        <v/>
      </c>
      <c r="AL219" s="86" t="str">
        <f t="shared" si="197"/>
        <v/>
      </c>
      <c r="AM219" s="86" t="str">
        <f t="shared" si="198"/>
        <v/>
      </c>
      <c r="AN219" s="86" t="str">
        <f t="shared" si="199"/>
        <v/>
      </c>
      <c r="AO219" s="86" t="str">
        <f t="shared" si="200"/>
        <v/>
      </c>
      <c r="AQ219" s="33" t="str">
        <f t="shared" si="177"/>
        <v/>
      </c>
      <c r="AR219" s="30" t="str">
        <f t="shared" si="178"/>
        <v/>
      </c>
      <c r="AU219" s="20">
        <f t="shared" si="179"/>
        <v>0</v>
      </c>
      <c r="AV219" s="20">
        <f t="shared" si="180"/>
        <v>0</v>
      </c>
      <c r="AW219" s="19">
        <f t="shared" si="187"/>
        <v>0</v>
      </c>
      <c r="AX219" s="19">
        <f t="shared" si="188"/>
        <v>0</v>
      </c>
      <c r="AY219" s="19">
        <f t="shared" si="189"/>
        <v>0</v>
      </c>
      <c r="AZ219" s="19">
        <f t="shared" si="190"/>
        <v>0</v>
      </c>
      <c r="BA219" s="19">
        <f t="shared" si="191"/>
        <v>0</v>
      </c>
      <c r="BB219" s="19">
        <f t="shared" si="192"/>
        <v>0</v>
      </c>
      <c r="BC219" s="19">
        <f t="shared" si="193"/>
        <v>0</v>
      </c>
      <c r="BD219" s="19">
        <f>-IF(CUSTOS!B219="",0,CUSTOS!B219)</f>
        <v>0</v>
      </c>
      <c r="BF219" s="20">
        <f t="shared" si="194"/>
        <v>0</v>
      </c>
      <c r="BG219" s="20">
        <f t="shared" si="195"/>
        <v>0</v>
      </c>
      <c r="BH219" s="116">
        <f t="shared" si="195"/>
        <v>0</v>
      </c>
    </row>
    <row r="220" spans="1:60" ht="15" x14ac:dyDescent="0.25">
      <c r="A220" s="66" t="str">
        <f>IF(LARGE($A$11:A219,1)=$F$2,"",A219+1)</f>
        <v/>
      </c>
      <c r="B220" s="27" t="str">
        <f t="shared" si="154"/>
        <v/>
      </c>
      <c r="C220" s="28" t="str">
        <f t="shared" si="181"/>
        <v/>
      </c>
      <c r="D220" s="28" t="str">
        <f t="shared" si="155"/>
        <v/>
      </c>
      <c r="E220" s="28" t="str">
        <f t="shared" si="156"/>
        <v/>
      </c>
      <c r="F220" s="29" t="str">
        <f t="shared" si="157"/>
        <v/>
      </c>
      <c r="G220" s="29" t="str">
        <f t="shared" si="158"/>
        <v/>
      </c>
      <c r="H220" s="30" t="str">
        <f t="shared" si="159"/>
        <v/>
      </c>
      <c r="I220" s="30" t="str">
        <f t="shared" si="160"/>
        <v/>
      </c>
      <c r="J220" s="30" t="str">
        <f>IF(A220="","",H220+CUSTOS!B220)</f>
        <v/>
      </c>
      <c r="K220" s="30" t="str">
        <f t="shared" si="182"/>
        <v/>
      </c>
      <c r="L220" s="30" t="str">
        <f t="shared" si="183"/>
        <v/>
      </c>
      <c r="M220" s="30" t="str">
        <f t="shared" si="184"/>
        <v/>
      </c>
      <c r="N220" s="30" t="str">
        <f t="shared" si="161"/>
        <v/>
      </c>
      <c r="O220" s="31" t="str">
        <f t="shared" si="185"/>
        <v/>
      </c>
      <c r="P220" s="32"/>
      <c r="Q220" s="33" t="str">
        <f t="shared" si="162"/>
        <v/>
      </c>
      <c r="R220" s="33" t="str">
        <f t="shared" si="163"/>
        <v/>
      </c>
      <c r="S220" s="33" t="str">
        <f t="shared" si="164"/>
        <v/>
      </c>
      <c r="T220" s="33" t="str">
        <f t="shared" si="165"/>
        <v/>
      </c>
      <c r="U220" s="33" t="str">
        <f t="shared" si="166"/>
        <v/>
      </c>
      <c r="V220" s="33" t="str">
        <f t="shared" si="167"/>
        <v/>
      </c>
      <c r="X220" s="33" t="str">
        <f t="shared" si="153"/>
        <v/>
      </c>
      <c r="Y220" s="30" t="str">
        <f t="shared" si="168"/>
        <v/>
      </c>
      <c r="Z220" s="30" t="str">
        <f t="shared" si="169"/>
        <v/>
      </c>
      <c r="AA220" s="30" t="str">
        <f t="shared" si="170"/>
        <v/>
      </c>
      <c r="AB220" s="30" t="str">
        <f t="shared" si="171"/>
        <v/>
      </c>
      <c r="AD220" s="33" t="str">
        <f t="shared" si="172"/>
        <v/>
      </c>
      <c r="AE220" s="30" t="str">
        <f t="shared" si="173"/>
        <v/>
      </c>
      <c r="AF220" s="30" t="str">
        <f t="shared" si="174"/>
        <v/>
      </c>
      <c r="AG220" s="30" t="str">
        <f t="shared" si="175"/>
        <v/>
      </c>
      <c r="AH220" s="30" t="str">
        <f t="shared" si="176"/>
        <v/>
      </c>
      <c r="AJ220" s="85" t="str">
        <f t="shared" si="186"/>
        <v/>
      </c>
      <c r="AK220" s="86" t="str">
        <f t="shared" si="196"/>
        <v/>
      </c>
      <c r="AL220" s="86" t="str">
        <f t="shared" si="197"/>
        <v/>
      </c>
      <c r="AM220" s="86" t="str">
        <f t="shared" si="198"/>
        <v/>
      </c>
      <c r="AN220" s="86" t="str">
        <f t="shared" si="199"/>
        <v/>
      </c>
      <c r="AO220" s="86" t="str">
        <f t="shared" si="200"/>
        <v/>
      </c>
      <c r="AQ220" s="33" t="str">
        <f t="shared" si="177"/>
        <v/>
      </c>
      <c r="AR220" s="30" t="str">
        <f t="shared" si="178"/>
        <v/>
      </c>
      <c r="AU220" s="20">
        <f t="shared" si="179"/>
        <v>0</v>
      </c>
      <c r="AV220" s="20">
        <f t="shared" si="180"/>
        <v>0</v>
      </c>
      <c r="AW220" s="19">
        <f t="shared" si="187"/>
        <v>0</v>
      </c>
      <c r="AX220" s="19">
        <f t="shared" si="188"/>
        <v>0</v>
      </c>
      <c r="AY220" s="19">
        <f t="shared" si="189"/>
        <v>0</v>
      </c>
      <c r="AZ220" s="19">
        <f t="shared" si="190"/>
        <v>0</v>
      </c>
      <c r="BA220" s="19">
        <f t="shared" si="191"/>
        <v>0</v>
      </c>
      <c r="BB220" s="19">
        <f t="shared" si="192"/>
        <v>0</v>
      </c>
      <c r="BC220" s="19">
        <f t="shared" si="193"/>
        <v>0</v>
      </c>
      <c r="BD220" s="19">
        <f>-IF(CUSTOS!B220="",0,CUSTOS!B220)</f>
        <v>0</v>
      </c>
      <c r="BF220" s="20">
        <f t="shared" si="194"/>
        <v>0</v>
      </c>
      <c r="BG220" s="20">
        <f t="shared" si="195"/>
        <v>0</v>
      </c>
      <c r="BH220" s="116">
        <f t="shared" si="195"/>
        <v>0</v>
      </c>
    </row>
    <row r="221" spans="1:60" ht="15" x14ac:dyDescent="0.25">
      <c r="A221" s="66" t="str">
        <f>IF(LARGE($A$11:A220,1)=$F$2,"",A220+1)</f>
        <v/>
      </c>
      <c r="B221" s="27" t="str">
        <f t="shared" si="154"/>
        <v/>
      </c>
      <c r="C221" s="28" t="str">
        <f t="shared" si="181"/>
        <v/>
      </c>
      <c r="D221" s="28" t="str">
        <f t="shared" si="155"/>
        <v/>
      </c>
      <c r="E221" s="28" t="str">
        <f t="shared" si="156"/>
        <v/>
      </c>
      <c r="F221" s="29" t="str">
        <f t="shared" si="157"/>
        <v/>
      </c>
      <c r="G221" s="29" t="str">
        <f t="shared" si="158"/>
        <v/>
      </c>
      <c r="H221" s="30" t="str">
        <f t="shared" si="159"/>
        <v/>
      </c>
      <c r="I221" s="30" t="str">
        <f t="shared" si="160"/>
        <v/>
      </c>
      <c r="J221" s="30" t="str">
        <f>IF(A221="","",H221+CUSTOS!B221)</f>
        <v/>
      </c>
      <c r="K221" s="30" t="str">
        <f t="shared" si="182"/>
        <v/>
      </c>
      <c r="L221" s="30" t="str">
        <f t="shared" si="183"/>
        <v/>
      </c>
      <c r="M221" s="30" t="str">
        <f t="shared" si="184"/>
        <v/>
      </c>
      <c r="N221" s="30" t="str">
        <f t="shared" si="161"/>
        <v/>
      </c>
      <c r="O221" s="31" t="str">
        <f t="shared" si="185"/>
        <v/>
      </c>
      <c r="P221" s="32"/>
      <c r="Q221" s="33" t="str">
        <f t="shared" si="162"/>
        <v/>
      </c>
      <c r="R221" s="33" t="str">
        <f t="shared" si="163"/>
        <v/>
      </c>
      <c r="S221" s="33" t="str">
        <f t="shared" si="164"/>
        <v/>
      </c>
      <c r="T221" s="33" t="str">
        <f t="shared" si="165"/>
        <v/>
      </c>
      <c r="U221" s="33" t="str">
        <f t="shared" si="166"/>
        <v/>
      </c>
      <c r="V221" s="33" t="str">
        <f t="shared" si="167"/>
        <v/>
      </c>
      <c r="X221" s="33" t="str">
        <f t="shared" si="153"/>
        <v/>
      </c>
      <c r="Y221" s="30" t="str">
        <f t="shared" si="168"/>
        <v/>
      </c>
      <c r="Z221" s="30" t="str">
        <f t="shared" si="169"/>
        <v/>
      </c>
      <c r="AA221" s="30" t="str">
        <f t="shared" si="170"/>
        <v/>
      </c>
      <c r="AB221" s="30" t="str">
        <f t="shared" si="171"/>
        <v/>
      </c>
      <c r="AD221" s="33" t="str">
        <f t="shared" si="172"/>
        <v/>
      </c>
      <c r="AE221" s="30" t="str">
        <f t="shared" si="173"/>
        <v/>
      </c>
      <c r="AF221" s="30" t="str">
        <f t="shared" si="174"/>
        <v/>
      </c>
      <c r="AG221" s="30" t="str">
        <f t="shared" si="175"/>
        <v/>
      </c>
      <c r="AH221" s="30" t="str">
        <f t="shared" si="176"/>
        <v/>
      </c>
      <c r="AJ221" s="85" t="str">
        <f t="shared" si="186"/>
        <v/>
      </c>
      <c r="AK221" s="86" t="str">
        <f t="shared" si="196"/>
        <v/>
      </c>
      <c r="AL221" s="86" t="str">
        <f t="shared" si="197"/>
        <v/>
      </c>
      <c r="AM221" s="86" t="str">
        <f t="shared" si="198"/>
        <v/>
      </c>
      <c r="AN221" s="86" t="str">
        <f t="shared" si="199"/>
        <v/>
      </c>
      <c r="AO221" s="86" t="str">
        <f t="shared" si="200"/>
        <v/>
      </c>
      <c r="AQ221" s="33" t="str">
        <f t="shared" si="177"/>
        <v/>
      </c>
      <c r="AR221" s="30" t="str">
        <f t="shared" si="178"/>
        <v/>
      </c>
      <c r="AU221" s="20">
        <f t="shared" si="179"/>
        <v>0</v>
      </c>
      <c r="AV221" s="20">
        <f t="shared" si="180"/>
        <v>0</v>
      </c>
      <c r="AW221" s="19">
        <f t="shared" si="187"/>
        <v>0</v>
      </c>
      <c r="AX221" s="19">
        <f t="shared" si="188"/>
        <v>0</v>
      </c>
      <c r="AY221" s="19">
        <f t="shared" si="189"/>
        <v>0</v>
      </c>
      <c r="AZ221" s="19">
        <f t="shared" si="190"/>
        <v>0</v>
      </c>
      <c r="BA221" s="19">
        <f t="shared" si="191"/>
        <v>0</v>
      </c>
      <c r="BB221" s="19">
        <f t="shared" si="192"/>
        <v>0</v>
      </c>
      <c r="BC221" s="19">
        <f t="shared" si="193"/>
        <v>0</v>
      </c>
      <c r="BD221" s="19">
        <f>-IF(CUSTOS!B221="",0,CUSTOS!B221)</f>
        <v>0</v>
      </c>
      <c r="BF221" s="20">
        <f t="shared" si="194"/>
        <v>0</v>
      </c>
      <c r="BG221" s="20">
        <f t="shared" si="195"/>
        <v>0</v>
      </c>
      <c r="BH221" s="116">
        <f t="shared" si="195"/>
        <v>0</v>
      </c>
    </row>
    <row r="222" spans="1:60" ht="15" x14ac:dyDescent="0.25">
      <c r="A222" s="66" t="str">
        <f>IF(LARGE($A$11:A221,1)=$F$2,"",A221+1)</f>
        <v/>
      </c>
      <c r="B222" s="27" t="str">
        <f t="shared" si="154"/>
        <v/>
      </c>
      <c r="C222" s="28" t="str">
        <f t="shared" si="181"/>
        <v/>
      </c>
      <c r="D222" s="28" t="str">
        <f t="shared" si="155"/>
        <v/>
      </c>
      <c r="E222" s="28" t="str">
        <f t="shared" si="156"/>
        <v/>
      </c>
      <c r="F222" s="29" t="str">
        <f t="shared" si="157"/>
        <v/>
      </c>
      <c r="G222" s="29" t="str">
        <f t="shared" si="158"/>
        <v/>
      </c>
      <c r="H222" s="30" t="str">
        <f t="shared" si="159"/>
        <v/>
      </c>
      <c r="I222" s="30" t="str">
        <f t="shared" si="160"/>
        <v/>
      </c>
      <c r="J222" s="30" t="str">
        <f>IF(A222="","",H222+CUSTOS!B222)</f>
        <v/>
      </c>
      <c r="K222" s="30" t="str">
        <f t="shared" si="182"/>
        <v/>
      </c>
      <c r="L222" s="30" t="str">
        <f t="shared" si="183"/>
        <v/>
      </c>
      <c r="M222" s="30" t="str">
        <f t="shared" si="184"/>
        <v/>
      </c>
      <c r="N222" s="30" t="str">
        <f t="shared" si="161"/>
        <v/>
      </c>
      <c r="O222" s="31" t="str">
        <f t="shared" si="185"/>
        <v/>
      </c>
      <c r="P222" s="32"/>
      <c r="Q222" s="33" t="str">
        <f t="shared" si="162"/>
        <v/>
      </c>
      <c r="R222" s="33" t="str">
        <f t="shared" si="163"/>
        <v/>
      </c>
      <c r="S222" s="33" t="str">
        <f t="shared" si="164"/>
        <v/>
      </c>
      <c r="T222" s="33" t="str">
        <f t="shared" si="165"/>
        <v/>
      </c>
      <c r="U222" s="33" t="str">
        <f t="shared" si="166"/>
        <v/>
      </c>
      <c r="V222" s="33" t="str">
        <f t="shared" si="167"/>
        <v/>
      </c>
      <c r="X222" s="33" t="str">
        <f t="shared" si="153"/>
        <v/>
      </c>
      <c r="Y222" s="30" t="str">
        <f t="shared" si="168"/>
        <v/>
      </c>
      <c r="Z222" s="30" t="str">
        <f t="shared" si="169"/>
        <v/>
      </c>
      <c r="AA222" s="30" t="str">
        <f t="shared" si="170"/>
        <v/>
      </c>
      <c r="AB222" s="30" t="str">
        <f t="shared" si="171"/>
        <v/>
      </c>
      <c r="AD222" s="33" t="str">
        <f t="shared" si="172"/>
        <v/>
      </c>
      <c r="AE222" s="30" t="str">
        <f t="shared" si="173"/>
        <v/>
      </c>
      <c r="AF222" s="30" t="str">
        <f t="shared" si="174"/>
        <v/>
      </c>
      <c r="AG222" s="30" t="str">
        <f t="shared" si="175"/>
        <v/>
      </c>
      <c r="AH222" s="30" t="str">
        <f t="shared" si="176"/>
        <v/>
      </c>
      <c r="AJ222" s="85" t="str">
        <f t="shared" si="186"/>
        <v/>
      </c>
      <c r="AK222" s="86" t="str">
        <f t="shared" si="196"/>
        <v/>
      </c>
      <c r="AL222" s="86" t="str">
        <f t="shared" si="197"/>
        <v/>
      </c>
      <c r="AM222" s="86" t="str">
        <f t="shared" si="198"/>
        <v/>
      </c>
      <c r="AN222" s="86" t="str">
        <f t="shared" si="199"/>
        <v/>
      </c>
      <c r="AO222" s="86" t="str">
        <f t="shared" si="200"/>
        <v/>
      </c>
      <c r="AQ222" s="33" t="str">
        <f t="shared" si="177"/>
        <v/>
      </c>
      <c r="AR222" s="30" t="str">
        <f t="shared" si="178"/>
        <v/>
      </c>
      <c r="AU222" s="20">
        <f t="shared" si="179"/>
        <v>0</v>
      </c>
      <c r="AV222" s="20">
        <f t="shared" si="180"/>
        <v>0</v>
      </c>
      <c r="AW222" s="19">
        <f t="shared" si="187"/>
        <v>0</v>
      </c>
      <c r="AX222" s="19">
        <f t="shared" si="188"/>
        <v>0</v>
      </c>
      <c r="AY222" s="19">
        <f t="shared" si="189"/>
        <v>0</v>
      </c>
      <c r="AZ222" s="19">
        <f t="shared" si="190"/>
        <v>0</v>
      </c>
      <c r="BA222" s="19">
        <f t="shared" si="191"/>
        <v>0</v>
      </c>
      <c r="BB222" s="19">
        <f t="shared" si="192"/>
        <v>0</v>
      </c>
      <c r="BC222" s="19">
        <f t="shared" si="193"/>
        <v>0</v>
      </c>
      <c r="BD222" s="19">
        <f>-IF(CUSTOS!B222="",0,CUSTOS!B222)</f>
        <v>0</v>
      </c>
      <c r="BF222" s="20">
        <f t="shared" si="194"/>
        <v>0</v>
      </c>
      <c r="BG222" s="20">
        <f t="shared" si="195"/>
        <v>0</v>
      </c>
      <c r="BH222" s="116">
        <f t="shared" si="195"/>
        <v>0</v>
      </c>
    </row>
    <row r="223" spans="1:60" ht="15" x14ac:dyDescent="0.25">
      <c r="A223" s="66" t="str">
        <f>IF(LARGE($A$11:A222,1)=$F$2,"",A222+1)</f>
        <v/>
      </c>
      <c r="B223" s="27" t="str">
        <f t="shared" si="154"/>
        <v/>
      </c>
      <c r="C223" s="28" t="str">
        <f t="shared" si="181"/>
        <v/>
      </c>
      <c r="D223" s="28" t="str">
        <f t="shared" si="155"/>
        <v/>
      </c>
      <c r="E223" s="28" t="str">
        <f t="shared" si="156"/>
        <v/>
      </c>
      <c r="F223" s="29" t="str">
        <f t="shared" si="157"/>
        <v/>
      </c>
      <c r="G223" s="29" t="str">
        <f t="shared" si="158"/>
        <v/>
      </c>
      <c r="H223" s="30" t="str">
        <f t="shared" si="159"/>
        <v/>
      </c>
      <c r="I223" s="30" t="str">
        <f t="shared" si="160"/>
        <v/>
      </c>
      <c r="J223" s="30" t="str">
        <f>IF(A223="","",H223+CUSTOS!B223)</f>
        <v/>
      </c>
      <c r="K223" s="30" t="str">
        <f t="shared" si="182"/>
        <v/>
      </c>
      <c r="L223" s="30" t="str">
        <f t="shared" si="183"/>
        <v/>
      </c>
      <c r="M223" s="30" t="str">
        <f t="shared" si="184"/>
        <v/>
      </c>
      <c r="N223" s="30" t="str">
        <f t="shared" si="161"/>
        <v/>
      </c>
      <c r="O223" s="31" t="str">
        <f t="shared" si="185"/>
        <v/>
      </c>
      <c r="P223" s="32"/>
      <c r="Q223" s="33" t="str">
        <f t="shared" si="162"/>
        <v/>
      </c>
      <c r="R223" s="33" t="str">
        <f t="shared" si="163"/>
        <v/>
      </c>
      <c r="S223" s="33" t="str">
        <f t="shared" si="164"/>
        <v/>
      </c>
      <c r="T223" s="33" t="str">
        <f t="shared" si="165"/>
        <v/>
      </c>
      <c r="U223" s="33" t="str">
        <f t="shared" si="166"/>
        <v/>
      </c>
      <c r="V223" s="33" t="str">
        <f t="shared" si="167"/>
        <v/>
      </c>
      <c r="X223" s="33" t="str">
        <f t="shared" si="153"/>
        <v/>
      </c>
      <c r="Y223" s="30" t="str">
        <f t="shared" si="168"/>
        <v/>
      </c>
      <c r="Z223" s="30" t="str">
        <f t="shared" si="169"/>
        <v/>
      </c>
      <c r="AA223" s="30" t="str">
        <f t="shared" si="170"/>
        <v/>
      </c>
      <c r="AB223" s="30" t="str">
        <f t="shared" si="171"/>
        <v/>
      </c>
      <c r="AD223" s="33" t="str">
        <f t="shared" si="172"/>
        <v/>
      </c>
      <c r="AE223" s="30" t="str">
        <f t="shared" si="173"/>
        <v/>
      </c>
      <c r="AF223" s="30" t="str">
        <f t="shared" si="174"/>
        <v/>
      </c>
      <c r="AG223" s="30" t="str">
        <f t="shared" si="175"/>
        <v/>
      </c>
      <c r="AH223" s="30" t="str">
        <f t="shared" si="176"/>
        <v/>
      </c>
      <c r="AJ223" s="85" t="str">
        <f t="shared" si="186"/>
        <v/>
      </c>
      <c r="AK223" s="86" t="str">
        <f t="shared" si="196"/>
        <v/>
      </c>
      <c r="AL223" s="86" t="str">
        <f t="shared" si="197"/>
        <v/>
      </c>
      <c r="AM223" s="86" t="str">
        <f t="shared" si="198"/>
        <v/>
      </c>
      <c r="AN223" s="86" t="str">
        <f t="shared" si="199"/>
        <v/>
      </c>
      <c r="AO223" s="86" t="str">
        <f t="shared" si="200"/>
        <v/>
      </c>
      <c r="AQ223" s="33" t="str">
        <f t="shared" si="177"/>
        <v/>
      </c>
      <c r="AR223" s="30" t="str">
        <f t="shared" si="178"/>
        <v/>
      </c>
      <c r="AU223" s="20">
        <f t="shared" si="179"/>
        <v>0</v>
      </c>
      <c r="AV223" s="20">
        <f t="shared" si="180"/>
        <v>0</v>
      </c>
      <c r="AW223" s="19">
        <f t="shared" si="187"/>
        <v>0</v>
      </c>
      <c r="AX223" s="19">
        <f t="shared" si="188"/>
        <v>0</v>
      </c>
      <c r="AY223" s="19">
        <f t="shared" si="189"/>
        <v>0</v>
      </c>
      <c r="AZ223" s="19">
        <f t="shared" si="190"/>
        <v>0</v>
      </c>
      <c r="BA223" s="19">
        <f t="shared" si="191"/>
        <v>0</v>
      </c>
      <c r="BB223" s="19">
        <f t="shared" si="192"/>
        <v>0</v>
      </c>
      <c r="BC223" s="19">
        <f t="shared" si="193"/>
        <v>0</v>
      </c>
      <c r="BD223" s="19">
        <f>-IF(CUSTOS!B223="",0,CUSTOS!B223)</f>
        <v>0</v>
      </c>
      <c r="BF223" s="20">
        <f t="shared" si="194"/>
        <v>0</v>
      </c>
      <c r="BG223" s="20">
        <f t="shared" si="195"/>
        <v>0</v>
      </c>
      <c r="BH223" s="116">
        <f t="shared" si="195"/>
        <v>0</v>
      </c>
    </row>
    <row r="224" spans="1:60" ht="15" x14ac:dyDescent="0.25">
      <c r="A224" s="66" t="str">
        <f>IF(LARGE($A$11:A223,1)=$F$2,"",A223+1)</f>
        <v/>
      </c>
      <c r="B224" s="27" t="str">
        <f t="shared" si="154"/>
        <v/>
      </c>
      <c r="C224" s="28" t="str">
        <f t="shared" si="181"/>
        <v/>
      </c>
      <c r="D224" s="28" t="str">
        <f t="shared" si="155"/>
        <v/>
      </c>
      <c r="E224" s="28" t="str">
        <f t="shared" si="156"/>
        <v/>
      </c>
      <c r="F224" s="29" t="str">
        <f t="shared" si="157"/>
        <v/>
      </c>
      <c r="G224" s="29" t="str">
        <f t="shared" si="158"/>
        <v/>
      </c>
      <c r="H224" s="30" t="str">
        <f t="shared" si="159"/>
        <v/>
      </c>
      <c r="I224" s="30" t="str">
        <f t="shared" si="160"/>
        <v/>
      </c>
      <c r="J224" s="30" t="str">
        <f>IF(A224="","",H224+CUSTOS!B224)</f>
        <v/>
      </c>
      <c r="K224" s="30" t="str">
        <f t="shared" si="182"/>
        <v/>
      </c>
      <c r="L224" s="30" t="str">
        <f t="shared" si="183"/>
        <v/>
      </c>
      <c r="M224" s="30" t="str">
        <f t="shared" si="184"/>
        <v/>
      </c>
      <c r="N224" s="30" t="str">
        <f t="shared" si="161"/>
        <v/>
      </c>
      <c r="O224" s="31" t="str">
        <f t="shared" si="185"/>
        <v/>
      </c>
      <c r="P224" s="32"/>
      <c r="Q224" s="33" t="str">
        <f t="shared" si="162"/>
        <v/>
      </c>
      <c r="R224" s="33" t="str">
        <f t="shared" si="163"/>
        <v/>
      </c>
      <c r="S224" s="33" t="str">
        <f t="shared" si="164"/>
        <v/>
      </c>
      <c r="T224" s="33" t="str">
        <f t="shared" si="165"/>
        <v/>
      </c>
      <c r="U224" s="33" t="str">
        <f t="shared" si="166"/>
        <v/>
      </c>
      <c r="V224" s="33" t="str">
        <f t="shared" si="167"/>
        <v/>
      </c>
      <c r="X224" s="33" t="str">
        <f t="shared" si="153"/>
        <v/>
      </c>
      <c r="Y224" s="30" t="str">
        <f t="shared" si="168"/>
        <v/>
      </c>
      <c r="Z224" s="30" t="str">
        <f t="shared" si="169"/>
        <v/>
      </c>
      <c r="AA224" s="30" t="str">
        <f t="shared" si="170"/>
        <v/>
      </c>
      <c r="AB224" s="30" t="str">
        <f t="shared" si="171"/>
        <v/>
      </c>
      <c r="AD224" s="33" t="str">
        <f t="shared" si="172"/>
        <v/>
      </c>
      <c r="AE224" s="30" t="str">
        <f t="shared" si="173"/>
        <v/>
      </c>
      <c r="AF224" s="30" t="str">
        <f t="shared" si="174"/>
        <v/>
      </c>
      <c r="AG224" s="30" t="str">
        <f t="shared" si="175"/>
        <v/>
      </c>
      <c r="AH224" s="30" t="str">
        <f t="shared" si="176"/>
        <v/>
      </c>
      <c r="AJ224" s="85" t="str">
        <f t="shared" si="186"/>
        <v/>
      </c>
      <c r="AK224" s="86" t="str">
        <f t="shared" si="196"/>
        <v/>
      </c>
      <c r="AL224" s="86" t="str">
        <f t="shared" si="197"/>
        <v/>
      </c>
      <c r="AM224" s="86" t="str">
        <f t="shared" si="198"/>
        <v/>
      </c>
      <c r="AN224" s="86" t="str">
        <f t="shared" si="199"/>
        <v/>
      </c>
      <c r="AO224" s="86" t="str">
        <f t="shared" si="200"/>
        <v/>
      </c>
      <c r="AQ224" s="33" t="str">
        <f t="shared" si="177"/>
        <v/>
      </c>
      <c r="AR224" s="30" t="str">
        <f t="shared" si="178"/>
        <v/>
      </c>
      <c r="AU224" s="20">
        <f t="shared" si="179"/>
        <v>0</v>
      </c>
      <c r="AV224" s="20">
        <f t="shared" si="180"/>
        <v>0</v>
      </c>
      <c r="AW224" s="19">
        <f t="shared" si="187"/>
        <v>0</v>
      </c>
      <c r="AX224" s="19">
        <f t="shared" si="188"/>
        <v>0</v>
      </c>
      <c r="AY224" s="19">
        <f t="shared" si="189"/>
        <v>0</v>
      </c>
      <c r="AZ224" s="19">
        <f t="shared" si="190"/>
        <v>0</v>
      </c>
      <c r="BA224" s="19">
        <f t="shared" si="191"/>
        <v>0</v>
      </c>
      <c r="BB224" s="19">
        <f t="shared" si="192"/>
        <v>0</v>
      </c>
      <c r="BC224" s="19">
        <f t="shared" si="193"/>
        <v>0</v>
      </c>
      <c r="BD224" s="19">
        <f>-IF(CUSTOS!B224="",0,CUSTOS!B224)</f>
        <v>0</v>
      </c>
      <c r="BF224" s="20">
        <f t="shared" si="194"/>
        <v>0</v>
      </c>
      <c r="BG224" s="20">
        <f t="shared" si="195"/>
        <v>0</v>
      </c>
      <c r="BH224" s="116">
        <f t="shared" si="195"/>
        <v>0</v>
      </c>
    </row>
    <row r="225" spans="1:60" ht="15" x14ac:dyDescent="0.25">
      <c r="A225" s="66" t="str">
        <f>IF(LARGE($A$11:A224,1)=$F$2,"",A224+1)</f>
        <v/>
      </c>
      <c r="B225" s="27" t="str">
        <f t="shared" si="154"/>
        <v/>
      </c>
      <c r="C225" s="28" t="str">
        <f t="shared" si="181"/>
        <v/>
      </c>
      <c r="D225" s="28" t="str">
        <f t="shared" si="155"/>
        <v/>
      </c>
      <c r="E225" s="28" t="str">
        <f t="shared" si="156"/>
        <v/>
      </c>
      <c r="F225" s="29" t="str">
        <f t="shared" si="157"/>
        <v/>
      </c>
      <c r="G225" s="29" t="str">
        <f t="shared" si="158"/>
        <v/>
      </c>
      <c r="H225" s="30" t="str">
        <f t="shared" si="159"/>
        <v/>
      </c>
      <c r="I225" s="30" t="str">
        <f t="shared" si="160"/>
        <v/>
      </c>
      <c r="J225" s="30" t="str">
        <f>IF(A225="","",H225+CUSTOS!B225)</f>
        <v/>
      </c>
      <c r="K225" s="30" t="str">
        <f t="shared" si="182"/>
        <v/>
      </c>
      <c r="L225" s="30" t="str">
        <f t="shared" si="183"/>
        <v/>
      </c>
      <c r="M225" s="30" t="str">
        <f t="shared" si="184"/>
        <v/>
      </c>
      <c r="N225" s="30" t="str">
        <f t="shared" si="161"/>
        <v/>
      </c>
      <c r="O225" s="31" t="str">
        <f t="shared" si="185"/>
        <v/>
      </c>
      <c r="P225" s="32"/>
      <c r="Q225" s="33" t="str">
        <f t="shared" si="162"/>
        <v/>
      </c>
      <c r="R225" s="33" t="str">
        <f t="shared" si="163"/>
        <v/>
      </c>
      <c r="S225" s="33" t="str">
        <f t="shared" si="164"/>
        <v/>
      </c>
      <c r="T225" s="33" t="str">
        <f t="shared" si="165"/>
        <v/>
      </c>
      <c r="U225" s="33" t="str">
        <f t="shared" si="166"/>
        <v/>
      </c>
      <c r="V225" s="33" t="str">
        <f t="shared" si="167"/>
        <v/>
      </c>
      <c r="X225" s="33" t="str">
        <f t="shared" si="153"/>
        <v/>
      </c>
      <c r="Y225" s="30" t="str">
        <f t="shared" si="168"/>
        <v/>
      </c>
      <c r="Z225" s="30" t="str">
        <f t="shared" si="169"/>
        <v/>
      </c>
      <c r="AA225" s="30" t="str">
        <f t="shared" si="170"/>
        <v/>
      </c>
      <c r="AB225" s="30" t="str">
        <f t="shared" si="171"/>
        <v/>
      </c>
      <c r="AD225" s="33" t="str">
        <f t="shared" si="172"/>
        <v/>
      </c>
      <c r="AE225" s="30" t="str">
        <f t="shared" si="173"/>
        <v/>
      </c>
      <c r="AF225" s="30" t="str">
        <f t="shared" si="174"/>
        <v/>
      </c>
      <c r="AG225" s="30" t="str">
        <f t="shared" si="175"/>
        <v/>
      </c>
      <c r="AH225" s="30" t="str">
        <f t="shared" si="176"/>
        <v/>
      </c>
      <c r="AJ225" s="85" t="str">
        <f t="shared" si="186"/>
        <v/>
      </c>
      <c r="AK225" s="86" t="str">
        <f t="shared" si="196"/>
        <v/>
      </c>
      <c r="AL225" s="86" t="str">
        <f t="shared" si="197"/>
        <v/>
      </c>
      <c r="AM225" s="86" t="str">
        <f t="shared" si="198"/>
        <v/>
      </c>
      <c r="AN225" s="86" t="str">
        <f t="shared" si="199"/>
        <v/>
      </c>
      <c r="AO225" s="86" t="str">
        <f t="shared" si="200"/>
        <v/>
      </c>
      <c r="AQ225" s="33" t="str">
        <f t="shared" si="177"/>
        <v/>
      </c>
      <c r="AR225" s="30" t="str">
        <f t="shared" si="178"/>
        <v/>
      </c>
      <c r="AU225" s="20">
        <f t="shared" si="179"/>
        <v>0</v>
      </c>
      <c r="AV225" s="20">
        <f t="shared" si="180"/>
        <v>0</v>
      </c>
      <c r="AW225" s="19">
        <f t="shared" si="187"/>
        <v>0</v>
      </c>
      <c r="AX225" s="19">
        <f t="shared" si="188"/>
        <v>0</v>
      </c>
      <c r="AY225" s="19">
        <f t="shared" si="189"/>
        <v>0</v>
      </c>
      <c r="AZ225" s="19">
        <f t="shared" si="190"/>
        <v>0</v>
      </c>
      <c r="BA225" s="19">
        <f t="shared" si="191"/>
        <v>0</v>
      </c>
      <c r="BB225" s="19">
        <f t="shared" si="192"/>
        <v>0</v>
      </c>
      <c r="BC225" s="19">
        <f t="shared" si="193"/>
        <v>0</v>
      </c>
      <c r="BD225" s="19">
        <f>-IF(CUSTOS!B225="",0,CUSTOS!B225)</f>
        <v>0</v>
      </c>
      <c r="BF225" s="20">
        <f t="shared" si="194"/>
        <v>0</v>
      </c>
      <c r="BG225" s="20">
        <f t="shared" si="195"/>
        <v>0</v>
      </c>
      <c r="BH225" s="116">
        <f t="shared" si="195"/>
        <v>0</v>
      </c>
    </row>
    <row r="226" spans="1:60" ht="15" x14ac:dyDescent="0.25">
      <c r="A226" s="66" t="str">
        <f>IF(LARGE($A$11:A225,1)=$F$2,"",A225+1)</f>
        <v/>
      </c>
      <c r="B226" s="27" t="str">
        <f t="shared" si="154"/>
        <v/>
      </c>
      <c r="C226" s="28" t="str">
        <f t="shared" si="181"/>
        <v/>
      </c>
      <c r="D226" s="28" t="str">
        <f t="shared" si="155"/>
        <v/>
      </c>
      <c r="E226" s="28" t="str">
        <f t="shared" si="156"/>
        <v/>
      </c>
      <c r="F226" s="29" t="str">
        <f t="shared" si="157"/>
        <v/>
      </c>
      <c r="G226" s="29" t="str">
        <f t="shared" si="158"/>
        <v/>
      </c>
      <c r="H226" s="30" t="str">
        <f t="shared" si="159"/>
        <v/>
      </c>
      <c r="I226" s="30" t="str">
        <f t="shared" si="160"/>
        <v/>
      </c>
      <c r="J226" s="30" t="str">
        <f>IF(A226="","",H226+CUSTOS!B226)</f>
        <v/>
      </c>
      <c r="K226" s="30" t="str">
        <f t="shared" si="182"/>
        <v/>
      </c>
      <c r="L226" s="30" t="str">
        <f t="shared" si="183"/>
        <v/>
      </c>
      <c r="M226" s="30" t="str">
        <f t="shared" si="184"/>
        <v/>
      </c>
      <c r="N226" s="30" t="str">
        <f t="shared" si="161"/>
        <v/>
      </c>
      <c r="O226" s="31" t="str">
        <f t="shared" si="185"/>
        <v/>
      </c>
      <c r="P226" s="32"/>
      <c r="Q226" s="33" t="str">
        <f t="shared" si="162"/>
        <v/>
      </c>
      <c r="R226" s="33" t="str">
        <f t="shared" si="163"/>
        <v/>
      </c>
      <c r="S226" s="33" t="str">
        <f t="shared" si="164"/>
        <v/>
      </c>
      <c r="T226" s="33" t="str">
        <f t="shared" si="165"/>
        <v/>
      </c>
      <c r="U226" s="33" t="str">
        <f t="shared" si="166"/>
        <v/>
      </c>
      <c r="V226" s="33" t="str">
        <f t="shared" si="167"/>
        <v/>
      </c>
      <c r="X226" s="33" t="str">
        <f t="shared" si="153"/>
        <v/>
      </c>
      <c r="Y226" s="30" t="str">
        <f t="shared" si="168"/>
        <v/>
      </c>
      <c r="Z226" s="30" t="str">
        <f t="shared" si="169"/>
        <v/>
      </c>
      <c r="AA226" s="30" t="str">
        <f t="shared" si="170"/>
        <v/>
      </c>
      <c r="AB226" s="30" t="str">
        <f t="shared" si="171"/>
        <v/>
      </c>
      <c r="AD226" s="33" t="str">
        <f t="shared" si="172"/>
        <v/>
      </c>
      <c r="AE226" s="30" t="str">
        <f t="shared" si="173"/>
        <v/>
      </c>
      <c r="AF226" s="30" t="str">
        <f t="shared" si="174"/>
        <v/>
      </c>
      <c r="AG226" s="30" t="str">
        <f t="shared" si="175"/>
        <v/>
      </c>
      <c r="AH226" s="30" t="str">
        <f t="shared" si="176"/>
        <v/>
      </c>
      <c r="AJ226" s="85" t="str">
        <f t="shared" si="186"/>
        <v/>
      </c>
      <c r="AK226" s="86" t="str">
        <f t="shared" si="196"/>
        <v/>
      </c>
      <c r="AL226" s="86" t="str">
        <f t="shared" si="197"/>
        <v/>
      </c>
      <c r="AM226" s="86" t="str">
        <f t="shared" si="198"/>
        <v/>
      </c>
      <c r="AN226" s="86" t="str">
        <f t="shared" si="199"/>
        <v/>
      </c>
      <c r="AO226" s="86" t="str">
        <f t="shared" si="200"/>
        <v/>
      </c>
      <c r="AQ226" s="33" t="str">
        <f t="shared" si="177"/>
        <v/>
      </c>
      <c r="AR226" s="30" t="str">
        <f t="shared" si="178"/>
        <v/>
      </c>
      <c r="AU226" s="20">
        <f t="shared" si="179"/>
        <v>0</v>
      </c>
      <c r="AV226" s="20">
        <f t="shared" si="180"/>
        <v>0</v>
      </c>
      <c r="AW226" s="19">
        <f t="shared" si="187"/>
        <v>0</v>
      </c>
      <c r="AX226" s="19">
        <f t="shared" si="188"/>
        <v>0</v>
      </c>
      <c r="AY226" s="19">
        <f t="shared" si="189"/>
        <v>0</v>
      </c>
      <c r="AZ226" s="19">
        <f t="shared" si="190"/>
        <v>0</v>
      </c>
      <c r="BA226" s="19">
        <f t="shared" si="191"/>
        <v>0</v>
      </c>
      <c r="BB226" s="19">
        <f t="shared" si="192"/>
        <v>0</v>
      </c>
      <c r="BC226" s="19">
        <f t="shared" si="193"/>
        <v>0</v>
      </c>
      <c r="BD226" s="19">
        <f>-IF(CUSTOS!B226="",0,CUSTOS!B226)</f>
        <v>0</v>
      </c>
      <c r="BF226" s="20">
        <f t="shared" si="194"/>
        <v>0</v>
      </c>
      <c r="BG226" s="20">
        <f t="shared" si="195"/>
        <v>0</v>
      </c>
      <c r="BH226" s="116">
        <f t="shared" si="195"/>
        <v>0</v>
      </c>
    </row>
    <row r="227" spans="1:60" ht="15" x14ac:dyDescent="0.25">
      <c r="A227" s="66" t="str">
        <f>IF(LARGE($A$11:A226,1)=$F$2,"",A226+1)</f>
        <v/>
      </c>
      <c r="B227" s="27" t="str">
        <f t="shared" si="154"/>
        <v/>
      </c>
      <c r="C227" s="28" t="str">
        <f t="shared" si="181"/>
        <v/>
      </c>
      <c r="D227" s="28" t="str">
        <f t="shared" si="155"/>
        <v/>
      </c>
      <c r="E227" s="28" t="str">
        <f t="shared" si="156"/>
        <v/>
      </c>
      <c r="F227" s="29" t="str">
        <f t="shared" si="157"/>
        <v/>
      </c>
      <c r="G227" s="29" t="str">
        <f t="shared" si="158"/>
        <v/>
      </c>
      <c r="H227" s="30" t="str">
        <f t="shared" si="159"/>
        <v/>
      </c>
      <c r="I227" s="30" t="str">
        <f t="shared" si="160"/>
        <v/>
      </c>
      <c r="J227" s="30" t="str">
        <f>IF(A227="","",H227+CUSTOS!B227)</f>
        <v/>
      </c>
      <c r="K227" s="30" t="str">
        <f t="shared" si="182"/>
        <v/>
      </c>
      <c r="L227" s="30" t="str">
        <f t="shared" si="183"/>
        <v/>
      </c>
      <c r="M227" s="30" t="str">
        <f t="shared" si="184"/>
        <v/>
      </c>
      <c r="N227" s="30" t="str">
        <f t="shared" si="161"/>
        <v/>
      </c>
      <c r="O227" s="31" t="str">
        <f t="shared" si="185"/>
        <v/>
      </c>
      <c r="P227" s="32"/>
      <c r="Q227" s="33" t="str">
        <f t="shared" si="162"/>
        <v/>
      </c>
      <c r="R227" s="33" t="str">
        <f t="shared" si="163"/>
        <v/>
      </c>
      <c r="S227" s="33" t="str">
        <f t="shared" si="164"/>
        <v/>
      </c>
      <c r="T227" s="33" t="str">
        <f t="shared" si="165"/>
        <v/>
      </c>
      <c r="U227" s="33" t="str">
        <f t="shared" si="166"/>
        <v/>
      </c>
      <c r="V227" s="33" t="str">
        <f t="shared" si="167"/>
        <v/>
      </c>
      <c r="X227" s="33" t="str">
        <f t="shared" si="153"/>
        <v/>
      </c>
      <c r="Y227" s="30" t="str">
        <f t="shared" si="168"/>
        <v/>
      </c>
      <c r="Z227" s="30" t="str">
        <f t="shared" si="169"/>
        <v/>
      </c>
      <c r="AA227" s="30" t="str">
        <f t="shared" si="170"/>
        <v/>
      </c>
      <c r="AB227" s="30" t="str">
        <f t="shared" si="171"/>
        <v/>
      </c>
      <c r="AD227" s="33" t="str">
        <f t="shared" si="172"/>
        <v/>
      </c>
      <c r="AE227" s="30" t="str">
        <f t="shared" si="173"/>
        <v/>
      </c>
      <c r="AF227" s="30" t="str">
        <f t="shared" si="174"/>
        <v/>
      </c>
      <c r="AG227" s="30" t="str">
        <f t="shared" si="175"/>
        <v/>
      </c>
      <c r="AH227" s="30" t="str">
        <f t="shared" si="176"/>
        <v/>
      </c>
      <c r="AJ227" s="85" t="str">
        <f t="shared" si="186"/>
        <v/>
      </c>
      <c r="AK227" s="86" t="str">
        <f t="shared" si="196"/>
        <v/>
      </c>
      <c r="AL227" s="86" t="str">
        <f t="shared" si="197"/>
        <v/>
      </c>
      <c r="AM227" s="86" t="str">
        <f t="shared" si="198"/>
        <v/>
      </c>
      <c r="AN227" s="86" t="str">
        <f t="shared" si="199"/>
        <v/>
      </c>
      <c r="AO227" s="86" t="str">
        <f t="shared" si="200"/>
        <v/>
      </c>
      <c r="AQ227" s="33" t="str">
        <f t="shared" si="177"/>
        <v/>
      </c>
      <c r="AR227" s="30" t="str">
        <f t="shared" si="178"/>
        <v/>
      </c>
      <c r="AU227" s="20">
        <f t="shared" si="179"/>
        <v>0</v>
      </c>
      <c r="AV227" s="20">
        <f t="shared" si="180"/>
        <v>0</v>
      </c>
      <c r="AW227" s="19">
        <f t="shared" si="187"/>
        <v>0</v>
      </c>
      <c r="AX227" s="19">
        <f t="shared" si="188"/>
        <v>0</v>
      </c>
      <c r="AY227" s="19">
        <f t="shared" si="189"/>
        <v>0</v>
      </c>
      <c r="AZ227" s="19">
        <f t="shared" si="190"/>
        <v>0</v>
      </c>
      <c r="BA227" s="19">
        <f t="shared" si="191"/>
        <v>0</v>
      </c>
      <c r="BB227" s="19">
        <f t="shared" si="192"/>
        <v>0</v>
      </c>
      <c r="BC227" s="19">
        <f t="shared" si="193"/>
        <v>0</v>
      </c>
      <c r="BD227" s="19">
        <f>-IF(CUSTOS!B227="",0,CUSTOS!B227)</f>
        <v>0</v>
      </c>
      <c r="BF227" s="20">
        <f t="shared" si="194"/>
        <v>0</v>
      </c>
      <c r="BG227" s="20">
        <f t="shared" si="195"/>
        <v>0</v>
      </c>
      <c r="BH227" s="116">
        <f t="shared" si="195"/>
        <v>0</v>
      </c>
    </row>
    <row r="228" spans="1:60" ht="15" x14ac:dyDescent="0.25">
      <c r="A228" s="66" t="str">
        <f>IF(LARGE($A$11:A227,1)=$F$2,"",A227+1)</f>
        <v/>
      </c>
      <c r="B228" s="27" t="str">
        <f t="shared" si="154"/>
        <v/>
      </c>
      <c r="C228" s="28" t="str">
        <f t="shared" si="181"/>
        <v/>
      </c>
      <c r="D228" s="28" t="str">
        <f t="shared" si="155"/>
        <v/>
      </c>
      <c r="E228" s="28" t="str">
        <f t="shared" si="156"/>
        <v/>
      </c>
      <c r="F228" s="29" t="str">
        <f t="shared" si="157"/>
        <v/>
      </c>
      <c r="G228" s="29" t="str">
        <f t="shared" si="158"/>
        <v/>
      </c>
      <c r="H228" s="30" t="str">
        <f t="shared" si="159"/>
        <v/>
      </c>
      <c r="I228" s="30" t="str">
        <f t="shared" si="160"/>
        <v/>
      </c>
      <c r="J228" s="30" t="str">
        <f>IF(A228="","",H228+CUSTOS!B228)</f>
        <v/>
      </c>
      <c r="K228" s="30" t="str">
        <f t="shared" si="182"/>
        <v/>
      </c>
      <c r="L228" s="30" t="str">
        <f t="shared" si="183"/>
        <v/>
      </c>
      <c r="M228" s="30" t="str">
        <f t="shared" si="184"/>
        <v/>
      </c>
      <c r="N228" s="30" t="str">
        <f t="shared" si="161"/>
        <v/>
      </c>
      <c r="O228" s="31" t="str">
        <f t="shared" si="185"/>
        <v/>
      </c>
      <c r="P228" s="32"/>
      <c r="Q228" s="33" t="str">
        <f t="shared" si="162"/>
        <v/>
      </c>
      <c r="R228" s="33" t="str">
        <f t="shared" si="163"/>
        <v/>
      </c>
      <c r="S228" s="33" t="str">
        <f t="shared" si="164"/>
        <v/>
      </c>
      <c r="T228" s="33" t="str">
        <f t="shared" si="165"/>
        <v/>
      </c>
      <c r="U228" s="33" t="str">
        <f t="shared" si="166"/>
        <v/>
      </c>
      <c r="V228" s="33" t="str">
        <f t="shared" si="167"/>
        <v/>
      </c>
      <c r="X228" s="33" t="str">
        <f t="shared" si="153"/>
        <v/>
      </c>
      <c r="Y228" s="30" t="str">
        <f t="shared" si="168"/>
        <v/>
      </c>
      <c r="Z228" s="30" t="str">
        <f t="shared" si="169"/>
        <v/>
      </c>
      <c r="AA228" s="30" t="str">
        <f t="shared" si="170"/>
        <v/>
      </c>
      <c r="AB228" s="30" t="str">
        <f t="shared" si="171"/>
        <v/>
      </c>
      <c r="AD228" s="33" t="str">
        <f t="shared" si="172"/>
        <v/>
      </c>
      <c r="AE228" s="30" t="str">
        <f t="shared" si="173"/>
        <v/>
      </c>
      <c r="AF228" s="30" t="str">
        <f t="shared" si="174"/>
        <v/>
      </c>
      <c r="AG228" s="30" t="str">
        <f t="shared" si="175"/>
        <v/>
      </c>
      <c r="AH228" s="30" t="str">
        <f t="shared" si="176"/>
        <v/>
      </c>
      <c r="AJ228" s="85" t="str">
        <f t="shared" si="186"/>
        <v/>
      </c>
      <c r="AK228" s="86" t="str">
        <f t="shared" si="196"/>
        <v/>
      </c>
      <c r="AL228" s="86" t="str">
        <f t="shared" si="197"/>
        <v/>
      </c>
      <c r="AM228" s="86" t="str">
        <f t="shared" si="198"/>
        <v/>
      </c>
      <c r="AN228" s="86" t="str">
        <f t="shared" si="199"/>
        <v/>
      </c>
      <c r="AO228" s="86" t="str">
        <f t="shared" si="200"/>
        <v/>
      </c>
      <c r="AQ228" s="33" t="str">
        <f t="shared" si="177"/>
        <v/>
      </c>
      <c r="AR228" s="30" t="str">
        <f t="shared" si="178"/>
        <v/>
      </c>
      <c r="AU228" s="20">
        <f t="shared" si="179"/>
        <v>0</v>
      </c>
      <c r="AV228" s="20">
        <f t="shared" si="180"/>
        <v>0</v>
      </c>
      <c r="AW228" s="19">
        <f t="shared" si="187"/>
        <v>0</v>
      </c>
      <c r="AX228" s="19">
        <f t="shared" si="188"/>
        <v>0</v>
      </c>
      <c r="AY228" s="19">
        <f t="shared" si="189"/>
        <v>0</v>
      </c>
      <c r="AZ228" s="19">
        <f t="shared" si="190"/>
        <v>0</v>
      </c>
      <c r="BA228" s="19">
        <f t="shared" si="191"/>
        <v>0</v>
      </c>
      <c r="BB228" s="19">
        <f t="shared" si="192"/>
        <v>0</v>
      </c>
      <c r="BC228" s="19">
        <f t="shared" si="193"/>
        <v>0</v>
      </c>
      <c r="BD228" s="19">
        <f>-IF(CUSTOS!B228="",0,CUSTOS!B228)</f>
        <v>0</v>
      </c>
      <c r="BF228" s="20">
        <f t="shared" si="194"/>
        <v>0</v>
      </c>
      <c r="BG228" s="20">
        <f t="shared" si="195"/>
        <v>0</v>
      </c>
      <c r="BH228" s="116">
        <f t="shared" si="195"/>
        <v>0</v>
      </c>
    </row>
    <row r="229" spans="1:60" ht="15" x14ac:dyDescent="0.25">
      <c r="A229" s="66" t="str">
        <f>IF(LARGE($A$11:A228,1)=$F$2,"",A228+1)</f>
        <v/>
      </c>
      <c r="B229" s="27" t="str">
        <f t="shared" si="154"/>
        <v/>
      </c>
      <c r="C229" s="28" t="str">
        <f t="shared" si="181"/>
        <v/>
      </c>
      <c r="D229" s="28" t="str">
        <f t="shared" si="155"/>
        <v/>
      </c>
      <c r="E229" s="28" t="str">
        <f t="shared" si="156"/>
        <v/>
      </c>
      <c r="F229" s="29" t="str">
        <f t="shared" si="157"/>
        <v/>
      </c>
      <c r="G229" s="29" t="str">
        <f t="shared" si="158"/>
        <v/>
      </c>
      <c r="H229" s="30" t="str">
        <f t="shared" si="159"/>
        <v/>
      </c>
      <c r="I229" s="30" t="str">
        <f t="shared" si="160"/>
        <v/>
      </c>
      <c r="J229" s="30" t="str">
        <f>IF(A229="","",H229+CUSTOS!B229)</f>
        <v/>
      </c>
      <c r="K229" s="30" t="str">
        <f t="shared" si="182"/>
        <v/>
      </c>
      <c r="L229" s="30" t="str">
        <f t="shared" si="183"/>
        <v/>
      </c>
      <c r="M229" s="30" t="str">
        <f t="shared" si="184"/>
        <v/>
      </c>
      <c r="N229" s="30" t="str">
        <f t="shared" si="161"/>
        <v/>
      </c>
      <c r="O229" s="31" t="str">
        <f t="shared" si="185"/>
        <v/>
      </c>
      <c r="P229" s="32"/>
      <c r="Q229" s="33" t="str">
        <f t="shared" si="162"/>
        <v/>
      </c>
      <c r="R229" s="33" t="str">
        <f t="shared" si="163"/>
        <v/>
      </c>
      <c r="S229" s="33" t="str">
        <f t="shared" si="164"/>
        <v/>
      </c>
      <c r="T229" s="33" t="str">
        <f t="shared" si="165"/>
        <v/>
      </c>
      <c r="U229" s="33" t="str">
        <f t="shared" si="166"/>
        <v/>
      </c>
      <c r="V229" s="33" t="str">
        <f t="shared" si="167"/>
        <v/>
      </c>
      <c r="X229" s="33" t="str">
        <f t="shared" si="153"/>
        <v/>
      </c>
      <c r="Y229" s="30" t="str">
        <f t="shared" si="168"/>
        <v/>
      </c>
      <c r="Z229" s="30" t="str">
        <f t="shared" si="169"/>
        <v/>
      </c>
      <c r="AA229" s="30" t="str">
        <f t="shared" si="170"/>
        <v/>
      </c>
      <c r="AB229" s="30" t="str">
        <f t="shared" si="171"/>
        <v/>
      </c>
      <c r="AD229" s="33" t="str">
        <f t="shared" si="172"/>
        <v/>
      </c>
      <c r="AE229" s="30" t="str">
        <f t="shared" si="173"/>
        <v/>
      </c>
      <c r="AF229" s="30" t="str">
        <f t="shared" si="174"/>
        <v/>
      </c>
      <c r="AG229" s="30" t="str">
        <f t="shared" si="175"/>
        <v/>
      </c>
      <c r="AH229" s="30" t="str">
        <f t="shared" si="176"/>
        <v/>
      </c>
      <c r="AJ229" s="85" t="str">
        <f t="shared" si="186"/>
        <v/>
      </c>
      <c r="AK229" s="86" t="str">
        <f t="shared" si="196"/>
        <v/>
      </c>
      <c r="AL229" s="86" t="str">
        <f t="shared" si="197"/>
        <v/>
      </c>
      <c r="AM229" s="86" t="str">
        <f t="shared" si="198"/>
        <v/>
      </c>
      <c r="AN229" s="86" t="str">
        <f t="shared" si="199"/>
        <v/>
      </c>
      <c r="AO229" s="86" t="str">
        <f t="shared" si="200"/>
        <v/>
      </c>
      <c r="AQ229" s="33" t="str">
        <f t="shared" si="177"/>
        <v/>
      </c>
      <c r="AR229" s="30" t="str">
        <f t="shared" si="178"/>
        <v/>
      </c>
      <c r="AU229" s="20">
        <f t="shared" si="179"/>
        <v>0</v>
      </c>
      <c r="AV229" s="20">
        <f t="shared" si="180"/>
        <v>0</v>
      </c>
      <c r="AW229" s="19">
        <f t="shared" si="187"/>
        <v>0</v>
      </c>
      <c r="AX229" s="19">
        <f t="shared" si="188"/>
        <v>0</v>
      </c>
      <c r="AY229" s="19">
        <f t="shared" si="189"/>
        <v>0</v>
      </c>
      <c r="AZ229" s="19">
        <f t="shared" si="190"/>
        <v>0</v>
      </c>
      <c r="BA229" s="19">
        <f t="shared" si="191"/>
        <v>0</v>
      </c>
      <c r="BB229" s="19">
        <f t="shared" si="192"/>
        <v>0</v>
      </c>
      <c r="BC229" s="19">
        <f t="shared" si="193"/>
        <v>0</v>
      </c>
      <c r="BD229" s="19">
        <f>-IF(CUSTOS!B229="",0,CUSTOS!B229)</f>
        <v>0</v>
      </c>
      <c r="BF229" s="20">
        <f t="shared" si="194"/>
        <v>0</v>
      </c>
      <c r="BG229" s="20">
        <f t="shared" si="195"/>
        <v>0</v>
      </c>
      <c r="BH229" s="116">
        <f t="shared" si="195"/>
        <v>0</v>
      </c>
    </row>
    <row r="230" spans="1:60" ht="15" x14ac:dyDescent="0.25">
      <c r="A230" s="66" t="str">
        <f>IF(LARGE($A$11:A229,1)=$F$2,"",A229+1)</f>
        <v/>
      </c>
      <c r="B230" s="27" t="str">
        <f t="shared" si="154"/>
        <v/>
      </c>
      <c r="C230" s="28" t="str">
        <f t="shared" si="181"/>
        <v/>
      </c>
      <c r="D230" s="28" t="str">
        <f t="shared" si="155"/>
        <v/>
      </c>
      <c r="E230" s="28" t="str">
        <f t="shared" si="156"/>
        <v/>
      </c>
      <c r="F230" s="29" t="str">
        <f t="shared" si="157"/>
        <v/>
      </c>
      <c r="G230" s="29" t="str">
        <f t="shared" si="158"/>
        <v/>
      </c>
      <c r="H230" s="30" t="str">
        <f t="shared" si="159"/>
        <v/>
      </c>
      <c r="I230" s="30" t="str">
        <f t="shared" si="160"/>
        <v/>
      </c>
      <c r="J230" s="30" t="str">
        <f>IF(A230="","",H230+CUSTOS!B230)</f>
        <v/>
      </c>
      <c r="K230" s="30" t="str">
        <f t="shared" si="182"/>
        <v/>
      </c>
      <c r="L230" s="30" t="str">
        <f t="shared" si="183"/>
        <v/>
      </c>
      <c r="M230" s="30" t="str">
        <f t="shared" si="184"/>
        <v/>
      </c>
      <c r="N230" s="30" t="str">
        <f t="shared" si="161"/>
        <v/>
      </c>
      <c r="O230" s="31" t="str">
        <f t="shared" si="185"/>
        <v/>
      </c>
      <c r="P230" s="32"/>
      <c r="Q230" s="33" t="str">
        <f t="shared" si="162"/>
        <v/>
      </c>
      <c r="R230" s="33" t="str">
        <f t="shared" si="163"/>
        <v/>
      </c>
      <c r="S230" s="33" t="str">
        <f t="shared" si="164"/>
        <v/>
      </c>
      <c r="T230" s="33" t="str">
        <f t="shared" si="165"/>
        <v/>
      </c>
      <c r="U230" s="33" t="str">
        <f t="shared" si="166"/>
        <v/>
      </c>
      <c r="V230" s="33" t="str">
        <f t="shared" si="167"/>
        <v/>
      </c>
      <c r="X230" s="33" t="str">
        <f t="shared" si="153"/>
        <v/>
      </c>
      <c r="Y230" s="30" t="str">
        <f t="shared" si="168"/>
        <v/>
      </c>
      <c r="Z230" s="30" t="str">
        <f t="shared" si="169"/>
        <v/>
      </c>
      <c r="AA230" s="30" t="str">
        <f t="shared" si="170"/>
        <v/>
      </c>
      <c r="AB230" s="30" t="str">
        <f t="shared" si="171"/>
        <v/>
      </c>
      <c r="AD230" s="33" t="str">
        <f t="shared" si="172"/>
        <v/>
      </c>
      <c r="AE230" s="30" t="str">
        <f t="shared" si="173"/>
        <v/>
      </c>
      <c r="AF230" s="30" t="str">
        <f t="shared" si="174"/>
        <v/>
      </c>
      <c r="AG230" s="30" t="str">
        <f t="shared" si="175"/>
        <v/>
      </c>
      <c r="AH230" s="30" t="str">
        <f t="shared" si="176"/>
        <v/>
      </c>
      <c r="AJ230" s="85" t="str">
        <f t="shared" si="186"/>
        <v/>
      </c>
      <c r="AK230" s="86" t="str">
        <f t="shared" si="196"/>
        <v/>
      </c>
      <c r="AL230" s="86" t="str">
        <f t="shared" si="197"/>
        <v/>
      </c>
      <c r="AM230" s="86" t="str">
        <f t="shared" si="198"/>
        <v/>
      </c>
      <c r="AN230" s="86" t="str">
        <f t="shared" si="199"/>
        <v/>
      </c>
      <c r="AO230" s="86" t="str">
        <f t="shared" si="200"/>
        <v/>
      </c>
      <c r="AQ230" s="33" t="str">
        <f t="shared" si="177"/>
        <v/>
      </c>
      <c r="AR230" s="30" t="str">
        <f t="shared" si="178"/>
        <v/>
      </c>
      <c r="AU230" s="20">
        <f t="shared" si="179"/>
        <v>0</v>
      </c>
      <c r="AV230" s="20">
        <f t="shared" si="180"/>
        <v>0</v>
      </c>
      <c r="AW230" s="19">
        <f t="shared" si="187"/>
        <v>0</v>
      </c>
      <c r="AX230" s="19">
        <f t="shared" si="188"/>
        <v>0</v>
      </c>
      <c r="AY230" s="19">
        <f t="shared" si="189"/>
        <v>0</v>
      </c>
      <c r="AZ230" s="19">
        <f t="shared" si="190"/>
        <v>0</v>
      </c>
      <c r="BA230" s="19">
        <f t="shared" si="191"/>
        <v>0</v>
      </c>
      <c r="BB230" s="19">
        <f t="shared" si="192"/>
        <v>0</v>
      </c>
      <c r="BC230" s="19">
        <f t="shared" si="193"/>
        <v>0</v>
      </c>
      <c r="BD230" s="19">
        <f>-IF(CUSTOS!B230="",0,CUSTOS!B230)</f>
        <v>0</v>
      </c>
      <c r="BF230" s="20">
        <f t="shared" si="194"/>
        <v>0</v>
      </c>
      <c r="BG230" s="20">
        <f t="shared" si="195"/>
        <v>0</v>
      </c>
      <c r="BH230" s="116">
        <f t="shared" si="195"/>
        <v>0</v>
      </c>
    </row>
    <row r="231" spans="1:60" ht="15" x14ac:dyDescent="0.25">
      <c r="A231" s="66" t="str">
        <f>IF(LARGE($A$11:A230,1)=$F$2,"",A230+1)</f>
        <v/>
      </c>
      <c r="B231" s="27" t="str">
        <f t="shared" si="154"/>
        <v/>
      </c>
      <c r="C231" s="28" t="str">
        <f t="shared" si="181"/>
        <v/>
      </c>
      <c r="D231" s="28" t="str">
        <f t="shared" si="155"/>
        <v/>
      </c>
      <c r="E231" s="28" t="str">
        <f t="shared" si="156"/>
        <v/>
      </c>
      <c r="F231" s="29" t="str">
        <f t="shared" si="157"/>
        <v/>
      </c>
      <c r="G231" s="29" t="str">
        <f t="shared" si="158"/>
        <v/>
      </c>
      <c r="H231" s="30" t="str">
        <f t="shared" si="159"/>
        <v/>
      </c>
      <c r="I231" s="30" t="str">
        <f t="shared" si="160"/>
        <v/>
      </c>
      <c r="J231" s="30" t="str">
        <f>IF(A231="","",H231+CUSTOS!B231)</f>
        <v/>
      </c>
      <c r="K231" s="30" t="str">
        <f t="shared" si="182"/>
        <v/>
      </c>
      <c r="L231" s="30" t="str">
        <f t="shared" si="183"/>
        <v/>
      </c>
      <c r="M231" s="30" t="str">
        <f t="shared" si="184"/>
        <v/>
      </c>
      <c r="N231" s="30" t="str">
        <f t="shared" si="161"/>
        <v/>
      </c>
      <c r="O231" s="31" t="str">
        <f t="shared" si="185"/>
        <v/>
      </c>
      <c r="P231" s="32"/>
      <c r="Q231" s="33" t="str">
        <f t="shared" si="162"/>
        <v/>
      </c>
      <c r="R231" s="33" t="str">
        <f t="shared" si="163"/>
        <v/>
      </c>
      <c r="S231" s="33" t="str">
        <f t="shared" si="164"/>
        <v/>
      </c>
      <c r="T231" s="33" t="str">
        <f t="shared" si="165"/>
        <v/>
      </c>
      <c r="U231" s="33" t="str">
        <f t="shared" si="166"/>
        <v/>
      </c>
      <c r="V231" s="33" t="str">
        <f t="shared" si="167"/>
        <v/>
      </c>
      <c r="X231" s="33" t="str">
        <f t="shared" si="153"/>
        <v/>
      </c>
      <c r="Y231" s="30" t="str">
        <f t="shared" si="168"/>
        <v/>
      </c>
      <c r="Z231" s="30" t="str">
        <f t="shared" si="169"/>
        <v/>
      </c>
      <c r="AA231" s="30" t="str">
        <f t="shared" si="170"/>
        <v/>
      </c>
      <c r="AB231" s="30" t="str">
        <f t="shared" si="171"/>
        <v/>
      </c>
      <c r="AD231" s="33" t="str">
        <f t="shared" si="172"/>
        <v/>
      </c>
      <c r="AE231" s="30" t="str">
        <f t="shared" si="173"/>
        <v/>
      </c>
      <c r="AF231" s="30" t="str">
        <f t="shared" si="174"/>
        <v/>
      </c>
      <c r="AG231" s="30" t="str">
        <f t="shared" si="175"/>
        <v/>
      </c>
      <c r="AH231" s="30" t="str">
        <f t="shared" si="176"/>
        <v/>
      </c>
      <c r="AJ231" s="85" t="str">
        <f t="shared" si="186"/>
        <v/>
      </c>
      <c r="AK231" s="86" t="str">
        <f t="shared" si="196"/>
        <v/>
      </c>
      <c r="AL231" s="86" t="str">
        <f t="shared" si="197"/>
        <v/>
      </c>
      <c r="AM231" s="86" t="str">
        <f t="shared" si="198"/>
        <v/>
      </c>
      <c r="AN231" s="86" t="str">
        <f t="shared" si="199"/>
        <v/>
      </c>
      <c r="AO231" s="86" t="str">
        <f t="shared" si="200"/>
        <v/>
      </c>
      <c r="AQ231" s="33" t="str">
        <f t="shared" si="177"/>
        <v/>
      </c>
      <c r="AR231" s="30" t="str">
        <f t="shared" si="178"/>
        <v/>
      </c>
      <c r="AU231" s="20">
        <f t="shared" si="179"/>
        <v>0</v>
      </c>
      <c r="AV231" s="20">
        <f t="shared" si="180"/>
        <v>0</v>
      </c>
      <c r="AW231" s="19">
        <f t="shared" si="187"/>
        <v>0</v>
      </c>
      <c r="AX231" s="19">
        <f t="shared" si="188"/>
        <v>0</v>
      </c>
      <c r="AY231" s="19">
        <f t="shared" si="189"/>
        <v>0</v>
      </c>
      <c r="AZ231" s="19">
        <f t="shared" si="190"/>
        <v>0</v>
      </c>
      <c r="BA231" s="19">
        <f t="shared" si="191"/>
        <v>0</v>
      </c>
      <c r="BB231" s="19">
        <f t="shared" si="192"/>
        <v>0</v>
      </c>
      <c r="BC231" s="19">
        <f t="shared" si="193"/>
        <v>0</v>
      </c>
      <c r="BD231" s="19">
        <f>-IF(CUSTOS!B231="",0,CUSTOS!B231)</f>
        <v>0</v>
      </c>
      <c r="BF231" s="20">
        <f t="shared" si="194"/>
        <v>0</v>
      </c>
      <c r="BG231" s="20">
        <f t="shared" si="195"/>
        <v>0</v>
      </c>
      <c r="BH231" s="116">
        <f t="shared" si="195"/>
        <v>0</v>
      </c>
    </row>
    <row r="232" spans="1:60" ht="15" x14ac:dyDescent="0.25">
      <c r="A232" s="66" t="str">
        <f>IF(LARGE($A$11:A231,1)=$F$2,"",A231+1)</f>
        <v/>
      </c>
      <c r="B232" s="27" t="str">
        <f t="shared" si="154"/>
        <v/>
      </c>
      <c r="C232" s="28" t="str">
        <f t="shared" si="181"/>
        <v/>
      </c>
      <c r="D232" s="28" t="str">
        <f t="shared" si="155"/>
        <v/>
      </c>
      <c r="E232" s="28" t="str">
        <f t="shared" si="156"/>
        <v/>
      </c>
      <c r="F232" s="29" t="str">
        <f t="shared" si="157"/>
        <v/>
      </c>
      <c r="G232" s="29" t="str">
        <f t="shared" si="158"/>
        <v/>
      </c>
      <c r="H232" s="30" t="str">
        <f t="shared" si="159"/>
        <v/>
      </c>
      <c r="I232" s="30" t="str">
        <f t="shared" si="160"/>
        <v/>
      </c>
      <c r="J232" s="30" t="str">
        <f>IF(A232="","",H232+CUSTOS!B232)</f>
        <v/>
      </c>
      <c r="K232" s="30" t="str">
        <f t="shared" si="182"/>
        <v/>
      </c>
      <c r="L232" s="30" t="str">
        <f t="shared" si="183"/>
        <v/>
      </c>
      <c r="M232" s="30" t="str">
        <f t="shared" si="184"/>
        <v/>
      </c>
      <c r="N232" s="30" t="str">
        <f t="shared" si="161"/>
        <v/>
      </c>
      <c r="O232" s="31" t="str">
        <f t="shared" si="185"/>
        <v/>
      </c>
      <c r="P232" s="32"/>
      <c r="Q232" s="33" t="str">
        <f t="shared" si="162"/>
        <v/>
      </c>
      <c r="R232" s="33" t="str">
        <f t="shared" si="163"/>
        <v/>
      </c>
      <c r="S232" s="33" t="str">
        <f t="shared" si="164"/>
        <v/>
      </c>
      <c r="T232" s="33" t="str">
        <f t="shared" si="165"/>
        <v/>
      </c>
      <c r="U232" s="33" t="str">
        <f t="shared" si="166"/>
        <v/>
      </c>
      <c r="V232" s="33" t="str">
        <f t="shared" si="167"/>
        <v/>
      </c>
      <c r="X232" s="33" t="str">
        <f t="shared" si="153"/>
        <v/>
      </c>
      <c r="Y232" s="30" t="str">
        <f t="shared" si="168"/>
        <v/>
      </c>
      <c r="Z232" s="30" t="str">
        <f t="shared" si="169"/>
        <v/>
      </c>
      <c r="AA232" s="30" t="str">
        <f t="shared" si="170"/>
        <v/>
      </c>
      <c r="AB232" s="30" t="str">
        <f t="shared" si="171"/>
        <v/>
      </c>
      <c r="AD232" s="33" t="str">
        <f t="shared" si="172"/>
        <v/>
      </c>
      <c r="AE232" s="30" t="str">
        <f t="shared" si="173"/>
        <v/>
      </c>
      <c r="AF232" s="30" t="str">
        <f t="shared" si="174"/>
        <v/>
      </c>
      <c r="AG232" s="30" t="str">
        <f t="shared" si="175"/>
        <v/>
      </c>
      <c r="AH232" s="30" t="str">
        <f t="shared" si="176"/>
        <v/>
      </c>
      <c r="AJ232" s="85" t="str">
        <f t="shared" si="186"/>
        <v/>
      </c>
      <c r="AK232" s="86" t="str">
        <f t="shared" si="196"/>
        <v/>
      </c>
      <c r="AL232" s="86" t="str">
        <f t="shared" si="197"/>
        <v/>
      </c>
      <c r="AM232" s="86" t="str">
        <f t="shared" si="198"/>
        <v/>
      </c>
      <c r="AN232" s="86" t="str">
        <f t="shared" si="199"/>
        <v/>
      </c>
      <c r="AO232" s="86" t="str">
        <f t="shared" si="200"/>
        <v/>
      </c>
      <c r="AQ232" s="33" t="str">
        <f t="shared" si="177"/>
        <v/>
      </c>
      <c r="AR232" s="30" t="str">
        <f t="shared" si="178"/>
        <v/>
      </c>
      <c r="AU232" s="20">
        <f t="shared" si="179"/>
        <v>0</v>
      </c>
      <c r="AV232" s="20">
        <f t="shared" si="180"/>
        <v>0</v>
      </c>
      <c r="AW232" s="19">
        <f t="shared" si="187"/>
        <v>0</v>
      </c>
      <c r="AX232" s="19">
        <f t="shared" si="188"/>
        <v>0</v>
      </c>
      <c r="AY232" s="19">
        <f t="shared" si="189"/>
        <v>0</v>
      </c>
      <c r="AZ232" s="19">
        <f t="shared" si="190"/>
        <v>0</v>
      </c>
      <c r="BA232" s="19">
        <f t="shared" si="191"/>
        <v>0</v>
      </c>
      <c r="BB232" s="19">
        <f t="shared" si="192"/>
        <v>0</v>
      </c>
      <c r="BC232" s="19">
        <f t="shared" si="193"/>
        <v>0</v>
      </c>
      <c r="BD232" s="19">
        <f>-IF(CUSTOS!B232="",0,CUSTOS!B232)</f>
        <v>0</v>
      </c>
      <c r="BF232" s="20">
        <f t="shared" si="194"/>
        <v>0</v>
      </c>
      <c r="BG232" s="20">
        <f t="shared" si="195"/>
        <v>0</v>
      </c>
      <c r="BH232" s="116">
        <f t="shared" si="195"/>
        <v>0</v>
      </c>
    </row>
    <row r="233" spans="1:60" ht="15" x14ac:dyDescent="0.25">
      <c r="A233" s="66" t="str">
        <f>IF(LARGE($A$11:A232,1)=$F$2,"",A232+1)</f>
        <v/>
      </c>
      <c r="B233" s="27" t="str">
        <f t="shared" si="154"/>
        <v/>
      </c>
      <c r="C233" s="28" t="str">
        <f t="shared" si="181"/>
        <v/>
      </c>
      <c r="D233" s="28" t="str">
        <f t="shared" si="155"/>
        <v/>
      </c>
      <c r="E233" s="28" t="str">
        <f t="shared" si="156"/>
        <v/>
      </c>
      <c r="F233" s="29" t="str">
        <f t="shared" si="157"/>
        <v/>
      </c>
      <c r="G233" s="29" t="str">
        <f t="shared" si="158"/>
        <v/>
      </c>
      <c r="H233" s="30" t="str">
        <f t="shared" si="159"/>
        <v/>
      </c>
      <c r="I233" s="30" t="str">
        <f t="shared" si="160"/>
        <v/>
      </c>
      <c r="J233" s="30" t="str">
        <f>IF(A233="","",H233+CUSTOS!B233)</f>
        <v/>
      </c>
      <c r="K233" s="30" t="str">
        <f t="shared" si="182"/>
        <v/>
      </c>
      <c r="L233" s="30" t="str">
        <f t="shared" si="183"/>
        <v/>
      </c>
      <c r="M233" s="30" t="str">
        <f t="shared" si="184"/>
        <v/>
      </c>
      <c r="N233" s="30" t="str">
        <f t="shared" si="161"/>
        <v/>
      </c>
      <c r="O233" s="31" t="str">
        <f t="shared" si="185"/>
        <v/>
      </c>
      <c r="P233" s="32"/>
      <c r="Q233" s="33" t="str">
        <f t="shared" si="162"/>
        <v/>
      </c>
      <c r="R233" s="33" t="str">
        <f t="shared" si="163"/>
        <v/>
      </c>
      <c r="S233" s="33" t="str">
        <f t="shared" si="164"/>
        <v/>
      </c>
      <c r="T233" s="33" t="str">
        <f t="shared" si="165"/>
        <v/>
      </c>
      <c r="U233" s="33" t="str">
        <f t="shared" si="166"/>
        <v/>
      </c>
      <c r="V233" s="33" t="str">
        <f t="shared" si="167"/>
        <v/>
      </c>
      <c r="X233" s="33" t="str">
        <f t="shared" si="153"/>
        <v/>
      </c>
      <c r="Y233" s="30" t="str">
        <f t="shared" si="168"/>
        <v/>
      </c>
      <c r="Z233" s="30" t="str">
        <f t="shared" si="169"/>
        <v/>
      </c>
      <c r="AA233" s="30" t="str">
        <f t="shared" si="170"/>
        <v/>
      </c>
      <c r="AB233" s="30" t="str">
        <f t="shared" si="171"/>
        <v/>
      </c>
      <c r="AD233" s="33" t="str">
        <f t="shared" si="172"/>
        <v/>
      </c>
      <c r="AE233" s="30" t="str">
        <f t="shared" si="173"/>
        <v/>
      </c>
      <c r="AF233" s="30" t="str">
        <f t="shared" si="174"/>
        <v/>
      </c>
      <c r="AG233" s="30" t="str">
        <f t="shared" si="175"/>
        <v/>
      </c>
      <c r="AH233" s="30" t="str">
        <f t="shared" si="176"/>
        <v/>
      </c>
      <c r="AJ233" s="85" t="str">
        <f t="shared" si="186"/>
        <v/>
      </c>
      <c r="AK233" s="86" t="str">
        <f t="shared" si="196"/>
        <v/>
      </c>
      <c r="AL233" s="86" t="str">
        <f t="shared" si="197"/>
        <v/>
      </c>
      <c r="AM233" s="86" t="str">
        <f t="shared" si="198"/>
        <v/>
      </c>
      <c r="AN233" s="86" t="str">
        <f t="shared" si="199"/>
        <v/>
      </c>
      <c r="AO233" s="86" t="str">
        <f t="shared" si="200"/>
        <v/>
      </c>
      <c r="AQ233" s="33" t="str">
        <f t="shared" si="177"/>
        <v/>
      </c>
      <c r="AR233" s="30" t="str">
        <f t="shared" si="178"/>
        <v/>
      </c>
      <c r="AU233" s="20">
        <f t="shared" si="179"/>
        <v>0</v>
      </c>
      <c r="AV233" s="20">
        <f t="shared" si="180"/>
        <v>0</v>
      </c>
      <c r="AW233" s="19">
        <f t="shared" si="187"/>
        <v>0</v>
      </c>
      <c r="AX233" s="19">
        <f t="shared" si="188"/>
        <v>0</v>
      </c>
      <c r="AY233" s="19">
        <f t="shared" si="189"/>
        <v>0</v>
      </c>
      <c r="AZ233" s="19">
        <f t="shared" si="190"/>
        <v>0</v>
      </c>
      <c r="BA233" s="19">
        <f t="shared" si="191"/>
        <v>0</v>
      </c>
      <c r="BB233" s="19">
        <f t="shared" si="192"/>
        <v>0</v>
      </c>
      <c r="BC233" s="19">
        <f t="shared" si="193"/>
        <v>0</v>
      </c>
      <c r="BD233" s="19">
        <f>-IF(CUSTOS!B233="",0,CUSTOS!B233)</f>
        <v>0</v>
      </c>
      <c r="BF233" s="20">
        <f t="shared" si="194"/>
        <v>0</v>
      </c>
      <c r="BG233" s="20">
        <f t="shared" si="195"/>
        <v>0</v>
      </c>
      <c r="BH233" s="116">
        <f t="shared" si="195"/>
        <v>0</v>
      </c>
    </row>
    <row r="234" spans="1:60" ht="15" x14ac:dyDescent="0.25">
      <c r="A234" s="66" t="str">
        <f>IF(LARGE($A$11:A233,1)=$F$2,"",A233+1)</f>
        <v/>
      </c>
      <c r="B234" s="27" t="str">
        <f t="shared" si="154"/>
        <v/>
      </c>
      <c r="C234" s="28" t="str">
        <f t="shared" si="181"/>
        <v/>
      </c>
      <c r="D234" s="28" t="str">
        <f t="shared" si="155"/>
        <v/>
      </c>
      <c r="E234" s="28" t="str">
        <f t="shared" si="156"/>
        <v/>
      </c>
      <c r="F234" s="29" t="str">
        <f t="shared" si="157"/>
        <v/>
      </c>
      <c r="G234" s="29" t="str">
        <f t="shared" si="158"/>
        <v/>
      </c>
      <c r="H234" s="30" t="str">
        <f t="shared" si="159"/>
        <v/>
      </c>
      <c r="I234" s="30" t="str">
        <f t="shared" si="160"/>
        <v/>
      </c>
      <c r="J234" s="30" t="str">
        <f>IF(A234="","",H234+CUSTOS!B234)</f>
        <v/>
      </c>
      <c r="K234" s="30" t="str">
        <f t="shared" si="182"/>
        <v/>
      </c>
      <c r="L234" s="30" t="str">
        <f t="shared" si="183"/>
        <v/>
      </c>
      <c r="M234" s="30" t="str">
        <f t="shared" si="184"/>
        <v/>
      </c>
      <c r="N234" s="30" t="str">
        <f t="shared" si="161"/>
        <v/>
      </c>
      <c r="O234" s="31" t="str">
        <f t="shared" si="185"/>
        <v/>
      </c>
      <c r="P234" s="32"/>
      <c r="Q234" s="33" t="str">
        <f t="shared" si="162"/>
        <v/>
      </c>
      <c r="R234" s="33" t="str">
        <f t="shared" si="163"/>
        <v/>
      </c>
      <c r="S234" s="33" t="str">
        <f t="shared" si="164"/>
        <v/>
      </c>
      <c r="T234" s="33" t="str">
        <f t="shared" si="165"/>
        <v/>
      </c>
      <c r="U234" s="33" t="str">
        <f t="shared" si="166"/>
        <v/>
      </c>
      <c r="V234" s="33" t="str">
        <f t="shared" si="167"/>
        <v/>
      </c>
      <c r="X234" s="33" t="str">
        <f t="shared" si="153"/>
        <v/>
      </c>
      <c r="Y234" s="30" t="str">
        <f t="shared" si="168"/>
        <v/>
      </c>
      <c r="Z234" s="30" t="str">
        <f t="shared" si="169"/>
        <v/>
      </c>
      <c r="AA234" s="30" t="str">
        <f t="shared" si="170"/>
        <v/>
      </c>
      <c r="AB234" s="30" t="str">
        <f t="shared" si="171"/>
        <v/>
      </c>
      <c r="AD234" s="33" t="str">
        <f t="shared" si="172"/>
        <v/>
      </c>
      <c r="AE234" s="30" t="str">
        <f t="shared" si="173"/>
        <v/>
      </c>
      <c r="AF234" s="30" t="str">
        <f t="shared" si="174"/>
        <v/>
      </c>
      <c r="AG234" s="30" t="str">
        <f t="shared" si="175"/>
        <v/>
      </c>
      <c r="AH234" s="30" t="str">
        <f t="shared" si="176"/>
        <v/>
      </c>
      <c r="AJ234" s="85" t="str">
        <f t="shared" si="186"/>
        <v/>
      </c>
      <c r="AK234" s="86" t="str">
        <f t="shared" si="196"/>
        <v/>
      </c>
      <c r="AL234" s="86" t="str">
        <f t="shared" si="197"/>
        <v/>
      </c>
      <c r="AM234" s="86" t="str">
        <f t="shared" si="198"/>
        <v/>
      </c>
      <c r="AN234" s="86" t="str">
        <f t="shared" si="199"/>
        <v/>
      </c>
      <c r="AO234" s="86" t="str">
        <f t="shared" si="200"/>
        <v/>
      </c>
      <c r="AQ234" s="33" t="str">
        <f t="shared" si="177"/>
        <v/>
      </c>
      <c r="AR234" s="30" t="str">
        <f t="shared" si="178"/>
        <v/>
      </c>
      <c r="AU234" s="20">
        <f t="shared" si="179"/>
        <v>0</v>
      </c>
      <c r="AV234" s="20">
        <f t="shared" si="180"/>
        <v>0</v>
      </c>
      <c r="AW234" s="19">
        <f t="shared" si="187"/>
        <v>0</v>
      </c>
      <c r="AX234" s="19">
        <f t="shared" si="188"/>
        <v>0</v>
      </c>
      <c r="AY234" s="19">
        <f t="shared" si="189"/>
        <v>0</v>
      </c>
      <c r="AZ234" s="19">
        <f t="shared" si="190"/>
        <v>0</v>
      </c>
      <c r="BA234" s="19">
        <f t="shared" si="191"/>
        <v>0</v>
      </c>
      <c r="BB234" s="19">
        <f t="shared" si="192"/>
        <v>0</v>
      </c>
      <c r="BC234" s="19">
        <f t="shared" si="193"/>
        <v>0</v>
      </c>
      <c r="BD234" s="19">
        <f>-IF(CUSTOS!B234="",0,CUSTOS!B234)</f>
        <v>0</v>
      </c>
      <c r="BF234" s="20">
        <f t="shared" si="194"/>
        <v>0</v>
      </c>
      <c r="BG234" s="20">
        <f t="shared" si="195"/>
        <v>0</v>
      </c>
      <c r="BH234" s="116">
        <f t="shared" si="195"/>
        <v>0</v>
      </c>
    </row>
    <row r="235" spans="1:60" ht="15" x14ac:dyDescent="0.25">
      <c r="A235" s="66" t="str">
        <f>IF(LARGE($A$11:A234,1)=$F$2,"",A234+1)</f>
        <v/>
      </c>
      <c r="B235" s="27" t="str">
        <f t="shared" si="154"/>
        <v/>
      </c>
      <c r="C235" s="28" t="str">
        <f t="shared" si="181"/>
        <v/>
      </c>
      <c r="D235" s="28" t="str">
        <f t="shared" si="155"/>
        <v/>
      </c>
      <c r="E235" s="28" t="str">
        <f t="shared" si="156"/>
        <v/>
      </c>
      <c r="F235" s="29" t="str">
        <f t="shared" si="157"/>
        <v/>
      </c>
      <c r="G235" s="29" t="str">
        <f t="shared" si="158"/>
        <v/>
      </c>
      <c r="H235" s="30" t="str">
        <f t="shared" si="159"/>
        <v/>
      </c>
      <c r="I235" s="30" t="str">
        <f t="shared" si="160"/>
        <v/>
      </c>
      <c r="J235" s="30" t="str">
        <f>IF(A235="","",H235+CUSTOS!B235)</f>
        <v/>
      </c>
      <c r="K235" s="30" t="str">
        <f t="shared" si="182"/>
        <v/>
      </c>
      <c r="L235" s="30" t="str">
        <f t="shared" si="183"/>
        <v/>
      </c>
      <c r="M235" s="30" t="str">
        <f t="shared" si="184"/>
        <v/>
      </c>
      <c r="N235" s="30" t="str">
        <f t="shared" si="161"/>
        <v/>
      </c>
      <c r="O235" s="31" t="str">
        <f t="shared" si="185"/>
        <v/>
      </c>
      <c r="P235" s="32"/>
      <c r="Q235" s="33" t="str">
        <f t="shared" si="162"/>
        <v/>
      </c>
      <c r="R235" s="33" t="str">
        <f t="shared" si="163"/>
        <v/>
      </c>
      <c r="S235" s="33" t="str">
        <f t="shared" si="164"/>
        <v/>
      </c>
      <c r="T235" s="33" t="str">
        <f t="shared" si="165"/>
        <v/>
      </c>
      <c r="U235" s="33" t="str">
        <f t="shared" si="166"/>
        <v/>
      </c>
      <c r="V235" s="33" t="str">
        <f t="shared" si="167"/>
        <v/>
      </c>
      <c r="X235" s="33" t="str">
        <f t="shared" si="153"/>
        <v/>
      </c>
      <c r="Y235" s="30" t="str">
        <f t="shared" si="168"/>
        <v/>
      </c>
      <c r="Z235" s="30" t="str">
        <f t="shared" si="169"/>
        <v/>
      </c>
      <c r="AA235" s="30" t="str">
        <f t="shared" si="170"/>
        <v/>
      </c>
      <c r="AB235" s="30" t="str">
        <f t="shared" si="171"/>
        <v/>
      </c>
      <c r="AD235" s="33" t="str">
        <f t="shared" si="172"/>
        <v/>
      </c>
      <c r="AE235" s="30" t="str">
        <f t="shared" si="173"/>
        <v/>
      </c>
      <c r="AF235" s="30" t="str">
        <f t="shared" si="174"/>
        <v/>
      </c>
      <c r="AG235" s="30" t="str">
        <f t="shared" si="175"/>
        <v/>
      </c>
      <c r="AH235" s="30" t="str">
        <f t="shared" si="176"/>
        <v/>
      </c>
      <c r="AJ235" s="85" t="str">
        <f t="shared" si="186"/>
        <v/>
      </c>
      <c r="AK235" s="86" t="str">
        <f t="shared" si="196"/>
        <v/>
      </c>
      <c r="AL235" s="86" t="str">
        <f t="shared" si="197"/>
        <v/>
      </c>
      <c r="AM235" s="86" t="str">
        <f t="shared" si="198"/>
        <v/>
      </c>
      <c r="AN235" s="86" t="str">
        <f t="shared" si="199"/>
        <v/>
      </c>
      <c r="AO235" s="86" t="str">
        <f t="shared" si="200"/>
        <v/>
      </c>
      <c r="AQ235" s="33" t="str">
        <f t="shared" si="177"/>
        <v/>
      </c>
      <c r="AR235" s="30" t="str">
        <f t="shared" si="178"/>
        <v/>
      </c>
      <c r="AU235" s="20">
        <f t="shared" si="179"/>
        <v>0</v>
      </c>
      <c r="AV235" s="20">
        <f t="shared" si="180"/>
        <v>0</v>
      </c>
      <c r="AW235" s="19">
        <f t="shared" si="187"/>
        <v>0</v>
      </c>
      <c r="AX235" s="19">
        <f t="shared" si="188"/>
        <v>0</v>
      </c>
      <c r="AY235" s="19">
        <f t="shared" si="189"/>
        <v>0</v>
      </c>
      <c r="AZ235" s="19">
        <f t="shared" si="190"/>
        <v>0</v>
      </c>
      <c r="BA235" s="19">
        <f t="shared" si="191"/>
        <v>0</v>
      </c>
      <c r="BB235" s="19">
        <f t="shared" si="192"/>
        <v>0</v>
      </c>
      <c r="BC235" s="19">
        <f t="shared" si="193"/>
        <v>0</v>
      </c>
      <c r="BD235" s="19">
        <f>-IF(CUSTOS!B235="",0,CUSTOS!B235)</f>
        <v>0</v>
      </c>
      <c r="BF235" s="20">
        <f t="shared" si="194"/>
        <v>0</v>
      </c>
      <c r="BG235" s="20">
        <f t="shared" si="195"/>
        <v>0</v>
      </c>
      <c r="BH235" s="116">
        <f t="shared" si="195"/>
        <v>0</v>
      </c>
    </row>
    <row r="236" spans="1:60" ht="15" x14ac:dyDescent="0.25">
      <c r="A236" s="66" t="str">
        <f>IF(LARGE($A$11:A235,1)=$F$2,"",A235+1)</f>
        <v/>
      </c>
      <c r="B236" s="27" t="str">
        <f t="shared" si="154"/>
        <v/>
      </c>
      <c r="C236" s="28" t="str">
        <f t="shared" si="181"/>
        <v/>
      </c>
      <c r="D236" s="28" t="str">
        <f t="shared" si="155"/>
        <v/>
      </c>
      <c r="E236" s="28" t="str">
        <f t="shared" si="156"/>
        <v/>
      </c>
      <c r="F236" s="29" t="str">
        <f t="shared" si="157"/>
        <v/>
      </c>
      <c r="G236" s="29" t="str">
        <f t="shared" si="158"/>
        <v/>
      </c>
      <c r="H236" s="30" t="str">
        <f t="shared" si="159"/>
        <v/>
      </c>
      <c r="I236" s="30" t="str">
        <f t="shared" si="160"/>
        <v/>
      </c>
      <c r="J236" s="30" t="str">
        <f>IF(A236="","",H236+CUSTOS!B236)</f>
        <v/>
      </c>
      <c r="K236" s="30" t="str">
        <f t="shared" si="182"/>
        <v/>
      </c>
      <c r="L236" s="30" t="str">
        <f t="shared" si="183"/>
        <v/>
      </c>
      <c r="M236" s="30" t="str">
        <f t="shared" si="184"/>
        <v/>
      </c>
      <c r="N236" s="30" t="str">
        <f t="shared" si="161"/>
        <v/>
      </c>
      <c r="O236" s="31" t="str">
        <f t="shared" si="185"/>
        <v/>
      </c>
      <c r="P236" s="32"/>
      <c r="Q236" s="33" t="str">
        <f t="shared" si="162"/>
        <v/>
      </c>
      <c r="R236" s="33" t="str">
        <f t="shared" si="163"/>
        <v/>
      </c>
      <c r="S236" s="33" t="str">
        <f t="shared" si="164"/>
        <v/>
      </c>
      <c r="T236" s="33" t="str">
        <f t="shared" si="165"/>
        <v/>
      </c>
      <c r="U236" s="33" t="str">
        <f t="shared" si="166"/>
        <v/>
      </c>
      <c r="V236" s="33" t="str">
        <f t="shared" si="167"/>
        <v/>
      </c>
      <c r="X236" s="33" t="str">
        <f t="shared" si="153"/>
        <v/>
      </c>
      <c r="Y236" s="30" t="str">
        <f t="shared" si="168"/>
        <v/>
      </c>
      <c r="Z236" s="30" t="str">
        <f t="shared" si="169"/>
        <v/>
      </c>
      <c r="AA236" s="30" t="str">
        <f t="shared" si="170"/>
        <v/>
      </c>
      <c r="AB236" s="30" t="str">
        <f t="shared" si="171"/>
        <v/>
      </c>
      <c r="AD236" s="33" t="str">
        <f t="shared" si="172"/>
        <v/>
      </c>
      <c r="AE236" s="30" t="str">
        <f t="shared" si="173"/>
        <v/>
      </c>
      <c r="AF236" s="30" t="str">
        <f t="shared" si="174"/>
        <v/>
      </c>
      <c r="AG236" s="30" t="str">
        <f t="shared" si="175"/>
        <v/>
      </c>
      <c r="AH236" s="30" t="str">
        <f t="shared" si="176"/>
        <v/>
      </c>
      <c r="AJ236" s="85" t="str">
        <f t="shared" si="186"/>
        <v/>
      </c>
      <c r="AK236" s="86" t="str">
        <f t="shared" si="196"/>
        <v/>
      </c>
      <c r="AL236" s="86" t="str">
        <f t="shared" si="197"/>
        <v/>
      </c>
      <c r="AM236" s="86" t="str">
        <f t="shared" si="198"/>
        <v/>
      </c>
      <c r="AN236" s="86" t="str">
        <f t="shared" si="199"/>
        <v/>
      </c>
      <c r="AO236" s="86" t="str">
        <f t="shared" si="200"/>
        <v/>
      </c>
      <c r="AQ236" s="33" t="str">
        <f t="shared" si="177"/>
        <v/>
      </c>
      <c r="AR236" s="30" t="str">
        <f t="shared" si="178"/>
        <v/>
      </c>
      <c r="AU236" s="20">
        <f t="shared" si="179"/>
        <v>0</v>
      </c>
      <c r="AV236" s="20">
        <f t="shared" si="180"/>
        <v>0</v>
      </c>
      <c r="AW236" s="19">
        <f t="shared" si="187"/>
        <v>0</v>
      </c>
      <c r="AX236" s="19">
        <f t="shared" si="188"/>
        <v>0</v>
      </c>
      <c r="AY236" s="19">
        <f t="shared" si="189"/>
        <v>0</v>
      </c>
      <c r="AZ236" s="19">
        <f t="shared" si="190"/>
        <v>0</v>
      </c>
      <c r="BA236" s="19">
        <f t="shared" si="191"/>
        <v>0</v>
      </c>
      <c r="BB236" s="19">
        <f t="shared" si="192"/>
        <v>0</v>
      </c>
      <c r="BC236" s="19">
        <f t="shared" si="193"/>
        <v>0</v>
      </c>
      <c r="BD236" s="19">
        <f>-IF(CUSTOS!B236="",0,CUSTOS!B236)</f>
        <v>0</v>
      </c>
      <c r="BF236" s="20">
        <f t="shared" si="194"/>
        <v>0</v>
      </c>
      <c r="BG236" s="20">
        <f t="shared" si="195"/>
        <v>0</v>
      </c>
      <c r="BH236" s="116">
        <f t="shared" si="195"/>
        <v>0</v>
      </c>
    </row>
    <row r="237" spans="1:60" ht="15" x14ac:dyDescent="0.25">
      <c r="A237" s="66" t="str">
        <f>IF(LARGE($A$11:A236,1)=$F$2,"",A236+1)</f>
        <v/>
      </c>
      <c r="B237" s="27" t="str">
        <f t="shared" si="154"/>
        <v/>
      </c>
      <c r="C237" s="28" t="str">
        <f t="shared" si="181"/>
        <v/>
      </c>
      <c r="D237" s="28" t="str">
        <f t="shared" si="155"/>
        <v/>
      </c>
      <c r="E237" s="28" t="str">
        <f t="shared" si="156"/>
        <v/>
      </c>
      <c r="F237" s="29" t="str">
        <f t="shared" si="157"/>
        <v/>
      </c>
      <c r="G237" s="29" t="str">
        <f t="shared" si="158"/>
        <v/>
      </c>
      <c r="H237" s="30" t="str">
        <f t="shared" si="159"/>
        <v/>
      </c>
      <c r="I237" s="30" t="str">
        <f t="shared" si="160"/>
        <v/>
      </c>
      <c r="J237" s="30" t="str">
        <f>IF(A237="","",H237+CUSTOS!B237)</f>
        <v/>
      </c>
      <c r="K237" s="30" t="str">
        <f t="shared" si="182"/>
        <v/>
      </c>
      <c r="L237" s="30" t="str">
        <f t="shared" si="183"/>
        <v/>
      </c>
      <c r="M237" s="30" t="str">
        <f t="shared" si="184"/>
        <v/>
      </c>
      <c r="N237" s="30" t="str">
        <f t="shared" si="161"/>
        <v/>
      </c>
      <c r="O237" s="31" t="str">
        <f t="shared" si="185"/>
        <v/>
      </c>
      <c r="P237" s="32"/>
      <c r="Q237" s="33" t="str">
        <f t="shared" si="162"/>
        <v/>
      </c>
      <c r="R237" s="33" t="str">
        <f t="shared" si="163"/>
        <v/>
      </c>
      <c r="S237" s="33" t="str">
        <f t="shared" si="164"/>
        <v/>
      </c>
      <c r="T237" s="33" t="str">
        <f t="shared" si="165"/>
        <v/>
      </c>
      <c r="U237" s="33" t="str">
        <f t="shared" si="166"/>
        <v/>
      </c>
      <c r="V237" s="33" t="str">
        <f t="shared" si="167"/>
        <v/>
      </c>
      <c r="X237" s="33" t="str">
        <f t="shared" si="153"/>
        <v/>
      </c>
      <c r="Y237" s="30" t="str">
        <f t="shared" si="168"/>
        <v/>
      </c>
      <c r="Z237" s="30" t="str">
        <f t="shared" si="169"/>
        <v/>
      </c>
      <c r="AA237" s="30" t="str">
        <f t="shared" si="170"/>
        <v/>
      </c>
      <c r="AB237" s="30" t="str">
        <f t="shared" si="171"/>
        <v/>
      </c>
      <c r="AD237" s="33" t="str">
        <f t="shared" si="172"/>
        <v/>
      </c>
      <c r="AE237" s="30" t="str">
        <f t="shared" si="173"/>
        <v/>
      </c>
      <c r="AF237" s="30" t="str">
        <f t="shared" si="174"/>
        <v/>
      </c>
      <c r="AG237" s="30" t="str">
        <f t="shared" si="175"/>
        <v/>
      </c>
      <c r="AH237" s="30" t="str">
        <f t="shared" si="176"/>
        <v/>
      </c>
      <c r="AJ237" s="85" t="str">
        <f t="shared" si="186"/>
        <v/>
      </c>
      <c r="AK237" s="86" t="str">
        <f t="shared" si="196"/>
        <v/>
      </c>
      <c r="AL237" s="86" t="str">
        <f t="shared" si="197"/>
        <v/>
      </c>
      <c r="AM237" s="86" t="str">
        <f t="shared" si="198"/>
        <v/>
      </c>
      <c r="AN237" s="86" t="str">
        <f t="shared" si="199"/>
        <v/>
      </c>
      <c r="AO237" s="86" t="str">
        <f t="shared" si="200"/>
        <v/>
      </c>
      <c r="AQ237" s="33" t="str">
        <f t="shared" si="177"/>
        <v/>
      </c>
      <c r="AR237" s="30" t="str">
        <f t="shared" si="178"/>
        <v/>
      </c>
      <c r="AU237" s="20">
        <f t="shared" si="179"/>
        <v>0</v>
      </c>
      <c r="AV237" s="20">
        <f t="shared" si="180"/>
        <v>0</v>
      </c>
      <c r="AW237" s="19">
        <f t="shared" si="187"/>
        <v>0</v>
      </c>
      <c r="AX237" s="19">
        <f t="shared" si="188"/>
        <v>0</v>
      </c>
      <c r="AY237" s="19">
        <f t="shared" si="189"/>
        <v>0</v>
      </c>
      <c r="AZ237" s="19">
        <f t="shared" si="190"/>
        <v>0</v>
      </c>
      <c r="BA237" s="19">
        <f t="shared" si="191"/>
        <v>0</v>
      </c>
      <c r="BB237" s="19">
        <f t="shared" si="192"/>
        <v>0</v>
      </c>
      <c r="BC237" s="19">
        <f t="shared" si="193"/>
        <v>0</v>
      </c>
      <c r="BD237" s="19">
        <f>-IF(CUSTOS!B237="",0,CUSTOS!B237)</f>
        <v>0</v>
      </c>
      <c r="BF237" s="20">
        <f t="shared" si="194"/>
        <v>0</v>
      </c>
      <c r="BG237" s="20">
        <f t="shared" si="195"/>
        <v>0</v>
      </c>
      <c r="BH237" s="116">
        <f t="shared" si="195"/>
        <v>0</v>
      </c>
    </row>
    <row r="238" spans="1:60" ht="15" x14ac:dyDescent="0.25">
      <c r="A238" s="66" t="str">
        <f>IF(LARGE($A$11:A237,1)=$F$2,"",A237+1)</f>
        <v/>
      </c>
      <c r="B238" s="27" t="str">
        <f t="shared" si="154"/>
        <v/>
      </c>
      <c r="C238" s="28" t="str">
        <f t="shared" si="181"/>
        <v/>
      </c>
      <c r="D238" s="28" t="str">
        <f t="shared" si="155"/>
        <v/>
      </c>
      <c r="E238" s="28" t="str">
        <f t="shared" si="156"/>
        <v/>
      </c>
      <c r="F238" s="29" t="str">
        <f t="shared" si="157"/>
        <v/>
      </c>
      <c r="G238" s="29" t="str">
        <f t="shared" si="158"/>
        <v/>
      </c>
      <c r="H238" s="30" t="str">
        <f t="shared" si="159"/>
        <v/>
      </c>
      <c r="I238" s="30" t="str">
        <f t="shared" si="160"/>
        <v/>
      </c>
      <c r="J238" s="30" t="str">
        <f>IF(A238="","",H238+CUSTOS!B238)</f>
        <v/>
      </c>
      <c r="K238" s="30" t="str">
        <f t="shared" si="182"/>
        <v/>
      </c>
      <c r="L238" s="30" t="str">
        <f t="shared" si="183"/>
        <v/>
      </c>
      <c r="M238" s="30" t="str">
        <f t="shared" si="184"/>
        <v/>
      </c>
      <c r="N238" s="30" t="str">
        <f t="shared" si="161"/>
        <v/>
      </c>
      <c r="O238" s="31" t="str">
        <f t="shared" si="185"/>
        <v/>
      </c>
      <c r="P238" s="32"/>
      <c r="Q238" s="33" t="str">
        <f t="shared" si="162"/>
        <v/>
      </c>
      <c r="R238" s="33" t="str">
        <f t="shared" si="163"/>
        <v/>
      </c>
      <c r="S238" s="33" t="str">
        <f t="shared" si="164"/>
        <v/>
      </c>
      <c r="T238" s="33" t="str">
        <f t="shared" si="165"/>
        <v/>
      </c>
      <c r="U238" s="33" t="str">
        <f t="shared" si="166"/>
        <v/>
      </c>
      <c r="V238" s="33" t="str">
        <f t="shared" si="167"/>
        <v/>
      </c>
      <c r="X238" s="33" t="str">
        <f t="shared" si="153"/>
        <v/>
      </c>
      <c r="Y238" s="30" t="str">
        <f t="shared" si="168"/>
        <v/>
      </c>
      <c r="Z238" s="30" t="str">
        <f t="shared" si="169"/>
        <v/>
      </c>
      <c r="AA238" s="30" t="str">
        <f t="shared" si="170"/>
        <v/>
      </c>
      <c r="AB238" s="30" t="str">
        <f t="shared" si="171"/>
        <v/>
      </c>
      <c r="AD238" s="33" t="str">
        <f t="shared" si="172"/>
        <v/>
      </c>
      <c r="AE238" s="30" t="str">
        <f t="shared" si="173"/>
        <v/>
      </c>
      <c r="AF238" s="30" t="str">
        <f t="shared" si="174"/>
        <v/>
      </c>
      <c r="AG238" s="30" t="str">
        <f t="shared" si="175"/>
        <v/>
      </c>
      <c r="AH238" s="30" t="str">
        <f t="shared" si="176"/>
        <v/>
      </c>
      <c r="AJ238" s="85" t="str">
        <f t="shared" si="186"/>
        <v/>
      </c>
      <c r="AK238" s="86" t="str">
        <f t="shared" si="196"/>
        <v/>
      </c>
      <c r="AL238" s="86" t="str">
        <f t="shared" si="197"/>
        <v/>
      </c>
      <c r="AM238" s="86" t="str">
        <f t="shared" si="198"/>
        <v/>
      </c>
      <c r="AN238" s="86" t="str">
        <f t="shared" si="199"/>
        <v/>
      </c>
      <c r="AO238" s="86" t="str">
        <f t="shared" si="200"/>
        <v/>
      </c>
      <c r="AQ238" s="33" t="str">
        <f t="shared" si="177"/>
        <v/>
      </c>
      <c r="AR238" s="30" t="str">
        <f t="shared" si="178"/>
        <v/>
      </c>
      <c r="AU238" s="20">
        <f t="shared" si="179"/>
        <v>0</v>
      </c>
      <c r="AV238" s="20">
        <f t="shared" si="180"/>
        <v>0</v>
      </c>
      <c r="AW238" s="19">
        <f t="shared" si="187"/>
        <v>0</v>
      </c>
      <c r="AX238" s="19">
        <f t="shared" si="188"/>
        <v>0</v>
      </c>
      <c r="AY238" s="19">
        <f t="shared" si="189"/>
        <v>0</v>
      </c>
      <c r="AZ238" s="19">
        <f t="shared" si="190"/>
        <v>0</v>
      </c>
      <c r="BA238" s="19">
        <f t="shared" si="191"/>
        <v>0</v>
      </c>
      <c r="BB238" s="19">
        <f t="shared" si="192"/>
        <v>0</v>
      </c>
      <c r="BC238" s="19">
        <f t="shared" si="193"/>
        <v>0</v>
      </c>
      <c r="BD238" s="19">
        <f>-IF(CUSTOS!B238="",0,CUSTOS!B238)</f>
        <v>0</v>
      </c>
      <c r="BF238" s="20">
        <f t="shared" si="194"/>
        <v>0</v>
      </c>
      <c r="BG238" s="20">
        <f t="shared" si="195"/>
        <v>0</v>
      </c>
      <c r="BH238" s="116">
        <f t="shared" si="195"/>
        <v>0</v>
      </c>
    </row>
    <row r="239" spans="1:60" ht="15" x14ac:dyDescent="0.25">
      <c r="A239" s="66" t="str">
        <f>IF(LARGE($A$11:A238,1)=$F$2,"",A238+1)</f>
        <v/>
      </c>
      <c r="B239" s="27" t="str">
        <f t="shared" si="154"/>
        <v/>
      </c>
      <c r="C239" s="28" t="str">
        <f t="shared" si="181"/>
        <v/>
      </c>
      <c r="D239" s="28" t="str">
        <f t="shared" si="155"/>
        <v/>
      </c>
      <c r="E239" s="28" t="str">
        <f t="shared" si="156"/>
        <v/>
      </c>
      <c r="F239" s="29" t="str">
        <f t="shared" si="157"/>
        <v/>
      </c>
      <c r="G239" s="29" t="str">
        <f t="shared" si="158"/>
        <v/>
      </c>
      <c r="H239" s="30" t="str">
        <f t="shared" si="159"/>
        <v/>
      </c>
      <c r="I239" s="30" t="str">
        <f t="shared" si="160"/>
        <v/>
      </c>
      <c r="J239" s="30" t="str">
        <f>IF(A239="","",H239+CUSTOS!B239)</f>
        <v/>
      </c>
      <c r="K239" s="30" t="str">
        <f t="shared" si="182"/>
        <v/>
      </c>
      <c r="L239" s="30" t="str">
        <f t="shared" si="183"/>
        <v/>
      </c>
      <c r="M239" s="30" t="str">
        <f t="shared" si="184"/>
        <v/>
      </c>
      <c r="N239" s="30" t="str">
        <f t="shared" si="161"/>
        <v/>
      </c>
      <c r="O239" s="31" t="str">
        <f t="shared" si="185"/>
        <v/>
      </c>
      <c r="P239" s="32"/>
      <c r="Q239" s="33" t="str">
        <f t="shared" si="162"/>
        <v/>
      </c>
      <c r="R239" s="33" t="str">
        <f t="shared" si="163"/>
        <v/>
      </c>
      <c r="S239" s="33" t="str">
        <f t="shared" si="164"/>
        <v/>
      </c>
      <c r="T239" s="33" t="str">
        <f t="shared" si="165"/>
        <v/>
      </c>
      <c r="U239" s="33" t="str">
        <f t="shared" si="166"/>
        <v/>
      </c>
      <c r="V239" s="33" t="str">
        <f t="shared" si="167"/>
        <v/>
      </c>
      <c r="X239" s="33" t="str">
        <f t="shared" si="153"/>
        <v/>
      </c>
      <c r="Y239" s="30" t="str">
        <f t="shared" si="168"/>
        <v/>
      </c>
      <c r="Z239" s="30" t="str">
        <f t="shared" si="169"/>
        <v/>
      </c>
      <c r="AA239" s="30" t="str">
        <f t="shared" si="170"/>
        <v/>
      </c>
      <c r="AB239" s="30" t="str">
        <f t="shared" si="171"/>
        <v/>
      </c>
      <c r="AD239" s="33" t="str">
        <f t="shared" si="172"/>
        <v/>
      </c>
      <c r="AE239" s="30" t="str">
        <f t="shared" si="173"/>
        <v/>
      </c>
      <c r="AF239" s="30" t="str">
        <f t="shared" si="174"/>
        <v/>
      </c>
      <c r="AG239" s="30" t="str">
        <f t="shared" si="175"/>
        <v/>
      </c>
      <c r="AH239" s="30" t="str">
        <f t="shared" si="176"/>
        <v/>
      </c>
      <c r="AJ239" s="85" t="str">
        <f t="shared" si="186"/>
        <v/>
      </c>
      <c r="AK239" s="86" t="str">
        <f t="shared" si="196"/>
        <v/>
      </c>
      <c r="AL239" s="86" t="str">
        <f t="shared" si="197"/>
        <v/>
      </c>
      <c r="AM239" s="86" t="str">
        <f t="shared" si="198"/>
        <v/>
      </c>
      <c r="AN239" s="86" t="str">
        <f t="shared" si="199"/>
        <v/>
      </c>
      <c r="AO239" s="86" t="str">
        <f t="shared" si="200"/>
        <v/>
      </c>
      <c r="AQ239" s="33" t="str">
        <f t="shared" si="177"/>
        <v/>
      </c>
      <c r="AR239" s="30" t="str">
        <f t="shared" si="178"/>
        <v/>
      </c>
      <c r="AU239" s="20">
        <f t="shared" si="179"/>
        <v>0</v>
      </c>
      <c r="AV239" s="20">
        <f t="shared" si="180"/>
        <v>0</v>
      </c>
      <c r="AW239" s="19">
        <f t="shared" si="187"/>
        <v>0</v>
      </c>
      <c r="AX239" s="19">
        <f t="shared" si="188"/>
        <v>0</v>
      </c>
      <c r="AY239" s="19">
        <f t="shared" si="189"/>
        <v>0</v>
      </c>
      <c r="AZ239" s="19">
        <f t="shared" si="190"/>
        <v>0</v>
      </c>
      <c r="BA239" s="19">
        <f t="shared" si="191"/>
        <v>0</v>
      </c>
      <c r="BB239" s="19">
        <f t="shared" si="192"/>
        <v>0</v>
      </c>
      <c r="BC239" s="19">
        <f t="shared" si="193"/>
        <v>0</v>
      </c>
      <c r="BD239" s="19">
        <f>-IF(CUSTOS!B239="",0,CUSTOS!B239)</f>
        <v>0</v>
      </c>
      <c r="BF239" s="20">
        <f t="shared" si="194"/>
        <v>0</v>
      </c>
      <c r="BG239" s="20">
        <f t="shared" si="195"/>
        <v>0</v>
      </c>
      <c r="BH239" s="116">
        <f t="shared" si="195"/>
        <v>0</v>
      </c>
    </row>
    <row r="240" spans="1:60" ht="15" x14ac:dyDescent="0.25">
      <c r="A240" s="66" t="str">
        <f>IF(LARGE($A$11:A239,1)=$F$2,"",A239+1)</f>
        <v/>
      </c>
      <c r="B240" s="27" t="str">
        <f t="shared" si="154"/>
        <v/>
      </c>
      <c r="C240" s="28" t="str">
        <f t="shared" si="181"/>
        <v/>
      </c>
      <c r="D240" s="28" t="str">
        <f t="shared" si="155"/>
        <v/>
      </c>
      <c r="E240" s="28" t="str">
        <f t="shared" si="156"/>
        <v/>
      </c>
      <c r="F240" s="29" t="str">
        <f t="shared" si="157"/>
        <v/>
      </c>
      <c r="G240" s="29" t="str">
        <f t="shared" si="158"/>
        <v/>
      </c>
      <c r="H240" s="30" t="str">
        <f t="shared" si="159"/>
        <v/>
      </c>
      <c r="I240" s="30" t="str">
        <f t="shared" si="160"/>
        <v/>
      </c>
      <c r="J240" s="30" t="str">
        <f>IF(A240="","",H240+CUSTOS!B240)</f>
        <v/>
      </c>
      <c r="K240" s="30" t="str">
        <f t="shared" si="182"/>
        <v/>
      </c>
      <c r="L240" s="30" t="str">
        <f t="shared" si="183"/>
        <v/>
      </c>
      <c r="M240" s="30" t="str">
        <f t="shared" si="184"/>
        <v/>
      </c>
      <c r="N240" s="30" t="str">
        <f t="shared" si="161"/>
        <v/>
      </c>
      <c r="O240" s="31" t="str">
        <f t="shared" si="185"/>
        <v/>
      </c>
      <c r="P240" s="32"/>
      <c r="Q240" s="33" t="str">
        <f t="shared" si="162"/>
        <v/>
      </c>
      <c r="R240" s="33" t="str">
        <f t="shared" si="163"/>
        <v/>
      </c>
      <c r="S240" s="33" t="str">
        <f t="shared" si="164"/>
        <v/>
      </c>
      <c r="T240" s="33" t="str">
        <f t="shared" si="165"/>
        <v/>
      </c>
      <c r="U240" s="33" t="str">
        <f t="shared" si="166"/>
        <v/>
      </c>
      <c r="V240" s="33" t="str">
        <f t="shared" si="167"/>
        <v/>
      </c>
      <c r="X240" s="33" t="str">
        <f t="shared" si="153"/>
        <v/>
      </c>
      <c r="Y240" s="30" t="str">
        <f t="shared" si="168"/>
        <v/>
      </c>
      <c r="Z240" s="30" t="str">
        <f t="shared" si="169"/>
        <v/>
      </c>
      <c r="AA240" s="30" t="str">
        <f t="shared" si="170"/>
        <v/>
      </c>
      <c r="AB240" s="30" t="str">
        <f t="shared" si="171"/>
        <v/>
      </c>
      <c r="AD240" s="33" t="str">
        <f t="shared" si="172"/>
        <v/>
      </c>
      <c r="AE240" s="30" t="str">
        <f t="shared" si="173"/>
        <v/>
      </c>
      <c r="AF240" s="30" t="str">
        <f t="shared" si="174"/>
        <v/>
      </c>
      <c r="AG240" s="30" t="str">
        <f t="shared" si="175"/>
        <v/>
      </c>
      <c r="AH240" s="30" t="str">
        <f t="shared" si="176"/>
        <v/>
      </c>
      <c r="AJ240" s="85" t="str">
        <f t="shared" si="186"/>
        <v/>
      </c>
      <c r="AK240" s="86" t="str">
        <f t="shared" si="196"/>
        <v/>
      </c>
      <c r="AL240" s="86" t="str">
        <f t="shared" si="197"/>
        <v/>
      </c>
      <c r="AM240" s="86" t="str">
        <f t="shared" si="198"/>
        <v/>
      </c>
      <c r="AN240" s="86" t="str">
        <f t="shared" si="199"/>
        <v/>
      </c>
      <c r="AO240" s="86" t="str">
        <f t="shared" si="200"/>
        <v/>
      </c>
      <c r="AQ240" s="33" t="str">
        <f t="shared" si="177"/>
        <v/>
      </c>
      <c r="AR240" s="30" t="str">
        <f t="shared" si="178"/>
        <v/>
      </c>
      <c r="AU240" s="20">
        <f t="shared" si="179"/>
        <v>0</v>
      </c>
      <c r="AV240" s="20">
        <f t="shared" si="180"/>
        <v>0</v>
      </c>
      <c r="AW240" s="19">
        <f t="shared" si="187"/>
        <v>0</v>
      </c>
      <c r="AX240" s="19">
        <f t="shared" si="188"/>
        <v>0</v>
      </c>
      <c r="AY240" s="19">
        <f t="shared" si="189"/>
        <v>0</v>
      </c>
      <c r="AZ240" s="19">
        <f t="shared" si="190"/>
        <v>0</v>
      </c>
      <c r="BA240" s="19">
        <f t="shared" si="191"/>
        <v>0</v>
      </c>
      <c r="BB240" s="19">
        <f t="shared" si="192"/>
        <v>0</v>
      </c>
      <c r="BC240" s="19">
        <f t="shared" si="193"/>
        <v>0</v>
      </c>
      <c r="BD240" s="19">
        <f>-IF(CUSTOS!B240="",0,CUSTOS!B240)</f>
        <v>0</v>
      </c>
      <c r="BF240" s="20">
        <f t="shared" si="194"/>
        <v>0</v>
      </c>
      <c r="BG240" s="20">
        <f t="shared" si="195"/>
        <v>0</v>
      </c>
      <c r="BH240" s="116">
        <f t="shared" si="195"/>
        <v>0</v>
      </c>
    </row>
    <row r="241" spans="1:60" ht="15" x14ac:dyDescent="0.25">
      <c r="A241" s="66" t="str">
        <f>IF(LARGE($A$11:A240,1)=$F$2,"",A240+1)</f>
        <v/>
      </c>
      <c r="B241" s="27" t="str">
        <f t="shared" si="154"/>
        <v/>
      </c>
      <c r="C241" s="28" t="str">
        <f t="shared" si="181"/>
        <v/>
      </c>
      <c r="D241" s="28" t="str">
        <f t="shared" si="155"/>
        <v/>
      </c>
      <c r="E241" s="28" t="str">
        <f t="shared" si="156"/>
        <v/>
      </c>
      <c r="F241" s="29" t="str">
        <f t="shared" si="157"/>
        <v/>
      </c>
      <c r="G241" s="29" t="str">
        <f t="shared" si="158"/>
        <v/>
      </c>
      <c r="H241" s="30" t="str">
        <f t="shared" si="159"/>
        <v/>
      </c>
      <c r="I241" s="30" t="str">
        <f t="shared" si="160"/>
        <v/>
      </c>
      <c r="J241" s="30" t="str">
        <f>IF(A241="","",H241+CUSTOS!B241)</f>
        <v/>
      </c>
      <c r="K241" s="30" t="str">
        <f t="shared" si="182"/>
        <v/>
      </c>
      <c r="L241" s="30" t="str">
        <f t="shared" si="183"/>
        <v/>
      </c>
      <c r="M241" s="30" t="str">
        <f t="shared" si="184"/>
        <v/>
      </c>
      <c r="N241" s="30" t="str">
        <f t="shared" si="161"/>
        <v/>
      </c>
      <c r="O241" s="31" t="str">
        <f t="shared" si="185"/>
        <v/>
      </c>
      <c r="P241" s="32"/>
      <c r="Q241" s="33" t="str">
        <f t="shared" si="162"/>
        <v/>
      </c>
      <c r="R241" s="33" t="str">
        <f t="shared" si="163"/>
        <v/>
      </c>
      <c r="S241" s="33" t="str">
        <f t="shared" si="164"/>
        <v/>
      </c>
      <c r="T241" s="33" t="str">
        <f t="shared" si="165"/>
        <v/>
      </c>
      <c r="U241" s="33" t="str">
        <f t="shared" si="166"/>
        <v/>
      </c>
      <c r="V241" s="33" t="str">
        <f t="shared" si="167"/>
        <v/>
      </c>
      <c r="X241" s="33" t="str">
        <f t="shared" si="153"/>
        <v/>
      </c>
      <c r="Y241" s="30" t="str">
        <f t="shared" si="168"/>
        <v/>
      </c>
      <c r="Z241" s="30" t="str">
        <f t="shared" si="169"/>
        <v/>
      </c>
      <c r="AA241" s="30" t="str">
        <f t="shared" si="170"/>
        <v/>
      </c>
      <c r="AB241" s="30" t="str">
        <f t="shared" si="171"/>
        <v/>
      </c>
      <c r="AD241" s="33" t="str">
        <f t="shared" si="172"/>
        <v/>
      </c>
      <c r="AE241" s="30" t="str">
        <f t="shared" si="173"/>
        <v/>
      </c>
      <c r="AF241" s="30" t="str">
        <f t="shared" si="174"/>
        <v/>
      </c>
      <c r="AG241" s="30" t="str">
        <f t="shared" si="175"/>
        <v/>
      </c>
      <c r="AH241" s="30" t="str">
        <f t="shared" si="176"/>
        <v/>
      </c>
      <c r="AJ241" s="85" t="str">
        <f t="shared" si="186"/>
        <v/>
      </c>
      <c r="AK241" s="86" t="str">
        <f t="shared" si="196"/>
        <v/>
      </c>
      <c r="AL241" s="86" t="str">
        <f t="shared" si="197"/>
        <v/>
      </c>
      <c r="AM241" s="86" t="str">
        <f t="shared" si="198"/>
        <v/>
      </c>
      <c r="AN241" s="86" t="str">
        <f t="shared" si="199"/>
        <v/>
      </c>
      <c r="AO241" s="86" t="str">
        <f t="shared" si="200"/>
        <v/>
      </c>
      <c r="AQ241" s="33" t="str">
        <f t="shared" si="177"/>
        <v/>
      </c>
      <c r="AR241" s="30" t="str">
        <f t="shared" si="178"/>
        <v/>
      </c>
      <c r="AU241" s="20">
        <f t="shared" si="179"/>
        <v>0</v>
      </c>
      <c r="AV241" s="20">
        <f t="shared" si="180"/>
        <v>0</v>
      </c>
      <c r="AW241" s="19">
        <f t="shared" si="187"/>
        <v>0</v>
      </c>
      <c r="AX241" s="19">
        <f t="shared" si="188"/>
        <v>0</v>
      </c>
      <c r="AY241" s="19">
        <f t="shared" si="189"/>
        <v>0</v>
      </c>
      <c r="AZ241" s="19">
        <f t="shared" si="190"/>
        <v>0</v>
      </c>
      <c r="BA241" s="19">
        <f t="shared" si="191"/>
        <v>0</v>
      </c>
      <c r="BB241" s="19">
        <f t="shared" si="192"/>
        <v>0</v>
      </c>
      <c r="BC241" s="19">
        <f t="shared" si="193"/>
        <v>0</v>
      </c>
      <c r="BD241" s="19">
        <f>-IF(CUSTOS!B241="",0,CUSTOS!B241)</f>
        <v>0</v>
      </c>
      <c r="BF241" s="20">
        <f t="shared" si="194"/>
        <v>0</v>
      </c>
      <c r="BG241" s="20">
        <f t="shared" si="195"/>
        <v>0</v>
      </c>
      <c r="BH241" s="116">
        <f t="shared" si="195"/>
        <v>0</v>
      </c>
    </row>
    <row r="242" spans="1:60" ht="15" x14ac:dyDescent="0.25">
      <c r="A242" s="66" t="str">
        <f>IF(LARGE($A$11:A241,1)=$F$2,"",A241+1)</f>
        <v/>
      </c>
      <c r="B242" s="27" t="str">
        <f t="shared" si="154"/>
        <v/>
      </c>
      <c r="C242" s="28" t="str">
        <f t="shared" si="181"/>
        <v/>
      </c>
      <c r="D242" s="28" t="str">
        <f t="shared" si="155"/>
        <v/>
      </c>
      <c r="E242" s="28" t="str">
        <f t="shared" si="156"/>
        <v/>
      </c>
      <c r="F242" s="29" t="str">
        <f t="shared" si="157"/>
        <v/>
      </c>
      <c r="G242" s="29" t="str">
        <f t="shared" si="158"/>
        <v/>
      </c>
      <c r="H242" s="30" t="str">
        <f t="shared" si="159"/>
        <v/>
      </c>
      <c r="I242" s="30" t="str">
        <f t="shared" si="160"/>
        <v/>
      </c>
      <c r="J242" s="30" t="str">
        <f>IF(A242="","",H242+CUSTOS!B242)</f>
        <v/>
      </c>
      <c r="K242" s="30" t="str">
        <f t="shared" si="182"/>
        <v/>
      </c>
      <c r="L242" s="30" t="str">
        <f t="shared" si="183"/>
        <v/>
      </c>
      <c r="M242" s="30" t="str">
        <f t="shared" si="184"/>
        <v/>
      </c>
      <c r="N242" s="30" t="str">
        <f t="shared" si="161"/>
        <v/>
      </c>
      <c r="O242" s="31" t="str">
        <f t="shared" si="185"/>
        <v/>
      </c>
      <c r="P242" s="32"/>
      <c r="Q242" s="33" t="str">
        <f t="shared" si="162"/>
        <v/>
      </c>
      <c r="R242" s="33" t="str">
        <f t="shared" si="163"/>
        <v/>
      </c>
      <c r="S242" s="33" t="str">
        <f t="shared" si="164"/>
        <v/>
      </c>
      <c r="T242" s="33" t="str">
        <f t="shared" si="165"/>
        <v/>
      </c>
      <c r="U242" s="33" t="str">
        <f t="shared" si="166"/>
        <v/>
      </c>
      <c r="V242" s="33" t="str">
        <f t="shared" si="167"/>
        <v/>
      </c>
      <c r="X242" s="33" t="str">
        <f t="shared" si="153"/>
        <v/>
      </c>
      <c r="Y242" s="30" t="str">
        <f t="shared" si="168"/>
        <v/>
      </c>
      <c r="Z242" s="30" t="str">
        <f t="shared" si="169"/>
        <v/>
      </c>
      <c r="AA242" s="30" t="str">
        <f t="shared" si="170"/>
        <v/>
      </c>
      <c r="AB242" s="30" t="str">
        <f t="shared" si="171"/>
        <v/>
      </c>
      <c r="AD242" s="33" t="str">
        <f t="shared" si="172"/>
        <v/>
      </c>
      <c r="AE242" s="30" t="str">
        <f t="shared" si="173"/>
        <v/>
      </c>
      <c r="AF242" s="30" t="str">
        <f t="shared" si="174"/>
        <v/>
      </c>
      <c r="AG242" s="30" t="str">
        <f t="shared" si="175"/>
        <v/>
      </c>
      <c r="AH242" s="30" t="str">
        <f t="shared" si="176"/>
        <v/>
      </c>
      <c r="AJ242" s="85" t="str">
        <f t="shared" si="186"/>
        <v/>
      </c>
      <c r="AK242" s="86" t="str">
        <f t="shared" si="196"/>
        <v/>
      </c>
      <c r="AL242" s="86" t="str">
        <f t="shared" si="197"/>
        <v/>
      </c>
      <c r="AM242" s="86" t="str">
        <f t="shared" si="198"/>
        <v/>
      </c>
      <c r="AN242" s="86" t="str">
        <f t="shared" si="199"/>
        <v/>
      </c>
      <c r="AO242" s="86" t="str">
        <f t="shared" si="200"/>
        <v/>
      </c>
      <c r="AQ242" s="33" t="str">
        <f t="shared" si="177"/>
        <v/>
      </c>
      <c r="AR242" s="30" t="str">
        <f t="shared" si="178"/>
        <v/>
      </c>
      <c r="AU242" s="20">
        <f t="shared" si="179"/>
        <v>0</v>
      </c>
      <c r="AV242" s="20">
        <f t="shared" si="180"/>
        <v>0</v>
      </c>
      <c r="AW242" s="19">
        <f t="shared" si="187"/>
        <v>0</v>
      </c>
      <c r="AX242" s="19">
        <f t="shared" si="188"/>
        <v>0</v>
      </c>
      <c r="AY242" s="19">
        <f t="shared" si="189"/>
        <v>0</v>
      </c>
      <c r="AZ242" s="19">
        <f t="shared" si="190"/>
        <v>0</v>
      </c>
      <c r="BA242" s="19">
        <f t="shared" si="191"/>
        <v>0</v>
      </c>
      <c r="BB242" s="19">
        <f t="shared" si="192"/>
        <v>0</v>
      </c>
      <c r="BC242" s="19">
        <f t="shared" si="193"/>
        <v>0</v>
      </c>
      <c r="BD242" s="19">
        <f>-IF(CUSTOS!B242="",0,CUSTOS!B242)</f>
        <v>0</v>
      </c>
      <c r="BF242" s="20">
        <f t="shared" si="194"/>
        <v>0</v>
      </c>
      <c r="BG242" s="20">
        <f t="shared" si="195"/>
        <v>0</v>
      </c>
      <c r="BH242" s="116">
        <f t="shared" si="195"/>
        <v>0</v>
      </c>
    </row>
    <row r="243" spans="1:60" ht="15" x14ac:dyDescent="0.25">
      <c r="A243" s="66" t="str">
        <f>IF(LARGE($A$11:A242,1)=$F$2,"",A242+1)</f>
        <v/>
      </c>
      <c r="B243" s="27" t="str">
        <f t="shared" si="154"/>
        <v/>
      </c>
      <c r="C243" s="28" t="str">
        <f t="shared" si="181"/>
        <v/>
      </c>
      <c r="D243" s="28" t="str">
        <f t="shared" si="155"/>
        <v/>
      </c>
      <c r="E243" s="28" t="str">
        <f t="shared" si="156"/>
        <v/>
      </c>
      <c r="F243" s="29" t="str">
        <f t="shared" si="157"/>
        <v/>
      </c>
      <c r="G243" s="29" t="str">
        <f t="shared" si="158"/>
        <v/>
      </c>
      <c r="H243" s="30" t="str">
        <f t="shared" si="159"/>
        <v/>
      </c>
      <c r="I243" s="30" t="str">
        <f t="shared" si="160"/>
        <v/>
      </c>
      <c r="J243" s="30" t="str">
        <f>IF(A243="","",H243+CUSTOS!B243)</f>
        <v/>
      </c>
      <c r="K243" s="30" t="str">
        <f t="shared" si="182"/>
        <v/>
      </c>
      <c r="L243" s="30" t="str">
        <f t="shared" si="183"/>
        <v/>
      </c>
      <c r="M243" s="30" t="str">
        <f t="shared" si="184"/>
        <v/>
      </c>
      <c r="N243" s="30" t="str">
        <f t="shared" si="161"/>
        <v/>
      </c>
      <c r="O243" s="31" t="str">
        <f t="shared" si="185"/>
        <v/>
      </c>
      <c r="P243" s="32"/>
      <c r="Q243" s="33" t="str">
        <f t="shared" si="162"/>
        <v/>
      </c>
      <c r="R243" s="33" t="str">
        <f t="shared" si="163"/>
        <v/>
      </c>
      <c r="S243" s="33" t="str">
        <f t="shared" si="164"/>
        <v/>
      </c>
      <c r="T243" s="33" t="str">
        <f t="shared" si="165"/>
        <v/>
      </c>
      <c r="U243" s="33" t="str">
        <f t="shared" si="166"/>
        <v/>
      </c>
      <c r="V243" s="33" t="str">
        <f t="shared" si="167"/>
        <v/>
      </c>
      <c r="X243" s="33" t="str">
        <f t="shared" si="153"/>
        <v/>
      </c>
      <c r="Y243" s="30" t="str">
        <f t="shared" si="168"/>
        <v/>
      </c>
      <c r="Z243" s="30" t="str">
        <f t="shared" si="169"/>
        <v/>
      </c>
      <c r="AA243" s="30" t="str">
        <f t="shared" si="170"/>
        <v/>
      </c>
      <c r="AB243" s="30" t="str">
        <f t="shared" si="171"/>
        <v/>
      </c>
      <c r="AD243" s="33" t="str">
        <f t="shared" si="172"/>
        <v/>
      </c>
      <c r="AE243" s="30" t="str">
        <f t="shared" si="173"/>
        <v/>
      </c>
      <c r="AF243" s="30" t="str">
        <f t="shared" si="174"/>
        <v/>
      </c>
      <c r="AG243" s="30" t="str">
        <f t="shared" si="175"/>
        <v/>
      </c>
      <c r="AH243" s="30" t="str">
        <f t="shared" si="176"/>
        <v/>
      </c>
      <c r="AJ243" s="85" t="str">
        <f t="shared" si="186"/>
        <v/>
      </c>
      <c r="AK243" s="86" t="str">
        <f t="shared" si="196"/>
        <v/>
      </c>
      <c r="AL243" s="86" t="str">
        <f t="shared" si="197"/>
        <v/>
      </c>
      <c r="AM243" s="86" t="str">
        <f t="shared" si="198"/>
        <v/>
      </c>
      <c r="AN243" s="86" t="str">
        <f t="shared" si="199"/>
        <v/>
      </c>
      <c r="AO243" s="86" t="str">
        <f t="shared" si="200"/>
        <v/>
      </c>
      <c r="AQ243" s="33" t="str">
        <f t="shared" si="177"/>
        <v/>
      </c>
      <c r="AR243" s="30" t="str">
        <f t="shared" si="178"/>
        <v/>
      </c>
      <c r="AU243" s="20">
        <f t="shared" si="179"/>
        <v>0</v>
      </c>
      <c r="AV243" s="20">
        <f t="shared" si="180"/>
        <v>0</v>
      </c>
      <c r="AW243" s="19">
        <f t="shared" si="187"/>
        <v>0</v>
      </c>
      <c r="AX243" s="19">
        <f t="shared" si="188"/>
        <v>0</v>
      </c>
      <c r="AY243" s="19">
        <f t="shared" si="189"/>
        <v>0</v>
      </c>
      <c r="AZ243" s="19">
        <f t="shared" si="190"/>
        <v>0</v>
      </c>
      <c r="BA243" s="19">
        <f t="shared" si="191"/>
        <v>0</v>
      </c>
      <c r="BB243" s="19">
        <f t="shared" si="192"/>
        <v>0</v>
      </c>
      <c r="BC243" s="19">
        <f t="shared" si="193"/>
        <v>0</v>
      </c>
      <c r="BD243" s="19">
        <f>-IF(CUSTOS!B243="",0,CUSTOS!B243)</f>
        <v>0</v>
      </c>
      <c r="BF243" s="20">
        <f t="shared" si="194"/>
        <v>0</v>
      </c>
      <c r="BG243" s="20">
        <f t="shared" si="195"/>
        <v>0</v>
      </c>
      <c r="BH243" s="116">
        <f t="shared" si="195"/>
        <v>0</v>
      </c>
    </row>
    <row r="244" spans="1:60" ht="15" x14ac:dyDescent="0.25">
      <c r="A244" s="66" t="str">
        <f>IF(LARGE($A$11:A243,1)=$F$2,"",A243+1)</f>
        <v/>
      </c>
      <c r="B244" s="27" t="str">
        <f t="shared" si="154"/>
        <v/>
      </c>
      <c r="C244" s="28" t="str">
        <f t="shared" si="181"/>
        <v/>
      </c>
      <c r="D244" s="28" t="str">
        <f t="shared" si="155"/>
        <v/>
      </c>
      <c r="E244" s="28" t="str">
        <f t="shared" si="156"/>
        <v/>
      </c>
      <c r="F244" s="29" t="str">
        <f t="shared" si="157"/>
        <v/>
      </c>
      <c r="G244" s="29" t="str">
        <f t="shared" si="158"/>
        <v/>
      </c>
      <c r="H244" s="30" t="str">
        <f t="shared" si="159"/>
        <v/>
      </c>
      <c r="I244" s="30" t="str">
        <f t="shared" si="160"/>
        <v/>
      </c>
      <c r="J244" s="30" t="str">
        <f>IF(A244="","",H244+CUSTOS!B244)</f>
        <v/>
      </c>
      <c r="K244" s="30" t="str">
        <f t="shared" si="182"/>
        <v/>
      </c>
      <c r="L244" s="30" t="str">
        <f t="shared" si="183"/>
        <v/>
      </c>
      <c r="M244" s="30" t="str">
        <f t="shared" si="184"/>
        <v/>
      </c>
      <c r="N244" s="30" t="str">
        <f t="shared" si="161"/>
        <v/>
      </c>
      <c r="O244" s="31" t="str">
        <f t="shared" si="185"/>
        <v/>
      </c>
      <c r="P244" s="32"/>
      <c r="Q244" s="33" t="str">
        <f t="shared" si="162"/>
        <v/>
      </c>
      <c r="R244" s="33" t="str">
        <f t="shared" si="163"/>
        <v/>
      </c>
      <c r="S244" s="33" t="str">
        <f t="shared" si="164"/>
        <v/>
      </c>
      <c r="T244" s="33" t="str">
        <f t="shared" si="165"/>
        <v/>
      </c>
      <c r="U244" s="33" t="str">
        <f t="shared" si="166"/>
        <v/>
      </c>
      <c r="V244" s="33" t="str">
        <f t="shared" si="167"/>
        <v/>
      </c>
      <c r="X244" s="33" t="str">
        <f t="shared" si="153"/>
        <v/>
      </c>
      <c r="Y244" s="30" t="str">
        <f t="shared" si="168"/>
        <v/>
      </c>
      <c r="Z244" s="30" t="str">
        <f t="shared" si="169"/>
        <v/>
      </c>
      <c r="AA244" s="30" t="str">
        <f t="shared" si="170"/>
        <v/>
      </c>
      <c r="AB244" s="30" t="str">
        <f t="shared" si="171"/>
        <v/>
      </c>
      <c r="AD244" s="33" t="str">
        <f t="shared" si="172"/>
        <v/>
      </c>
      <c r="AE244" s="30" t="str">
        <f t="shared" si="173"/>
        <v/>
      </c>
      <c r="AF244" s="30" t="str">
        <f t="shared" si="174"/>
        <v/>
      </c>
      <c r="AG244" s="30" t="str">
        <f t="shared" si="175"/>
        <v/>
      </c>
      <c r="AH244" s="30" t="str">
        <f t="shared" si="176"/>
        <v/>
      </c>
      <c r="AJ244" s="85" t="str">
        <f t="shared" si="186"/>
        <v/>
      </c>
      <c r="AK244" s="86" t="str">
        <f t="shared" si="196"/>
        <v/>
      </c>
      <c r="AL244" s="86" t="str">
        <f t="shared" si="197"/>
        <v/>
      </c>
      <c r="AM244" s="86" t="str">
        <f t="shared" si="198"/>
        <v/>
      </c>
      <c r="AN244" s="86" t="str">
        <f t="shared" si="199"/>
        <v/>
      </c>
      <c r="AO244" s="86" t="str">
        <f t="shared" si="200"/>
        <v/>
      </c>
      <c r="AQ244" s="33" t="str">
        <f t="shared" si="177"/>
        <v/>
      </c>
      <c r="AR244" s="30" t="str">
        <f t="shared" si="178"/>
        <v/>
      </c>
      <c r="AU244" s="20">
        <f t="shared" si="179"/>
        <v>0</v>
      </c>
      <c r="AV244" s="20">
        <f t="shared" si="180"/>
        <v>0</v>
      </c>
      <c r="AW244" s="19">
        <f t="shared" si="187"/>
        <v>0</v>
      </c>
      <c r="AX244" s="19">
        <f t="shared" si="188"/>
        <v>0</v>
      </c>
      <c r="AY244" s="19">
        <f t="shared" si="189"/>
        <v>0</v>
      </c>
      <c r="AZ244" s="19">
        <f t="shared" si="190"/>
        <v>0</v>
      </c>
      <c r="BA244" s="19">
        <f t="shared" si="191"/>
        <v>0</v>
      </c>
      <c r="BB244" s="19">
        <f t="shared" si="192"/>
        <v>0</v>
      </c>
      <c r="BC244" s="19">
        <f t="shared" si="193"/>
        <v>0</v>
      </c>
      <c r="BD244" s="19">
        <f>-IF(CUSTOS!B244="",0,CUSTOS!B244)</f>
        <v>0</v>
      </c>
      <c r="BF244" s="20">
        <f t="shared" si="194"/>
        <v>0</v>
      </c>
      <c r="BG244" s="20">
        <f t="shared" si="195"/>
        <v>0</v>
      </c>
      <c r="BH244" s="116">
        <f t="shared" si="195"/>
        <v>0</v>
      </c>
    </row>
    <row r="245" spans="1:60" ht="15" x14ac:dyDescent="0.25">
      <c r="A245" s="66" t="str">
        <f>IF(LARGE($A$11:A244,1)=$F$2,"",A244+1)</f>
        <v/>
      </c>
      <c r="B245" s="27" t="str">
        <f t="shared" si="154"/>
        <v/>
      </c>
      <c r="C245" s="28" t="str">
        <f t="shared" si="181"/>
        <v/>
      </c>
      <c r="D245" s="28" t="str">
        <f t="shared" si="155"/>
        <v/>
      </c>
      <c r="E245" s="28" t="str">
        <f t="shared" si="156"/>
        <v/>
      </c>
      <c r="F245" s="29" t="str">
        <f t="shared" si="157"/>
        <v/>
      </c>
      <c r="G245" s="29" t="str">
        <f t="shared" si="158"/>
        <v/>
      </c>
      <c r="H245" s="30" t="str">
        <f t="shared" si="159"/>
        <v/>
      </c>
      <c r="I245" s="30" t="str">
        <f t="shared" si="160"/>
        <v/>
      </c>
      <c r="J245" s="30" t="str">
        <f>IF(A245="","",H245+CUSTOS!B245)</f>
        <v/>
      </c>
      <c r="K245" s="30" t="str">
        <f t="shared" si="182"/>
        <v/>
      </c>
      <c r="L245" s="30" t="str">
        <f t="shared" si="183"/>
        <v/>
      </c>
      <c r="M245" s="30" t="str">
        <f t="shared" si="184"/>
        <v/>
      </c>
      <c r="N245" s="30" t="str">
        <f t="shared" si="161"/>
        <v/>
      </c>
      <c r="O245" s="31" t="str">
        <f t="shared" si="185"/>
        <v/>
      </c>
      <c r="P245" s="32"/>
      <c r="Q245" s="33" t="str">
        <f t="shared" si="162"/>
        <v/>
      </c>
      <c r="R245" s="33" t="str">
        <f t="shared" si="163"/>
        <v/>
      </c>
      <c r="S245" s="33" t="str">
        <f t="shared" si="164"/>
        <v/>
      </c>
      <c r="T245" s="33" t="str">
        <f t="shared" si="165"/>
        <v/>
      </c>
      <c r="U245" s="33" t="str">
        <f t="shared" si="166"/>
        <v/>
      </c>
      <c r="V245" s="33" t="str">
        <f t="shared" si="167"/>
        <v/>
      </c>
      <c r="X245" s="33" t="str">
        <f t="shared" si="153"/>
        <v/>
      </c>
      <c r="Y245" s="30" t="str">
        <f t="shared" si="168"/>
        <v/>
      </c>
      <c r="Z245" s="30" t="str">
        <f t="shared" si="169"/>
        <v/>
      </c>
      <c r="AA245" s="30" t="str">
        <f t="shared" si="170"/>
        <v/>
      </c>
      <c r="AB245" s="30" t="str">
        <f t="shared" si="171"/>
        <v/>
      </c>
      <c r="AD245" s="33" t="str">
        <f t="shared" si="172"/>
        <v/>
      </c>
      <c r="AE245" s="30" t="str">
        <f t="shared" si="173"/>
        <v/>
      </c>
      <c r="AF245" s="30" t="str">
        <f t="shared" si="174"/>
        <v/>
      </c>
      <c r="AG245" s="30" t="str">
        <f t="shared" si="175"/>
        <v/>
      </c>
      <c r="AH245" s="30" t="str">
        <f t="shared" si="176"/>
        <v/>
      </c>
      <c r="AJ245" s="85" t="str">
        <f t="shared" si="186"/>
        <v/>
      </c>
      <c r="AK245" s="86" t="str">
        <f t="shared" si="196"/>
        <v/>
      </c>
      <c r="AL245" s="86" t="str">
        <f t="shared" si="197"/>
        <v/>
      </c>
      <c r="AM245" s="86" t="str">
        <f t="shared" si="198"/>
        <v/>
      </c>
      <c r="AN245" s="86" t="str">
        <f t="shared" si="199"/>
        <v/>
      </c>
      <c r="AO245" s="86" t="str">
        <f t="shared" si="200"/>
        <v/>
      </c>
      <c r="AQ245" s="33" t="str">
        <f t="shared" si="177"/>
        <v/>
      </c>
      <c r="AR245" s="30" t="str">
        <f t="shared" si="178"/>
        <v/>
      </c>
      <c r="AU245" s="20">
        <f t="shared" si="179"/>
        <v>0</v>
      </c>
      <c r="AV245" s="20">
        <f t="shared" si="180"/>
        <v>0</v>
      </c>
      <c r="AW245" s="19">
        <f t="shared" si="187"/>
        <v>0</v>
      </c>
      <c r="AX245" s="19">
        <f t="shared" si="188"/>
        <v>0</v>
      </c>
      <c r="AY245" s="19">
        <f t="shared" si="189"/>
        <v>0</v>
      </c>
      <c r="AZ245" s="19">
        <f t="shared" si="190"/>
        <v>0</v>
      </c>
      <c r="BA245" s="19">
        <f t="shared" si="191"/>
        <v>0</v>
      </c>
      <c r="BB245" s="19">
        <f t="shared" si="192"/>
        <v>0</v>
      </c>
      <c r="BC245" s="19">
        <f t="shared" si="193"/>
        <v>0</v>
      </c>
      <c r="BD245" s="19">
        <f>-IF(CUSTOS!B245="",0,CUSTOS!B245)</f>
        <v>0</v>
      </c>
      <c r="BF245" s="20">
        <f t="shared" si="194"/>
        <v>0</v>
      </c>
      <c r="BG245" s="20">
        <f t="shared" si="195"/>
        <v>0</v>
      </c>
      <c r="BH245" s="116">
        <f t="shared" si="195"/>
        <v>0</v>
      </c>
    </row>
    <row r="246" spans="1:60" ht="15" x14ac:dyDescent="0.25">
      <c r="A246" s="66" t="str">
        <f>IF(LARGE($A$11:A245,1)=$F$2,"",A245+1)</f>
        <v/>
      </c>
      <c r="B246" s="27" t="str">
        <f t="shared" si="154"/>
        <v/>
      </c>
      <c r="C246" s="28" t="str">
        <f t="shared" si="181"/>
        <v/>
      </c>
      <c r="D246" s="28" t="str">
        <f t="shared" si="155"/>
        <v/>
      </c>
      <c r="E246" s="28" t="str">
        <f t="shared" si="156"/>
        <v/>
      </c>
      <c r="F246" s="29" t="str">
        <f t="shared" si="157"/>
        <v/>
      </c>
      <c r="G246" s="29" t="str">
        <f t="shared" si="158"/>
        <v/>
      </c>
      <c r="H246" s="30" t="str">
        <f t="shared" si="159"/>
        <v/>
      </c>
      <c r="I246" s="30" t="str">
        <f t="shared" si="160"/>
        <v/>
      </c>
      <c r="J246" s="30" t="str">
        <f>IF(A246="","",H246+CUSTOS!B246)</f>
        <v/>
      </c>
      <c r="K246" s="30" t="str">
        <f t="shared" si="182"/>
        <v/>
      </c>
      <c r="L246" s="30" t="str">
        <f t="shared" si="183"/>
        <v/>
      </c>
      <c r="M246" s="30" t="str">
        <f t="shared" si="184"/>
        <v/>
      </c>
      <c r="N246" s="30" t="str">
        <f t="shared" si="161"/>
        <v/>
      </c>
      <c r="O246" s="31" t="str">
        <f t="shared" si="185"/>
        <v/>
      </c>
      <c r="P246" s="32"/>
      <c r="Q246" s="33" t="str">
        <f t="shared" si="162"/>
        <v/>
      </c>
      <c r="R246" s="33" t="str">
        <f t="shared" si="163"/>
        <v/>
      </c>
      <c r="S246" s="33" t="str">
        <f t="shared" si="164"/>
        <v/>
      </c>
      <c r="T246" s="33" t="str">
        <f t="shared" si="165"/>
        <v/>
      </c>
      <c r="U246" s="33" t="str">
        <f t="shared" si="166"/>
        <v/>
      </c>
      <c r="V246" s="33" t="str">
        <f t="shared" si="167"/>
        <v/>
      </c>
      <c r="X246" s="33" t="str">
        <f t="shared" si="153"/>
        <v/>
      </c>
      <c r="Y246" s="30" t="str">
        <f t="shared" si="168"/>
        <v/>
      </c>
      <c r="Z246" s="30" t="str">
        <f t="shared" si="169"/>
        <v/>
      </c>
      <c r="AA246" s="30" t="str">
        <f t="shared" si="170"/>
        <v/>
      </c>
      <c r="AB246" s="30" t="str">
        <f t="shared" si="171"/>
        <v/>
      </c>
      <c r="AD246" s="33" t="str">
        <f t="shared" si="172"/>
        <v/>
      </c>
      <c r="AE246" s="30" t="str">
        <f t="shared" si="173"/>
        <v/>
      </c>
      <c r="AF246" s="30" t="str">
        <f t="shared" si="174"/>
        <v/>
      </c>
      <c r="AG246" s="30" t="str">
        <f t="shared" si="175"/>
        <v/>
      </c>
      <c r="AH246" s="30" t="str">
        <f t="shared" si="176"/>
        <v/>
      </c>
      <c r="AJ246" s="85" t="str">
        <f t="shared" si="186"/>
        <v/>
      </c>
      <c r="AK246" s="86" t="str">
        <f t="shared" si="196"/>
        <v/>
      </c>
      <c r="AL246" s="86" t="str">
        <f t="shared" si="197"/>
        <v/>
      </c>
      <c r="AM246" s="86" t="str">
        <f t="shared" si="198"/>
        <v/>
      </c>
      <c r="AN246" s="86" t="str">
        <f t="shared" si="199"/>
        <v/>
      </c>
      <c r="AO246" s="86" t="str">
        <f t="shared" si="200"/>
        <v/>
      </c>
      <c r="AQ246" s="33" t="str">
        <f t="shared" si="177"/>
        <v/>
      </c>
      <c r="AR246" s="30" t="str">
        <f t="shared" si="178"/>
        <v/>
      </c>
      <c r="AU246" s="20">
        <f t="shared" si="179"/>
        <v>0</v>
      </c>
      <c r="AV246" s="20">
        <f t="shared" si="180"/>
        <v>0</v>
      </c>
      <c r="AW246" s="19">
        <f t="shared" si="187"/>
        <v>0</v>
      </c>
      <c r="AX246" s="19">
        <f t="shared" si="188"/>
        <v>0</v>
      </c>
      <c r="AY246" s="19">
        <f t="shared" si="189"/>
        <v>0</v>
      </c>
      <c r="AZ246" s="19">
        <f t="shared" si="190"/>
        <v>0</v>
      </c>
      <c r="BA246" s="19">
        <f t="shared" si="191"/>
        <v>0</v>
      </c>
      <c r="BB246" s="19">
        <f t="shared" si="192"/>
        <v>0</v>
      </c>
      <c r="BC246" s="19">
        <f t="shared" si="193"/>
        <v>0</v>
      </c>
      <c r="BD246" s="19">
        <f>-IF(CUSTOS!B246="",0,CUSTOS!B246)</f>
        <v>0</v>
      </c>
      <c r="BF246" s="20">
        <f t="shared" si="194"/>
        <v>0</v>
      </c>
      <c r="BG246" s="20">
        <f t="shared" si="195"/>
        <v>0</v>
      </c>
      <c r="BH246" s="116">
        <f t="shared" si="195"/>
        <v>0</v>
      </c>
    </row>
    <row r="247" spans="1:60" ht="15" x14ac:dyDescent="0.25">
      <c r="A247" s="66" t="str">
        <f>IF(LARGE($A$11:A246,1)=$F$2,"",A246+1)</f>
        <v/>
      </c>
      <c r="B247" s="27" t="str">
        <f t="shared" si="154"/>
        <v/>
      </c>
      <c r="C247" s="28" t="str">
        <f t="shared" si="181"/>
        <v/>
      </c>
      <c r="D247" s="28" t="str">
        <f t="shared" si="155"/>
        <v/>
      </c>
      <c r="E247" s="28" t="str">
        <f t="shared" si="156"/>
        <v/>
      </c>
      <c r="F247" s="29" t="str">
        <f t="shared" si="157"/>
        <v/>
      </c>
      <c r="G247" s="29" t="str">
        <f t="shared" si="158"/>
        <v/>
      </c>
      <c r="H247" s="30" t="str">
        <f t="shared" si="159"/>
        <v/>
      </c>
      <c r="I247" s="30" t="str">
        <f t="shared" si="160"/>
        <v/>
      </c>
      <c r="J247" s="30" t="str">
        <f>IF(A247="","",H247+CUSTOS!B247)</f>
        <v/>
      </c>
      <c r="K247" s="30" t="str">
        <f t="shared" si="182"/>
        <v/>
      </c>
      <c r="L247" s="30" t="str">
        <f t="shared" si="183"/>
        <v/>
      </c>
      <c r="M247" s="30" t="str">
        <f t="shared" si="184"/>
        <v/>
      </c>
      <c r="N247" s="30" t="str">
        <f t="shared" si="161"/>
        <v/>
      </c>
      <c r="O247" s="31" t="str">
        <f t="shared" si="185"/>
        <v/>
      </c>
      <c r="P247" s="32"/>
      <c r="Q247" s="33" t="str">
        <f t="shared" si="162"/>
        <v/>
      </c>
      <c r="R247" s="33" t="str">
        <f t="shared" si="163"/>
        <v/>
      </c>
      <c r="S247" s="33" t="str">
        <f t="shared" si="164"/>
        <v/>
      </c>
      <c r="T247" s="33" t="str">
        <f t="shared" si="165"/>
        <v/>
      </c>
      <c r="U247" s="33" t="str">
        <f t="shared" si="166"/>
        <v/>
      </c>
      <c r="V247" s="33" t="str">
        <f t="shared" si="167"/>
        <v/>
      </c>
      <c r="X247" s="33" t="str">
        <f t="shared" si="153"/>
        <v/>
      </c>
      <c r="Y247" s="30" t="str">
        <f t="shared" si="168"/>
        <v/>
      </c>
      <c r="Z247" s="30" t="str">
        <f t="shared" si="169"/>
        <v/>
      </c>
      <c r="AA247" s="30" t="str">
        <f t="shared" si="170"/>
        <v/>
      </c>
      <c r="AB247" s="30" t="str">
        <f t="shared" si="171"/>
        <v/>
      </c>
      <c r="AD247" s="33" t="str">
        <f t="shared" si="172"/>
        <v/>
      </c>
      <c r="AE247" s="30" t="str">
        <f t="shared" si="173"/>
        <v/>
      </c>
      <c r="AF247" s="30" t="str">
        <f t="shared" si="174"/>
        <v/>
      </c>
      <c r="AG247" s="30" t="str">
        <f t="shared" si="175"/>
        <v/>
      </c>
      <c r="AH247" s="30" t="str">
        <f t="shared" si="176"/>
        <v/>
      </c>
      <c r="AJ247" s="85" t="str">
        <f t="shared" si="186"/>
        <v/>
      </c>
      <c r="AK247" s="86" t="str">
        <f t="shared" si="196"/>
        <v/>
      </c>
      <c r="AL247" s="86" t="str">
        <f t="shared" si="197"/>
        <v/>
      </c>
      <c r="AM247" s="86" t="str">
        <f t="shared" si="198"/>
        <v/>
      </c>
      <c r="AN247" s="86" t="str">
        <f t="shared" si="199"/>
        <v/>
      </c>
      <c r="AO247" s="86" t="str">
        <f t="shared" si="200"/>
        <v/>
      </c>
      <c r="AQ247" s="33" t="str">
        <f t="shared" si="177"/>
        <v/>
      </c>
      <c r="AR247" s="30" t="str">
        <f t="shared" si="178"/>
        <v/>
      </c>
      <c r="AU247" s="20">
        <f t="shared" si="179"/>
        <v>0</v>
      </c>
      <c r="AV247" s="20">
        <f t="shared" si="180"/>
        <v>0</v>
      </c>
      <c r="AW247" s="19">
        <f t="shared" si="187"/>
        <v>0</v>
      </c>
      <c r="AX247" s="19">
        <f t="shared" si="188"/>
        <v>0</v>
      </c>
      <c r="AY247" s="19">
        <f t="shared" si="189"/>
        <v>0</v>
      </c>
      <c r="AZ247" s="19">
        <f t="shared" si="190"/>
        <v>0</v>
      </c>
      <c r="BA247" s="19">
        <f t="shared" si="191"/>
        <v>0</v>
      </c>
      <c r="BB247" s="19">
        <f t="shared" si="192"/>
        <v>0</v>
      </c>
      <c r="BC247" s="19">
        <f t="shared" si="193"/>
        <v>0</v>
      </c>
      <c r="BD247" s="19">
        <f>-IF(CUSTOS!B247="",0,CUSTOS!B247)</f>
        <v>0</v>
      </c>
      <c r="BF247" s="20">
        <f t="shared" si="194"/>
        <v>0</v>
      </c>
      <c r="BG247" s="20">
        <f t="shared" si="195"/>
        <v>0</v>
      </c>
      <c r="BH247" s="116">
        <f t="shared" si="195"/>
        <v>0</v>
      </c>
    </row>
    <row r="248" spans="1:60" ht="15" x14ac:dyDescent="0.25">
      <c r="A248" s="66" t="str">
        <f>IF(LARGE($A$11:A247,1)=$F$2,"",A247+1)</f>
        <v/>
      </c>
      <c r="B248" s="27" t="str">
        <f t="shared" si="154"/>
        <v/>
      </c>
      <c r="C248" s="28" t="str">
        <f t="shared" si="181"/>
        <v/>
      </c>
      <c r="D248" s="28" t="str">
        <f t="shared" si="155"/>
        <v/>
      </c>
      <c r="E248" s="28" t="str">
        <f t="shared" si="156"/>
        <v/>
      </c>
      <c r="F248" s="29" t="str">
        <f t="shared" si="157"/>
        <v/>
      </c>
      <c r="G248" s="29" t="str">
        <f t="shared" si="158"/>
        <v/>
      </c>
      <c r="H248" s="30" t="str">
        <f t="shared" si="159"/>
        <v/>
      </c>
      <c r="I248" s="30" t="str">
        <f t="shared" si="160"/>
        <v/>
      </c>
      <c r="J248" s="30" t="str">
        <f>IF(A248="","",H248+CUSTOS!B248)</f>
        <v/>
      </c>
      <c r="K248" s="30" t="str">
        <f t="shared" si="182"/>
        <v/>
      </c>
      <c r="L248" s="30" t="str">
        <f t="shared" si="183"/>
        <v/>
      </c>
      <c r="M248" s="30" t="str">
        <f t="shared" si="184"/>
        <v/>
      </c>
      <c r="N248" s="30" t="str">
        <f t="shared" si="161"/>
        <v/>
      </c>
      <c r="O248" s="31" t="str">
        <f t="shared" si="185"/>
        <v/>
      </c>
      <c r="P248" s="32"/>
      <c r="Q248" s="33" t="str">
        <f t="shared" si="162"/>
        <v/>
      </c>
      <c r="R248" s="33" t="str">
        <f t="shared" si="163"/>
        <v/>
      </c>
      <c r="S248" s="33" t="str">
        <f t="shared" si="164"/>
        <v/>
      </c>
      <c r="T248" s="33" t="str">
        <f t="shared" si="165"/>
        <v/>
      </c>
      <c r="U248" s="33" t="str">
        <f t="shared" si="166"/>
        <v/>
      </c>
      <c r="V248" s="33" t="str">
        <f t="shared" si="167"/>
        <v/>
      </c>
      <c r="X248" s="33" t="str">
        <f t="shared" si="153"/>
        <v/>
      </c>
      <c r="Y248" s="30" t="str">
        <f t="shared" si="168"/>
        <v/>
      </c>
      <c r="Z248" s="30" t="str">
        <f t="shared" si="169"/>
        <v/>
      </c>
      <c r="AA248" s="30" t="str">
        <f t="shared" si="170"/>
        <v/>
      </c>
      <c r="AB248" s="30" t="str">
        <f t="shared" si="171"/>
        <v/>
      </c>
      <c r="AD248" s="33" t="str">
        <f t="shared" si="172"/>
        <v/>
      </c>
      <c r="AE248" s="30" t="str">
        <f t="shared" si="173"/>
        <v/>
      </c>
      <c r="AF248" s="30" t="str">
        <f t="shared" si="174"/>
        <v/>
      </c>
      <c r="AG248" s="30" t="str">
        <f t="shared" si="175"/>
        <v/>
      </c>
      <c r="AH248" s="30" t="str">
        <f t="shared" si="176"/>
        <v/>
      </c>
      <c r="AJ248" s="85" t="str">
        <f t="shared" si="186"/>
        <v/>
      </c>
      <c r="AK248" s="86" t="str">
        <f t="shared" si="196"/>
        <v/>
      </c>
      <c r="AL248" s="86" t="str">
        <f t="shared" si="197"/>
        <v/>
      </c>
      <c r="AM248" s="86" t="str">
        <f t="shared" si="198"/>
        <v/>
      </c>
      <c r="AN248" s="86" t="str">
        <f t="shared" si="199"/>
        <v/>
      </c>
      <c r="AO248" s="86" t="str">
        <f t="shared" si="200"/>
        <v/>
      </c>
      <c r="AQ248" s="33" t="str">
        <f t="shared" si="177"/>
        <v/>
      </c>
      <c r="AR248" s="30" t="str">
        <f t="shared" si="178"/>
        <v/>
      </c>
      <c r="AU248" s="20">
        <f t="shared" si="179"/>
        <v>0</v>
      </c>
      <c r="AV248" s="20">
        <f t="shared" si="180"/>
        <v>0</v>
      </c>
      <c r="AW248" s="19">
        <f t="shared" si="187"/>
        <v>0</v>
      </c>
      <c r="AX248" s="19">
        <f t="shared" si="188"/>
        <v>0</v>
      </c>
      <c r="AY248" s="19">
        <f t="shared" si="189"/>
        <v>0</v>
      </c>
      <c r="AZ248" s="19">
        <f t="shared" si="190"/>
        <v>0</v>
      </c>
      <c r="BA248" s="19">
        <f t="shared" si="191"/>
        <v>0</v>
      </c>
      <c r="BB248" s="19">
        <f t="shared" si="192"/>
        <v>0</v>
      </c>
      <c r="BC248" s="19">
        <f t="shared" si="193"/>
        <v>0</v>
      </c>
      <c r="BD248" s="19">
        <f>-IF(CUSTOS!B248="",0,CUSTOS!B248)</f>
        <v>0</v>
      </c>
      <c r="BF248" s="20">
        <f t="shared" si="194"/>
        <v>0</v>
      </c>
      <c r="BG248" s="20">
        <f t="shared" si="195"/>
        <v>0</v>
      </c>
      <c r="BH248" s="116">
        <f t="shared" si="195"/>
        <v>0</v>
      </c>
    </row>
    <row r="249" spans="1:60" ht="15" x14ac:dyDescent="0.25">
      <c r="A249" s="66" t="str">
        <f>IF(LARGE($A$11:A248,1)=$F$2,"",A248+1)</f>
        <v/>
      </c>
      <c r="B249" s="27" t="str">
        <f t="shared" si="154"/>
        <v/>
      </c>
      <c r="C249" s="28" t="str">
        <f t="shared" si="181"/>
        <v/>
      </c>
      <c r="D249" s="28" t="str">
        <f t="shared" si="155"/>
        <v/>
      </c>
      <c r="E249" s="28" t="str">
        <f t="shared" si="156"/>
        <v/>
      </c>
      <c r="F249" s="29" t="str">
        <f t="shared" si="157"/>
        <v/>
      </c>
      <c r="G249" s="29" t="str">
        <f t="shared" si="158"/>
        <v/>
      </c>
      <c r="H249" s="30" t="str">
        <f t="shared" si="159"/>
        <v/>
      </c>
      <c r="I249" s="30" t="str">
        <f t="shared" si="160"/>
        <v/>
      </c>
      <c r="J249" s="30" t="str">
        <f>IF(A249="","",H249+CUSTOS!B249)</f>
        <v/>
      </c>
      <c r="K249" s="30" t="str">
        <f t="shared" si="182"/>
        <v/>
      </c>
      <c r="L249" s="30" t="str">
        <f t="shared" si="183"/>
        <v/>
      </c>
      <c r="M249" s="30" t="str">
        <f t="shared" si="184"/>
        <v/>
      </c>
      <c r="N249" s="30" t="str">
        <f t="shared" si="161"/>
        <v/>
      </c>
      <c r="O249" s="31" t="str">
        <f t="shared" si="185"/>
        <v/>
      </c>
      <c r="P249" s="32"/>
      <c r="Q249" s="33" t="str">
        <f t="shared" si="162"/>
        <v/>
      </c>
      <c r="R249" s="33" t="str">
        <f t="shared" si="163"/>
        <v/>
      </c>
      <c r="S249" s="33" t="str">
        <f t="shared" si="164"/>
        <v/>
      </c>
      <c r="T249" s="33" t="str">
        <f t="shared" si="165"/>
        <v/>
      </c>
      <c r="U249" s="33" t="str">
        <f t="shared" si="166"/>
        <v/>
      </c>
      <c r="V249" s="33" t="str">
        <f t="shared" si="167"/>
        <v/>
      </c>
      <c r="X249" s="33" t="str">
        <f t="shared" si="153"/>
        <v/>
      </c>
      <c r="Y249" s="30" t="str">
        <f t="shared" si="168"/>
        <v/>
      </c>
      <c r="Z249" s="30" t="str">
        <f t="shared" si="169"/>
        <v/>
      </c>
      <c r="AA249" s="30" t="str">
        <f t="shared" si="170"/>
        <v/>
      </c>
      <c r="AB249" s="30" t="str">
        <f t="shared" si="171"/>
        <v/>
      </c>
      <c r="AD249" s="33" t="str">
        <f t="shared" si="172"/>
        <v/>
      </c>
      <c r="AE249" s="30" t="str">
        <f t="shared" si="173"/>
        <v/>
      </c>
      <c r="AF249" s="30" t="str">
        <f t="shared" si="174"/>
        <v/>
      </c>
      <c r="AG249" s="30" t="str">
        <f t="shared" si="175"/>
        <v/>
      </c>
      <c r="AH249" s="30" t="str">
        <f t="shared" si="176"/>
        <v/>
      </c>
      <c r="AJ249" s="85" t="str">
        <f t="shared" si="186"/>
        <v/>
      </c>
      <c r="AK249" s="86" t="str">
        <f t="shared" si="196"/>
        <v/>
      </c>
      <c r="AL249" s="86" t="str">
        <f t="shared" si="197"/>
        <v/>
      </c>
      <c r="AM249" s="86" t="str">
        <f t="shared" si="198"/>
        <v/>
      </c>
      <c r="AN249" s="86" t="str">
        <f t="shared" si="199"/>
        <v/>
      </c>
      <c r="AO249" s="86" t="str">
        <f t="shared" si="200"/>
        <v/>
      </c>
      <c r="AQ249" s="33" t="str">
        <f t="shared" si="177"/>
        <v/>
      </c>
      <c r="AR249" s="30" t="str">
        <f t="shared" si="178"/>
        <v/>
      </c>
      <c r="AU249" s="20">
        <f t="shared" si="179"/>
        <v>0</v>
      </c>
      <c r="AV249" s="20">
        <f t="shared" si="180"/>
        <v>0</v>
      </c>
      <c r="AW249" s="19">
        <f t="shared" si="187"/>
        <v>0</v>
      </c>
      <c r="AX249" s="19">
        <f t="shared" si="188"/>
        <v>0</v>
      </c>
      <c r="AY249" s="19">
        <f t="shared" si="189"/>
        <v>0</v>
      </c>
      <c r="AZ249" s="19">
        <f t="shared" si="190"/>
        <v>0</v>
      </c>
      <c r="BA249" s="19">
        <f t="shared" si="191"/>
        <v>0</v>
      </c>
      <c r="BB249" s="19">
        <f t="shared" si="192"/>
        <v>0</v>
      </c>
      <c r="BC249" s="19">
        <f t="shared" si="193"/>
        <v>0</v>
      </c>
      <c r="BD249" s="19">
        <f>-IF(CUSTOS!B249="",0,CUSTOS!B249)</f>
        <v>0</v>
      </c>
      <c r="BF249" s="20">
        <f t="shared" si="194"/>
        <v>0</v>
      </c>
      <c r="BG249" s="20">
        <f t="shared" si="195"/>
        <v>0</v>
      </c>
      <c r="BH249" s="116">
        <f t="shared" si="195"/>
        <v>0</v>
      </c>
    </row>
    <row r="250" spans="1:60" ht="15" x14ac:dyDescent="0.25">
      <c r="A250" s="66" t="str">
        <f>IF(LARGE($A$11:A249,1)=$F$2,"",A249+1)</f>
        <v/>
      </c>
      <c r="B250" s="27" t="str">
        <f t="shared" si="154"/>
        <v/>
      </c>
      <c r="C250" s="28" t="str">
        <f t="shared" si="181"/>
        <v/>
      </c>
      <c r="D250" s="28" t="str">
        <f t="shared" si="155"/>
        <v/>
      </c>
      <c r="E250" s="28" t="str">
        <f t="shared" si="156"/>
        <v/>
      </c>
      <c r="F250" s="29" t="str">
        <f t="shared" si="157"/>
        <v/>
      </c>
      <c r="G250" s="29" t="str">
        <f t="shared" si="158"/>
        <v/>
      </c>
      <c r="H250" s="30" t="str">
        <f t="shared" si="159"/>
        <v/>
      </c>
      <c r="I250" s="30" t="str">
        <f t="shared" si="160"/>
        <v/>
      </c>
      <c r="J250" s="30" t="str">
        <f>IF(A250="","",H250+CUSTOS!B250)</f>
        <v/>
      </c>
      <c r="K250" s="30" t="str">
        <f t="shared" si="182"/>
        <v/>
      </c>
      <c r="L250" s="30" t="str">
        <f t="shared" si="183"/>
        <v/>
      </c>
      <c r="M250" s="30" t="str">
        <f t="shared" si="184"/>
        <v/>
      </c>
      <c r="N250" s="30" t="str">
        <f t="shared" si="161"/>
        <v/>
      </c>
      <c r="O250" s="31" t="str">
        <f t="shared" si="185"/>
        <v/>
      </c>
      <c r="P250" s="32"/>
      <c r="Q250" s="33" t="str">
        <f t="shared" si="162"/>
        <v/>
      </c>
      <c r="R250" s="33" t="str">
        <f t="shared" si="163"/>
        <v/>
      </c>
      <c r="S250" s="33" t="str">
        <f t="shared" si="164"/>
        <v/>
      </c>
      <c r="T250" s="33" t="str">
        <f t="shared" si="165"/>
        <v/>
      </c>
      <c r="U250" s="33" t="str">
        <f t="shared" si="166"/>
        <v/>
      </c>
      <c r="V250" s="33" t="str">
        <f t="shared" si="167"/>
        <v/>
      </c>
      <c r="X250" s="33" t="str">
        <f t="shared" si="153"/>
        <v/>
      </c>
      <c r="Y250" s="30" t="str">
        <f t="shared" si="168"/>
        <v/>
      </c>
      <c r="Z250" s="30" t="str">
        <f t="shared" si="169"/>
        <v/>
      </c>
      <c r="AA250" s="30" t="str">
        <f t="shared" si="170"/>
        <v/>
      </c>
      <c r="AB250" s="30" t="str">
        <f t="shared" si="171"/>
        <v/>
      </c>
      <c r="AD250" s="33" t="str">
        <f t="shared" si="172"/>
        <v/>
      </c>
      <c r="AE250" s="30" t="str">
        <f t="shared" si="173"/>
        <v/>
      </c>
      <c r="AF250" s="30" t="str">
        <f t="shared" si="174"/>
        <v/>
      </c>
      <c r="AG250" s="30" t="str">
        <f t="shared" si="175"/>
        <v/>
      </c>
      <c r="AH250" s="30" t="str">
        <f t="shared" si="176"/>
        <v/>
      </c>
      <c r="AJ250" s="85" t="str">
        <f t="shared" si="186"/>
        <v/>
      </c>
      <c r="AK250" s="86" t="str">
        <f t="shared" si="196"/>
        <v/>
      </c>
      <c r="AL250" s="86" t="str">
        <f t="shared" si="197"/>
        <v/>
      </c>
      <c r="AM250" s="86" t="str">
        <f t="shared" si="198"/>
        <v/>
      </c>
      <c r="AN250" s="86" t="str">
        <f t="shared" si="199"/>
        <v/>
      </c>
      <c r="AO250" s="86" t="str">
        <f t="shared" si="200"/>
        <v/>
      </c>
      <c r="AQ250" s="33" t="str">
        <f t="shared" si="177"/>
        <v/>
      </c>
      <c r="AR250" s="30" t="str">
        <f t="shared" si="178"/>
        <v/>
      </c>
      <c r="AU250" s="20">
        <f t="shared" si="179"/>
        <v>0</v>
      </c>
      <c r="AV250" s="20">
        <f t="shared" si="180"/>
        <v>0</v>
      </c>
      <c r="AW250" s="19">
        <f t="shared" si="187"/>
        <v>0</v>
      </c>
      <c r="AX250" s="19">
        <f t="shared" si="188"/>
        <v>0</v>
      </c>
      <c r="AY250" s="19">
        <f t="shared" si="189"/>
        <v>0</v>
      </c>
      <c r="AZ250" s="19">
        <f t="shared" si="190"/>
        <v>0</v>
      </c>
      <c r="BA250" s="19">
        <f t="shared" si="191"/>
        <v>0</v>
      </c>
      <c r="BB250" s="19">
        <f t="shared" si="192"/>
        <v>0</v>
      </c>
      <c r="BC250" s="19">
        <f t="shared" si="193"/>
        <v>0</v>
      </c>
      <c r="BD250" s="19">
        <f>-IF(CUSTOS!B250="",0,CUSTOS!B250)</f>
        <v>0</v>
      </c>
      <c r="BF250" s="20">
        <f t="shared" si="194"/>
        <v>0</v>
      </c>
      <c r="BG250" s="20">
        <f t="shared" si="195"/>
        <v>0</v>
      </c>
      <c r="BH250" s="116">
        <f t="shared" si="195"/>
        <v>0</v>
      </c>
    </row>
    <row r="251" spans="1:60" ht="15" x14ac:dyDescent="0.25">
      <c r="A251" s="66" t="str">
        <f>IF(LARGE($A$11:A250,1)=$F$2,"",A250+1)</f>
        <v/>
      </c>
      <c r="B251" s="27" t="str">
        <f t="shared" si="154"/>
        <v/>
      </c>
      <c r="C251" s="28" t="str">
        <f t="shared" si="181"/>
        <v/>
      </c>
      <c r="D251" s="28" t="str">
        <f t="shared" si="155"/>
        <v/>
      </c>
      <c r="E251" s="28" t="str">
        <f t="shared" si="156"/>
        <v/>
      </c>
      <c r="F251" s="29" t="str">
        <f t="shared" si="157"/>
        <v/>
      </c>
      <c r="G251" s="29" t="str">
        <f t="shared" si="158"/>
        <v/>
      </c>
      <c r="H251" s="30" t="str">
        <f t="shared" si="159"/>
        <v/>
      </c>
      <c r="I251" s="30" t="str">
        <f t="shared" si="160"/>
        <v/>
      </c>
      <c r="J251" s="30" t="str">
        <f>IF(A251="","",H251+CUSTOS!B251)</f>
        <v/>
      </c>
      <c r="K251" s="30" t="str">
        <f t="shared" si="182"/>
        <v/>
      </c>
      <c r="L251" s="30" t="str">
        <f t="shared" si="183"/>
        <v/>
      </c>
      <c r="M251" s="30" t="str">
        <f t="shared" si="184"/>
        <v/>
      </c>
      <c r="N251" s="30" t="str">
        <f t="shared" si="161"/>
        <v/>
      </c>
      <c r="O251" s="31" t="str">
        <f t="shared" si="185"/>
        <v/>
      </c>
      <c r="P251" s="32"/>
      <c r="Q251" s="33" t="str">
        <f t="shared" si="162"/>
        <v/>
      </c>
      <c r="R251" s="33" t="str">
        <f t="shared" si="163"/>
        <v/>
      </c>
      <c r="S251" s="33" t="str">
        <f t="shared" si="164"/>
        <v/>
      </c>
      <c r="T251" s="33" t="str">
        <f t="shared" si="165"/>
        <v/>
      </c>
      <c r="U251" s="33" t="str">
        <f t="shared" si="166"/>
        <v/>
      </c>
      <c r="V251" s="33" t="str">
        <f t="shared" si="167"/>
        <v/>
      </c>
      <c r="X251" s="33" t="str">
        <f t="shared" si="153"/>
        <v/>
      </c>
      <c r="Y251" s="30" t="str">
        <f t="shared" si="168"/>
        <v/>
      </c>
      <c r="Z251" s="30" t="str">
        <f t="shared" si="169"/>
        <v/>
      </c>
      <c r="AA251" s="30" t="str">
        <f t="shared" si="170"/>
        <v/>
      </c>
      <c r="AB251" s="30" t="str">
        <f t="shared" si="171"/>
        <v/>
      </c>
      <c r="AD251" s="33" t="str">
        <f t="shared" si="172"/>
        <v/>
      </c>
      <c r="AE251" s="30" t="str">
        <f t="shared" si="173"/>
        <v/>
      </c>
      <c r="AF251" s="30" t="str">
        <f t="shared" si="174"/>
        <v/>
      </c>
      <c r="AG251" s="30" t="str">
        <f t="shared" si="175"/>
        <v/>
      </c>
      <c r="AH251" s="30" t="str">
        <f t="shared" si="176"/>
        <v/>
      </c>
      <c r="AJ251" s="85" t="str">
        <f t="shared" si="186"/>
        <v/>
      </c>
      <c r="AK251" s="86" t="str">
        <f t="shared" si="196"/>
        <v/>
      </c>
      <c r="AL251" s="86" t="str">
        <f t="shared" si="197"/>
        <v/>
      </c>
      <c r="AM251" s="86" t="str">
        <f t="shared" si="198"/>
        <v/>
      </c>
      <c r="AN251" s="86" t="str">
        <f t="shared" si="199"/>
        <v/>
      </c>
      <c r="AO251" s="86" t="str">
        <f t="shared" si="200"/>
        <v/>
      </c>
      <c r="AQ251" s="33" t="str">
        <f t="shared" si="177"/>
        <v/>
      </c>
      <c r="AR251" s="30" t="str">
        <f t="shared" si="178"/>
        <v/>
      </c>
      <c r="AU251" s="20">
        <f t="shared" si="179"/>
        <v>0</v>
      </c>
      <c r="AV251" s="20">
        <f t="shared" si="180"/>
        <v>0</v>
      </c>
      <c r="AW251" s="19">
        <f t="shared" si="187"/>
        <v>0</v>
      </c>
      <c r="AX251" s="19">
        <f t="shared" si="188"/>
        <v>0</v>
      </c>
      <c r="AY251" s="19">
        <f t="shared" si="189"/>
        <v>0</v>
      </c>
      <c r="AZ251" s="19">
        <f t="shared" si="190"/>
        <v>0</v>
      </c>
      <c r="BA251" s="19">
        <f t="shared" si="191"/>
        <v>0</v>
      </c>
      <c r="BB251" s="19">
        <f t="shared" si="192"/>
        <v>0</v>
      </c>
      <c r="BC251" s="19">
        <f t="shared" si="193"/>
        <v>0</v>
      </c>
      <c r="BD251" s="19">
        <f>-IF(CUSTOS!B251="",0,CUSTOS!B251)</f>
        <v>0</v>
      </c>
      <c r="BF251" s="20">
        <f t="shared" si="194"/>
        <v>0</v>
      </c>
      <c r="BG251" s="20">
        <f t="shared" si="195"/>
        <v>0</v>
      </c>
      <c r="BH251" s="116">
        <f t="shared" si="195"/>
        <v>0</v>
      </c>
    </row>
    <row r="252" spans="1:60" ht="15" x14ac:dyDescent="0.25">
      <c r="A252" s="66" t="str">
        <f>IF(LARGE($A$11:A251,1)=$F$2,"",A251+1)</f>
        <v/>
      </c>
      <c r="B252" s="27" t="str">
        <f t="shared" si="154"/>
        <v/>
      </c>
      <c r="C252" s="28" t="str">
        <f t="shared" si="181"/>
        <v/>
      </c>
      <c r="D252" s="28" t="str">
        <f t="shared" si="155"/>
        <v/>
      </c>
      <c r="E252" s="28" t="str">
        <f t="shared" si="156"/>
        <v/>
      </c>
      <c r="F252" s="29" t="str">
        <f t="shared" si="157"/>
        <v/>
      </c>
      <c r="G252" s="29" t="str">
        <f t="shared" si="158"/>
        <v/>
      </c>
      <c r="H252" s="30" t="str">
        <f t="shared" si="159"/>
        <v/>
      </c>
      <c r="I252" s="30" t="str">
        <f t="shared" si="160"/>
        <v/>
      </c>
      <c r="J252" s="30" t="str">
        <f>IF(A252="","",H252+CUSTOS!B252)</f>
        <v/>
      </c>
      <c r="K252" s="30" t="str">
        <f t="shared" si="182"/>
        <v/>
      </c>
      <c r="L252" s="30" t="str">
        <f t="shared" si="183"/>
        <v/>
      </c>
      <c r="M252" s="30" t="str">
        <f t="shared" si="184"/>
        <v/>
      </c>
      <c r="N252" s="30" t="str">
        <f t="shared" si="161"/>
        <v/>
      </c>
      <c r="O252" s="31" t="str">
        <f t="shared" si="185"/>
        <v/>
      </c>
      <c r="P252" s="32"/>
      <c r="Q252" s="33" t="str">
        <f t="shared" si="162"/>
        <v/>
      </c>
      <c r="R252" s="33" t="str">
        <f t="shared" si="163"/>
        <v/>
      </c>
      <c r="S252" s="33" t="str">
        <f t="shared" si="164"/>
        <v/>
      </c>
      <c r="T252" s="33" t="str">
        <f t="shared" si="165"/>
        <v/>
      </c>
      <c r="U252" s="33" t="str">
        <f t="shared" si="166"/>
        <v/>
      </c>
      <c r="V252" s="33" t="str">
        <f t="shared" si="167"/>
        <v/>
      </c>
      <c r="X252" s="33" t="str">
        <f t="shared" si="153"/>
        <v/>
      </c>
      <c r="Y252" s="30" t="str">
        <f t="shared" si="168"/>
        <v/>
      </c>
      <c r="Z252" s="30" t="str">
        <f t="shared" si="169"/>
        <v/>
      </c>
      <c r="AA252" s="30" t="str">
        <f t="shared" si="170"/>
        <v/>
      </c>
      <c r="AB252" s="30" t="str">
        <f t="shared" si="171"/>
        <v/>
      </c>
      <c r="AD252" s="33" t="str">
        <f t="shared" si="172"/>
        <v/>
      </c>
      <c r="AE252" s="30" t="str">
        <f t="shared" si="173"/>
        <v/>
      </c>
      <c r="AF252" s="30" t="str">
        <f t="shared" si="174"/>
        <v/>
      </c>
      <c r="AG252" s="30" t="str">
        <f t="shared" si="175"/>
        <v/>
      </c>
      <c r="AH252" s="30" t="str">
        <f t="shared" si="176"/>
        <v/>
      </c>
      <c r="AJ252" s="85" t="str">
        <f t="shared" si="186"/>
        <v/>
      </c>
      <c r="AK252" s="86" t="str">
        <f t="shared" si="196"/>
        <v/>
      </c>
      <c r="AL252" s="86" t="str">
        <f t="shared" si="197"/>
        <v/>
      </c>
      <c r="AM252" s="86" t="str">
        <f t="shared" si="198"/>
        <v/>
      </c>
      <c r="AN252" s="86" t="str">
        <f t="shared" si="199"/>
        <v/>
      </c>
      <c r="AO252" s="86" t="str">
        <f t="shared" si="200"/>
        <v/>
      </c>
      <c r="AQ252" s="33" t="str">
        <f t="shared" si="177"/>
        <v/>
      </c>
      <c r="AR252" s="30" t="str">
        <f t="shared" si="178"/>
        <v/>
      </c>
      <c r="AU252" s="20">
        <f t="shared" si="179"/>
        <v>0</v>
      </c>
      <c r="AV252" s="20">
        <f t="shared" si="180"/>
        <v>0</v>
      </c>
      <c r="AW252" s="19">
        <f t="shared" si="187"/>
        <v>0</v>
      </c>
      <c r="AX252" s="19">
        <f t="shared" si="188"/>
        <v>0</v>
      </c>
      <c r="AY252" s="19">
        <f t="shared" si="189"/>
        <v>0</v>
      </c>
      <c r="AZ252" s="19">
        <f t="shared" si="190"/>
        <v>0</v>
      </c>
      <c r="BA252" s="19">
        <f t="shared" si="191"/>
        <v>0</v>
      </c>
      <c r="BB252" s="19">
        <f t="shared" si="192"/>
        <v>0</v>
      </c>
      <c r="BC252" s="19">
        <f t="shared" si="193"/>
        <v>0</v>
      </c>
      <c r="BD252" s="19">
        <f>-IF(CUSTOS!B252="",0,CUSTOS!B252)</f>
        <v>0</v>
      </c>
      <c r="BF252" s="20">
        <f t="shared" si="194"/>
        <v>0</v>
      </c>
      <c r="BG252" s="20">
        <f t="shared" si="195"/>
        <v>0</v>
      </c>
      <c r="BH252" s="116">
        <f t="shared" si="195"/>
        <v>0</v>
      </c>
    </row>
    <row r="253" spans="1:60" ht="15" x14ac:dyDescent="0.25">
      <c r="A253" s="66" t="str">
        <f>IF(LARGE($A$11:A252,1)=$F$2,"",A252+1)</f>
        <v/>
      </c>
      <c r="B253" s="27" t="str">
        <f t="shared" si="154"/>
        <v/>
      </c>
      <c r="C253" s="28" t="str">
        <f t="shared" si="181"/>
        <v/>
      </c>
      <c r="D253" s="28" t="str">
        <f t="shared" si="155"/>
        <v/>
      </c>
      <c r="E253" s="28" t="str">
        <f t="shared" si="156"/>
        <v/>
      </c>
      <c r="F253" s="29" t="str">
        <f t="shared" si="157"/>
        <v/>
      </c>
      <c r="G253" s="29" t="str">
        <f t="shared" si="158"/>
        <v/>
      </c>
      <c r="H253" s="30" t="str">
        <f t="shared" si="159"/>
        <v/>
      </c>
      <c r="I253" s="30" t="str">
        <f t="shared" si="160"/>
        <v/>
      </c>
      <c r="J253" s="30" t="str">
        <f>IF(A253="","",H253+CUSTOS!B253)</f>
        <v/>
      </c>
      <c r="K253" s="30" t="str">
        <f t="shared" si="182"/>
        <v/>
      </c>
      <c r="L253" s="30" t="str">
        <f t="shared" si="183"/>
        <v/>
      </c>
      <c r="M253" s="30" t="str">
        <f t="shared" si="184"/>
        <v/>
      </c>
      <c r="N253" s="30" t="str">
        <f t="shared" si="161"/>
        <v/>
      </c>
      <c r="O253" s="31" t="str">
        <f t="shared" si="185"/>
        <v/>
      </c>
      <c r="P253" s="32"/>
      <c r="Q253" s="33" t="str">
        <f t="shared" si="162"/>
        <v/>
      </c>
      <c r="R253" s="33" t="str">
        <f t="shared" si="163"/>
        <v/>
      </c>
      <c r="S253" s="33" t="str">
        <f t="shared" si="164"/>
        <v/>
      </c>
      <c r="T253" s="33" t="str">
        <f t="shared" si="165"/>
        <v/>
      </c>
      <c r="U253" s="33" t="str">
        <f t="shared" si="166"/>
        <v/>
      </c>
      <c r="V253" s="33" t="str">
        <f t="shared" si="167"/>
        <v/>
      </c>
      <c r="X253" s="33" t="str">
        <f t="shared" si="153"/>
        <v/>
      </c>
      <c r="Y253" s="30" t="str">
        <f t="shared" si="168"/>
        <v/>
      </c>
      <c r="Z253" s="30" t="str">
        <f t="shared" si="169"/>
        <v/>
      </c>
      <c r="AA253" s="30" t="str">
        <f t="shared" si="170"/>
        <v/>
      </c>
      <c r="AB253" s="30" t="str">
        <f t="shared" si="171"/>
        <v/>
      </c>
      <c r="AD253" s="33" t="str">
        <f t="shared" si="172"/>
        <v/>
      </c>
      <c r="AE253" s="30" t="str">
        <f t="shared" si="173"/>
        <v/>
      </c>
      <c r="AF253" s="30" t="str">
        <f t="shared" si="174"/>
        <v/>
      </c>
      <c r="AG253" s="30" t="str">
        <f t="shared" si="175"/>
        <v/>
      </c>
      <c r="AH253" s="30" t="str">
        <f t="shared" si="176"/>
        <v/>
      </c>
      <c r="AJ253" s="85" t="str">
        <f t="shared" si="186"/>
        <v/>
      </c>
      <c r="AK253" s="86" t="str">
        <f t="shared" si="196"/>
        <v/>
      </c>
      <c r="AL253" s="86" t="str">
        <f t="shared" si="197"/>
        <v/>
      </c>
      <c r="AM253" s="86" t="str">
        <f t="shared" si="198"/>
        <v/>
      </c>
      <c r="AN253" s="86" t="str">
        <f t="shared" si="199"/>
        <v/>
      </c>
      <c r="AO253" s="86" t="str">
        <f t="shared" si="200"/>
        <v/>
      </c>
      <c r="AQ253" s="33" t="str">
        <f t="shared" si="177"/>
        <v/>
      </c>
      <c r="AR253" s="30" t="str">
        <f t="shared" si="178"/>
        <v/>
      </c>
      <c r="AU253" s="20">
        <f t="shared" si="179"/>
        <v>0</v>
      </c>
      <c r="AV253" s="20">
        <f t="shared" si="180"/>
        <v>0</v>
      </c>
      <c r="AW253" s="19">
        <f t="shared" si="187"/>
        <v>0</v>
      </c>
      <c r="AX253" s="19">
        <f t="shared" si="188"/>
        <v>0</v>
      </c>
      <c r="AY253" s="19">
        <f t="shared" si="189"/>
        <v>0</v>
      </c>
      <c r="AZ253" s="19">
        <f t="shared" si="190"/>
        <v>0</v>
      </c>
      <c r="BA253" s="19">
        <f t="shared" si="191"/>
        <v>0</v>
      </c>
      <c r="BB253" s="19">
        <f t="shared" si="192"/>
        <v>0</v>
      </c>
      <c r="BC253" s="19">
        <f t="shared" si="193"/>
        <v>0</v>
      </c>
      <c r="BD253" s="19">
        <f>-IF(CUSTOS!B253="",0,CUSTOS!B253)</f>
        <v>0</v>
      </c>
      <c r="BF253" s="20">
        <f t="shared" si="194"/>
        <v>0</v>
      </c>
      <c r="BG253" s="20">
        <f t="shared" si="195"/>
        <v>0</v>
      </c>
      <c r="BH253" s="116">
        <f t="shared" si="195"/>
        <v>0</v>
      </c>
    </row>
    <row r="254" spans="1:60" ht="15" x14ac:dyDescent="0.25">
      <c r="A254" s="66" t="str">
        <f>IF(LARGE($A$11:A253,1)=$F$2,"",A253+1)</f>
        <v/>
      </c>
      <c r="B254" s="27" t="str">
        <f t="shared" si="154"/>
        <v/>
      </c>
      <c r="C254" s="28" t="str">
        <f t="shared" si="181"/>
        <v/>
      </c>
      <c r="D254" s="28" t="str">
        <f t="shared" si="155"/>
        <v/>
      </c>
      <c r="E254" s="28" t="str">
        <f t="shared" si="156"/>
        <v/>
      </c>
      <c r="F254" s="29" t="str">
        <f t="shared" si="157"/>
        <v/>
      </c>
      <c r="G254" s="29" t="str">
        <f t="shared" si="158"/>
        <v/>
      </c>
      <c r="H254" s="30" t="str">
        <f t="shared" si="159"/>
        <v/>
      </c>
      <c r="I254" s="30" t="str">
        <f t="shared" si="160"/>
        <v/>
      </c>
      <c r="J254" s="30" t="str">
        <f>IF(A254="","",H254+CUSTOS!B254)</f>
        <v/>
      </c>
      <c r="K254" s="30" t="str">
        <f t="shared" si="182"/>
        <v/>
      </c>
      <c r="L254" s="30" t="str">
        <f t="shared" si="183"/>
        <v/>
      </c>
      <c r="M254" s="30" t="str">
        <f t="shared" si="184"/>
        <v/>
      </c>
      <c r="N254" s="30" t="str">
        <f t="shared" si="161"/>
        <v/>
      </c>
      <c r="O254" s="31" t="str">
        <f t="shared" si="185"/>
        <v/>
      </c>
      <c r="P254" s="32"/>
      <c r="Q254" s="33" t="str">
        <f t="shared" si="162"/>
        <v/>
      </c>
      <c r="R254" s="33" t="str">
        <f t="shared" si="163"/>
        <v/>
      </c>
      <c r="S254" s="33" t="str">
        <f t="shared" si="164"/>
        <v/>
      </c>
      <c r="T254" s="33" t="str">
        <f t="shared" si="165"/>
        <v/>
      </c>
      <c r="U254" s="33" t="str">
        <f t="shared" si="166"/>
        <v/>
      </c>
      <c r="V254" s="33" t="str">
        <f t="shared" si="167"/>
        <v/>
      </c>
      <c r="X254" s="33" t="str">
        <f t="shared" si="153"/>
        <v/>
      </c>
      <c r="Y254" s="30" t="str">
        <f t="shared" si="168"/>
        <v/>
      </c>
      <c r="Z254" s="30" t="str">
        <f t="shared" si="169"/>
        <v/>
      </c>
      <c r="AA254" s="30" t="str">
        <f t="shared" si="170"/>
        <v/>
      </c>
      <c r="AB254" s="30" t="str">
        <f t="shared" si="171"/>
        <v/>
      </c>
      <c r="AD254" s="33" t="str">
        <f t="shared" si="172"/>
        <v/>
      </c>
      <c r="AE254" s="30" t="str">
        <f t="shared" si="173"/>
        <v/>
      </c>
      <c r="AF254" s="30" t="str">
        <f t="shared" si="174"/>
        <v/>
      </c>
      <c r="AG254" s="30" t="str">
        <f t="shared" si="175"/>
        <v/>
      </c>
      <c r="AH254" s="30" t="str">
        <f t="shared" si="176"/>
        <v/>
      </c>
      <c r="AJ254" s="85" t="str">
        <f t="shared" si="186"/>
        <v/>
      </c>
      <c r="AK254" s="86" t="str">
        <f t="shared" si="196"/>
        <v/>
      </c>
      <c r="AL254" s="86" t="str">
        <f t="shared" si="197"/>
        <v/>
      </c>
      <c r="AM254" s="86" t="str">
        <f t="shared" si="198"/>
        <v/>
      </c>
      <c r="AN254" s="86" t="str">
        <f t="shared" si="199"/>
        <v/>
      </c>
      <c r="AO254" s="86" t="str">
        <f t="shared" si="200"/>
        <v/>
      </c>
      <c r="AQ254" s="33" t="str">
        <f t="shared" si="177"/>
        <v/>
      </c>
      <c r="AR254" s="30" t="str">
        <f t="shared" si="178"/>
        <v/>
      </c>
      <c r="AU254" s="20">
        <f t="shared" si="179"/>
        <v>0</v>
      </c>
      <c r="AV254" s="20">
        <f t="shared" si="180"/>
        <v>0</v>
      </c>
      <c r="AW254" s="19">
        <f t="shared" si="187"/>
        <v>0</v>
      </c>
      <c r="AX254" s="19">
        <f t="shared" si="188"/>
        <v>0</v>
      </c>
      <c r="AY254" s="19">
        <f t="shared" si="189"/>
        <v>0</v>
      </c>
      <c r="AZ254" s="19">
        <f t="shared" si="190"/>
        <v>0</v>
      </c>
      <c r="BA254" s="19">
        <f t="shared" si="191"/>
        <v>0</v>
      </c>
      <c r="BB254" s="19">
        <f t="shared" si="192"/>
        <v>0</v>
      </c>
      <c r="BC254" s="19">
        <f t="shared" si="193"/>
        <v>0</v>
      </c>
      <c r="BD254" s="19">
        <f>-IF(CUSTOS!B254="",0,CUSTOS!B254)</f>
        <v>0</v>
      </c>
      <c r="BF254" s="20">
        <f t="shared" si="194"/>
        <v>0</v>
      </c>
      <c r="BG254" s="20">
        <f t="shared" si="195"/>
        <v>0</v>
      </c>
      <c r="BH254" s="116">
        <f t="shared" si="195"/>
        <v>0</v>
      </c>
    </row>
    <row r="255" spans="1:60" ht="15" x14ac:dyDescent="0.25">
      <c r="A255" s="66" t="str">
        <f>IF(LARGE($A$11:A254,1)=$F$2,"",A254+1)</f>
        <v/>
      </c>
      <c r="B255" s="27" t="str">
        <f t="shared" si="154"/>
        <v/>
      </c>
      <c r="C255" s="28" t="str">
        <f t="shared" si="181"/>
        <v/>
      </c>
      <c r="D255" s="28" t="str">
        <f t="shared" si="155"/>
        <v/>
      </c>
      <c r="E255" s="28" t="str">
        <f t="shared" si="156"/>
        <v/>
      </c>
      <c r="F255" s="29" t="str">
        <f t="shared" si="157"/>
        <v/>
      </c>
      <c r="G255" s="29" t="str">
        <f t="shared" si="158"/>
        <v/>
      </c>
      <c r="H255" s="30" t="str">
        <f t="shared" si="159"/>
        <v/>
      </c>
      <c r="I255" s="30" t="str">
        <f t="shared" si="160"/>
        <v/>
      </c>
      <c r="J255" s="30" t="str">
        <f>IF(A255="","",H255+CUSTOS!B255)</f>
        <v/>
      </c>
      <c r="K255" s="30" t="str">
        <f t="shared" si="182"/>
        <v/>
      </c>
      <c r="L255" s="30" t="str">
        <f t="shared" si="183"/>
        <v/>
      </c>
      <c r="M255" s="30" t="str">
        <f t="shared" si="184"/>
        <v/>
      </c>
      <c r="N255" s="30" t="str">
        <f t="shared" si="161"/>
        <v/>
      </c>
      <c r="O255" s="31" t="str">
        <f t="shared" si="185"/>
        <v/>
      </c>
      <c r="P255" s="32"/>
      <c r="Q255" s="33" t="str">
        <f t="shared" si="162"/>
        <v/>
      </c>
      <c r="R255" s="33" t="str">
        <f t="shared" si="163"/>
        <v/>
      </c>
      <c r="S255" s="33" t="str">
        <f t="shared" si="164"/>
        <v/>
      </c>
      <c r="T255" s="33" t="str">
        <f t="shared" si="165"/>
        <v/>
      </c>
      <c r="U255" s="33" t="str">
        <f t="shared" si="166"/>
        <v/>
      </c>
      <c r="V255" s="33" t="str">
        <f t="shared" si="167"/>
        <v/>
      </c>
      <c r="X255" s="33" t="str">
        <f t="shared" si="153"/>
        <v/>
      </c>
      <c r="Y255" s="30" t="str">
        <f t="shared" si="168"/>
        <v/>
      </c>
      <c r="Z255" s="30" t="str">
        <f t="shared" si="169"/>
        <v/>
      </c>
      <c r="AA255" s="30" t="str">
        <f t="shared" si="170"/>
        <v/>
      </c>
      <c r="AB255" s="30" t="str">
        <f t="shared" si="171"/>
        <v/>
      </c>
      <c r="AD255" s="33" t="str">
        <f t="shared" si="172"/>
        <v/>
      </c>
      <c r="AE255" s="30" t="str">
        <f t="shared" si="173"/>
        <v/>
      </c>
      <c r="AF255" s="30" t="str">
        <f t="shared" si="174"/>
        <v/>
      </c>
      <c r="AG255" s="30" t="str">
        <f t="shared" si="175"/>
        <v/>
      </c>
      <c r="AH255" s="30" t="str">
        <f t="shared" si="176"/>
        <v/>
      </c>
      <c r="AJ255" s="85" t="str">
        <f t="shared" si="186"/>
        <v/>
      </c>
      <c r="AK255" s="86" t="str">
        <f t="shared" si="196"/>
        <v/>
      </c>
      <c r="AL255" s="86" t="str">
        <f t="shared" si="197"/>
        <v/>
      </c>
      <c r="AM255" s="86" t="str">
        <f t="shared" si="198"/>
        <v/>
      </c>
      <c r="AN255" s="86" t="str">
        <f t="shared" si="199"/>
        <v/>
      </c>
      <c r="AO255" s="86" t="str">
        <f t="shared" si="200"/>
        <v/>
      </c>
      <c r="AQ255" s="33" t="str">
        <f t="shared" si="177"/>
        <v/>
      </c>
      <c r="AR255" s="30" t="str">
        <f t="shared" si="178"/>
        <v/>
      </c>
      <c r="AU255" s="20">
        <f t="shared" si="179"/>
        <v>0</v>
      </c>
      <c r="AV255" s="20">
        <f t="shared" si="180"/>
        <v>0</v>
      </c>
      <c r="AW255" s="19">
        <f t="shared" si="187"/>
        <v>0</v>
      </c>
      <c r="AX255" s="19">
        <f t="shared" si="188"/>
        <v>0</v>
      </c>
      <c r="AY255" s="19">
        <f t="shared" si="189"/>
        <v>0</v>
      </c>
      <c r="AZ255" s="19">
        <f t="shared" si="190"/>
        <v>0</v>
      </c>
      <c r="BA255" s="19">
        <f t="shared" si="191"/>
        <v>0</v>
      </c>
      <c r="BB255" s="19">
        <f t="shared" si="192"/>
        <v>0</v>
      </c>
      <c r="BC255" s="19">
        <f t="shared" si="193"/>
        <v>0</v>
      </c>
      <c r="BD255" s="19">
        <f>-IF(CUSTOS!B255="",0,CUSTOS!B255)</f>
        <v>0</v>
      </c>
      <c r="BF255" s="20">
        <f t="shared" si="194"/>
        <v>0</v>
      </c>
      <c r="BG255" s="20">
        <f t="shared" si="195"/>
        <v>0</v>
      </c>
      <c r="BH255" s="116">
        <f t="shared" si="195"/>
        <v>0</v>
      </c>
    </row>
    <row r="256" spans="1:60" ht="15" x14ac:dyDescent="0.25">
      <c r="A256" s="66" t="str">
        <f>IF(LARGE($A$11:A255,1)=$F$2,"",A255+1)</f>
        <v/>
      </c>
      <c r="B256" s="27" t="str">
        <f t="shared" si="154"/>
        <v/>
      </c>
      <c r="C256" s="28" t="str">
        <f t="shared" si="181"/>
        <v/>
      </c>
      <c r="D256" s="28" t="str">
        <f t="shared" si="155"/>
        <v/>
      </c>
      <c r="E256" s="28" t="str">
        <f t="shared" si="156"/>
        <v/>
      </c>
      <c r="F256" s="29" t="str">
        <f t="shared" si="157"/>
        <v/>
      </c>
      <c r="G256" s="29" t="str">
        <f t="shared" si="158"/>
        <v/>
      </c>
      <c r="H256" s="30" t="str">
        <f t="shared" si="159"/>
        <v/>
      </c>
      <c r="I256" s="30" t="str">
        <f t="shared" si="160"/>
        <v/>
      </c>
      <c r="J256" s="30" t="str">
        <f>IF(A256="","",H256+CUSTOS!B256)</f>
        <v/>
      </c>
      <c r="K256" s="30" t="str">
        <f t="shared" si="182"/>
        <v/>
      </c>
      <c r="L256" s="30" t="str">
        <f t="shared" si="183"/>
        <v/>
      </c>
      <c r="M256" s="30" t="str">
        <f t="shared" si="184"/>
        <v/>
      </c>
      <c r="N256" s="30" t="str">
        <f t="shared" si="161"/>
        <v/>
      </c>
      <c r="O256" s="31" t="str">
        <f t="shared" si="185"/>
        <v/>
      </c>
      <c r="P256" s="32"/>
      <c r="Q256" s="33" t="str">
        <f t="shared" si="162"/>
        <v/>
      </c>
      <c r="R256" s="33" t="str">
        <f t="shared" si="163"/>
        <v/>
      </c>
      <c r="S256" s="33" t="str">
        <f t="shared" si="164"/>
        <v/>
      </c>
      <c r="T256" s="33" t="str">
        <f t="shared" si="165"/>
        <v/>
      </c>
      <c r="U256" s="33" t="str">
        <f t="shared" si="166"/>
        <v/>
      </c>
      <c r="V256" s="33" t="str">
        <f t="shared" si="167"/>
        <v/>
      </c>
      <c r="X256" s="33" t="str">
        <f t="shared" si="153"/>
        <v/>
      </c>
      <c r="Y256" s="30" t="str">
        <f t="shared" si="168"/>
        <v/>
      </c>
      <c r="Z256" s="30" t="str">
        <f t="shared" si="169"/>
        <v/>
      </c>
      <c r="AA256" s="30" t="str">
        <f t="shared" si="170"/>
        <v/>
      </c>
      <c r="AB256" s="30" t="str">
        <f t="shared" si="171"/>
        <v/>
      </c>
      <c r="AD256" s="33" t="str">
        <f t="shared" si="172"/>
        <v/>
      </c>
      <c r="AE256" s="30" t="str">
        <f t="shared" si="173"/>
        <v/>
      </c>
      <c r="AF256" s="30" t="str">
        <f t="shared" si="174"/>
        <v/>
      </c>
      <c r="AG256" s="30" t="str">
        <f t="shared" si="175"/>
        <v/>
      </c>
      <c r="AH256" s="30" t="str">
        <f t="shared" si="176"/>
        <v/>
      </c>
      <c r="AJ256" s="85" t="str">
        <f t="shared" si="186"/>
        <v/>
      </c>
      <c r="AK256" s="86" t="str">
        <f t="shared" si="196"/>
        <v/>
      </c>
      <c r="AL256" s="86" t="str">
        <f t="shared" si="197"/>
        <v/>
      </c>
      <c r="AM256" s="86" t="str">
        <f t="shared" si="198"/>
        <v/>
      </c>
      <c r="AN256" s="86" t="str">
        <f t="shared" si="199"/>
        <v/>
      </c>
      <c r="AO256" s="86" t="str">
        <f t="shared" si="200"/>
        <v/>
      </c>
      <c r="AQ256" s="33" t="str">
        <f t="shared" si="177"/>
        <v/>
      </c>
      <c r="AR256" s="30" t="str">
        <f t="shared" si="178"/>
        <v/>
      </c>
      <c r="AU256" s="20">
        <f t="shared" si="179"/>
        <v>0</v>
      </c>
      <c r="AV256" s="20">
        <f t="shared" si="180"/>
        <v>0</v>
      </c>
      <c r="AW256" s="19">
        <f t="shared" si="187"/>
        <v>0</v>
      </c>
      <c r="AX256" s="19">
        <f t="shared" si="188"/>
        <v>0</v>
      </c>
      <c r="AY256" s="19">
        <f t="shared" si="189"/>
        <v>0</v>
      </c>
      <c r="AZ256" s="19">
        <f t="shared" si="190"/>
        <v>0</v>
      </c>
      <c r="BA256" s="19">
        <f t="shared" si="191"/>
        <v>0</v>
      </c>
      <c r="BB256" s="19">
        <f t="shared" si="192"/>
        <v>0</v>
      </c>
      <c r="BC256" s="19">
        <f t="shared" si="193"/>
        <v>0</v>
      </c>
      <c r="BD256" s="19">
        <f>-IF(CUSTOS!B256="",0,CUSTOS!B256)</f>
        <v>0</v>
      </c>
      <c r="BF256" s="20">
        <f t="shared" si="194"/>
        <v>0</v>
      </c>
      <c r="BG256" s="20">
        <f t="shared" si="195"/>
        <v>0</v>
      </c>
      <c r="BH256" s="116">
        <f t="shared" si="195"/>
        <v>0</v>
      </c>
    </row>
    <row r="257" spans="1:60" ht="15" x14ac:dyDescent="0.25">
      <c r="A257" s="66" t="str">
        <f>IF(LARGE($A$11:A256,1)=$F$2,"",A256+1)</f>
        <v/>
      </c>
      <c r="B257" s="27" t="str">
        <f t="shared" si="154"/>
        <v/>
      </c>
      <c r="C257" s="28" t="str">
        <f t="shared" si="181"/>
        <v/>
      </c>
      <c r="D257" s="28" t="str">
        <f t="shared" si="155"/>
        <v/>
      </c>
      <c r="E257" s="28" t="str">
        <f t="shared" si="156"/>
        <v/>
      </c>
      <c r="F257" s="29" t="str">
        <f t="shared" si="157"/>
        <v/>
      </c>
      <c r="G257" s="29" t="str">
        <f t="shared" si="158"/>
        <v/>
      </c>
      <c r="H257" s="30" t="str">
        <f t="shared" si="159"/>
        <v/>
      </c>
      <c r="I257" s="30" t="str">
        <f t="shared" si="160"/>
        <v/>
      </c>
      <c r="J257" s="30" t="str">
        <f>IF(A257="","",H257+CUSTOS!B257)</f>
        <v/>
      </c>
      <c r="K257" s="30" t="str">
        <f t="shared" si="182"/>
        <v/>
      </c>
      <c r="L257" s="30" t="str">
        <f t="shared" si="183"/>
        <v/>
      </c>
      <c r="M257" s="30" t="str">
        <f t="shared" si="184"/>
        <v/>
      </c>
      <c r="N257" s="30" t="str">
        <f t="shared" si="161"/>
        <v/>
      </c>
      <c r="O257" s="31" t="str">
        <f t="shared" si="185"/>
        <v/>
      </c>
      <c r="P257" s="32"/>
      <c r="Q257" s="33" t="str">
        <f t="shared" si="162"/>
        <v/>
      </c>
      <c r="R257" s="33" t="str">
        <f t="shared" si="163"/>
        <v/>
      </c>
      <c r="S257" s="33" t="str">
        <f t="shared" si="164"/>
        <v/>
      </c>
      <c r="T257" s="33" t="str">
        <f t="shared" si="165"/>
        <v/>
      </c>
      <c r="U257" s="33" t="str">
        <f t="shared" si="166"/>
        <v/>
      </c>
      <c r="V257" s="33" t="str">
        <f t="shared" si="167"/>
        <v/>
      </c>
      <c r="X257" s="33" t="str">
        <f t="shared" si="153"/>
        <v/>
      </c>
      <c r="Y257" s="30" t="str">
        <f t="shared" si="168"/>
        <v/>
      </c>
      <c r="Z257" s="30" t="str">
        <f t="shared" si="169"/>
        <v/>
      </c>
      <c r="AA257" s="30" t="str">
        <f t="shared" si="170"/>
        <v/>
      </c>
      <c r="AB257" s="30" t="str">
        <f t="shared" si="171"/>
        <v/>
      </c>
      <c r="AD257" s="33" t="str">
        <f t="shared" si="172"/>
        <v/>
      </c>
      <c r="AE257" s="30" t="str">
        <f t="shared" si="173"/>
        <v/>
      </c>
      <c r="AF257" s="30" t="str">
        <f t="shared" si="174"/>
        <v/>
      </c>
      <c r="AG257" s="30" t="str">
        <f t="shared" si="175"/>
        <v/>
      </c>
      <c r="AH257" s="30" t="str">
        <f t="shared" si="176"/>
        <v/>
      </c>
      <c r="AJ257" s="85" t="str">
        <f t="shared" si="186"/>
        <v/>
      </c>
      <c r="AK257" s="86" t="str">
        <f t="shared" si="196"/>
        <v/>
      </c>
      <c r="AL257" s="86" t="str">
        <f t="shared" si="197"/>
        <v/>
      </c>
      <c r="AM257" s="86" t="str">
        <f t="shared" si="198"/>
        <v/>
      </c>
      <c r="AN257" s="86" t="str">
        <f t="shared" si="199"/>
        <v/>
      </c>
      <c r="AO257" s="86" t="str">
        <f t="shared" si="200"/>
        <v/>
      </c>
      <c r="AQ257" s="33" t="str">
        <f t="shared" si="177"/>
        <v/>
      </c>
      <c r="AR257" s="30" t="str">
        <f t="shared" si="178"/>
        <v/>
      </c>
      <c r="AU257" s="20">
        <f t="shared" si="179"/>
        <v>0</v>
      </c>
      <c r="AV257" s="20">
        <f t="shared" si="180"/>
        <v>0</v>
      </c>
      <c r="AW257" s="19">
        <f t="shared" si="187"/>
        <v>0</v>
      </c>
      <c r="AX257" s="19">
        <f t="shared" si="188"/>
        <v>0</v>
      </c>
      <c r="AY257" s="19">
        <f t="shared" si="189"/>
        <v>0</v>
      </c>
      <c r="AZ257" s="19">
        <f t="shared" si="190"/>
        <v>0</v>
      </c>
      <c r="BA257" s="19">
        <f t="shared" si="191"/>
        <v>0</v>
      </c>
      <c r="BB257" s="19">
        <f t="shared" si="192"/>
        <v>0</v>
      </c>
      <c r="BC257" s="19">
        <f t="shared" si="193"/>
        <v>0</v>
      </c>
      <c r="BD257" s="19">
        <f>-IF(CUSTOS!B257="",0,CUSTOS!B257)</f>
        <v>0</v>
      </c>
      <c r="BF257" s="20">
        <f t="shared" si="194"/>
        <v>0</v>
      </c>
      <c r="BG257" s="20">
        <f t="shared" si="195"/>
        <v>0</v>
      </c>
      <c r="BH257" s="116">
        <f t="shared" si="195"/>
        <v>0</v>
      </c>
    </row>
    <row r="258" spans="1:60" ht="15" x14ac:dyDescent="0.25">
      <c r="A258" s="66" t="str">
        <f>IF(LARGE($A$11:A257,1)=$F$2,"",A257+1)</f>
        <v/>
      </c>
      <c r="B258" s="27" t="str">
        <f t="shared" si="154"/>
        <v/>
      </c>
      <c r="C258" s="28" t="str">
        <f t="shared" si="181"/>
        <v/>
      </c>
      <c r="D258" s="28" t="str">
        <f t="shared" si="155"/>
        <v/>
      </c>
      <c r="E258" s="28" t="str">
        <f t="shared" si="156"/>
        <v/>
      </c>
      <c r="F258" s="29" t="str">
        <f t="shared" si="157"/>
        <v/>
      </c>
      <c r="G258" s="29" t="str">
        <f t="shared" si="158"/>
        <v/>
      </c>
      <c r="H258" s="30" t="str">
        <f t="shared" si="159"/>
        <v/>
      </c>
      <c r="I258" s="30" t="str">
        <f t="shared" si="160"/>
        <v/>
      </c>
      <c r="J258" s="30" t="str">
        <f>IF(A258="","",H258+CUSTOS!B258)</f>
        <v/>
      </c>
      <c r="K258" s="30" t="str">
        <f t="shared" si="182"/>
        <v/>
      </c>
      <c r="L258" s="30" t="str">
        <f t="shared" si="183"/>
        <v/>
      </c>
      <c r="M258" s="30" t="str">
        <f t="shared" si="184"/>
        <v/>
      </c>
      <c r="N258" s="30" t="str">
        <f t="shared" si="161"/>
        <v/>
      </c>
      <c r="O258" s="31" t="str">
        <f t="shared" si="185"/>
        <v/>
      </c>
      <c r="P258" s="32"/>
      <c r="Q258" s="33" t="str">
        <f t="shared" si="162"/>
        <v/>
      </c>
      <c r="R258" s="33" t="str">
        <f t="shared" si="163"/>
        <v/>
      </c>
      <c r="S258" s="33" t="str">
        <f t="shared" si="164"/>
        <v/>
      </c>
      <c r="T258" s="33" t="str">
        <f t="shared" si="165"/>
        <v/>
      </c>
      <c r="U258" s="33" t="str">
        <f t="shared" si="166"/>
        <v/>
      </c>
      <c r="V258" s="33" t="str">
        <f t="shared" si="167"/>
        <v/>
      </c>
      <c r="X258" s="33" t="str">
        <f t="shared" si="153"/>
        <v/>
      </c>
      <c r="Y258" s="30" t="str">
        <f t="shared" si="168"/>
        <v/>
      </c>
      <c r="Z258" s="30" t="str">
        <f t="shared" si="169"/>
        <v/>
      </c>
      <c r="AA258" s="30" t="str">
        <f t="shared" si="170"/>
        <v/>
      </c>
      <c r="AB258" s="30" t="str">
        <f t="shared" si="171"/>
        <v/>
      </c>
      <c r="AD258" s="33" t="str">
        <f t="shared" si="172"/>
        <v/>
      </c>
      <c r="AE258" s="30" t="str">
        <f t="shared" si="173"/>
        <v/>
      </c>
      <c r="AF258" s="30" t="str">
        <f t="shared" si="174"/>
        <v/>
      </c>
      <c r="AG258" s="30" t="str">
        <f t="shared" si="175"/>
        <v/>
      </c>
      <c r="AH258" s="30" t="str">
        <f t="shared" si="176"/>
        <v/>
      </c>
      <c r="AJ258" s="85" t="str">
        <f t="shared" si="186"/>
        <v/>
      </c>
      <c r="AK258" s="86" t="str">
        <f t="shared" si="196"/>
        <v/>
      </c>
      <c r="AL258" s="86" t="str">
        <f t="shared" si="197"/>
        <v/>
      </c>
      <c r="AM258" s="86" t="str">
        <f t="shared" si="198"/>
        <v/>
      </c>
      <c r="AN258" s="86" t="str">
        <f t="shared" si="199"/>
        <v/>
      </c>
      <c r="AO258" s="86" t="str">
        <f t="shared" si="200"/>
        <v/>
      </c>
      <c r="AQ258" s="33" t="str">
        <f t="shared" si="177"/>
        <v/>
      </c>
      <c r="AR258" s="30" t="str">
        <f t="shared" si="178"/>
        <v/>
      </c>
      <c r="AU258" s="20">
        <f t="shared" si="179"/>
        <v>0</v>
      </c>
      <c r="AV258" s="20">
        <f t="shared" si="180"/>
        <v>0</v>
      </c>
      <c r="AW258" s="19">
        <f t="shared" si="187"/>
        <v>0</v>
      </c>
      <c r="AX258" s="19">
        <f t="shared" si="188"/>
        <v>0</v>
      </c>
      <c r="AY258" s="19">
        <f t="shared" si="189"/>
        <v>0</v>
      </c>
      <c r="AZ258" s="19">
        <f t="shared" si="190"/>
        <v>0</v>
      </c>
      <c r="BA258" s="19">
        <f t="shared" si="191"/>
        <v>0</v>
      </c>
      <c r="BB258" s="19">
        <f t="shared" si="192"/>
        <v>0</v>
      </c>
      <c r="BC258" s="19">
        <f t="shared" si="193"/>
        <v>0</v>
      </c>
      <c r="BD258" s="19">
        <f>-IF(CUSTOS!B258="",0,CUSTOS!B258)</f>
        <v>0</v>
      </c>
      <c r="BF258" s="20">
        <f t="shared" si="194"/>
        <v>0</v>
      </c>
      <c r="BG258" s="20">
        <f t="shared" si="195"/>
        <v>0</v>
      </c>
      <c r="BH258" s="116">
        <f t="shared" si="195"/>
        <v>0</v>
      </c>
    </row>
    <row r="259" spans="1:60" ht="15" x14ac:dyDescent="0.25">
      <c r="A259" s="66" t="str">
        <f>IF(LARGE($A$11:A258,1)=$F$2,"",A258+1)</f>
        <v/>
      </c>
      <c r="B259" s="27" t="str">
        <f t="shared" si="154"/>
        <v/>
      </c>
      <c r="C259" s="28" t="str">
        <f t="shared" si="181"/>
        <v/>
      </c>
      <c r="D259" s="28" t="str">
        <f t="shared" si="155"/>
        <v/>
      </c>
      <c r="E259" s="28" t="str">
        <f t="shared" si="156"/>
        <v/>
      </c>
      <c r="F259" s="29" t="str">
        <f t="shared" si="157"/>
        <v/>
      </c>
      <c r="G259" s="29" t="str">
        <f t="shared" si="158"/>
        <v/>
      </c>
      <c r="H259" s="30" t="str">
        <f t="shared" si="159"/>
        <v/>
      </c>
      <c r="I259" s="30" t="str">
        <f t="shared" si="160"/>
        <v/>
      </c>
      <c r="J259" s="30" t="str">
        <f>IF(A259="","",H259+CUSTOS!B259)</f>
        <v/>
      </c>
      <c r="K259" s="30" t="str">
        <f t="shared" si="182"/>
        <v/>
      </c>
      <c r="L259" s="30" t="str">
        <f t="shared" si="183"/>
        <v/>
      </c>
      <c r="M259" s="30" t="str">
        <f t="shared" si="184"/>
        <v/>
      </c>
      <c r="N259" s="30" t="str">
        <f t="shared" si="161"/>
        <v/>
      </c>
      <c r="O259" s="31" t="str">
        <f t="shared" si="185"/>
        <v/>
      </c>
      <c r="P259" s="32"/>
      <c r="Q259" s="33" t="str">
        <f t="shared" si="162"/>
        <v/>
      </c>
      <c r="R259" s="33" t="str">
        <f t="shared" si="163"/>
        <v/>
      </c>
      <c r="S259" s="33" t="str">
        <f t="shared" si="164"/>
        <v/>
      </c>
      <c r="T259" s="33" t="str">
        <f t="shared" si="165"/>
        <v/>
      </c>
      <c r="U259" s="33" t="str">
        <f t="shared" si="166"/>
        <v/>
      </c>
      <c r="V259" s="33" t="str">
        <f t="shared" si="167"/>
        <v/>
      </c>
      <c r="X259" s="33" t="str">
        <f t="shared" si="153"/>
        <v/>
      </c>
      <c r="Y259" s="30" t="str">
        <f t="shared" si="168"/>
        <v/>
      </c>
      <c r="Z259" s="30" t="str">
        <f t="shared" si="169"/>
        <v/>
      </c>
      <c r="AA259" s="30" t="str">
        <f t="shared" si="170"/>
        <v/>
      </c>
      <c r="AB259" s="30" t="str">
        <f t="shared" si="171"/>
        <v/>
      </c>
      <c r="AD259" s="33" t="str">
        <f t="shared" si="172"/>
        <v/>
      </c>
      <c r="AE259" s="30" t="str">
        <f t="shared" si="173"/>
        <v/>
      </c>
      <c r="AF259" s="30" t="str">
        <f t="shared" si="174"/>
        <v/>
      </c>
      <c r="AG259" s="30" t="str">
        <f t="shared" si="175"/>
        <v/>
      </c>
      <c r="AH259" s="30" t="str">
        <f t="shared" si="176"/>
        <v/>
      </c>
      <c r="AJ259" s="85" t="str">
        <f t="shared" si="186"/>
        <v/>
      </c>
      <c r="AK259" s="86" t="str">
        <f t="shared" si="196"/>
        <v/>
      </c>
      <c r="AL259" s="86" t="str">
        <f t="shared" si="197"/>
        <v/>
      </c>
      <c r="AM259" s="86" t="str">
        <f t="shared" si="198"/>
        <v/>
      </c>
      <c r="AN259" s="86" t="str">
        <f t="shared" si="199"/>
        <v/>
      </c>
      <c r="AO259" s="86" t="str">
        <f t="shared" si="200"/>
        <v/>
      </c>
      <c r="AQ259" s="33" t="str">
        <f t="shared" si="177"/>
        <v/>
      </c>
      <c r="AR259" s="30" t="str">
        <f t="shared" si="178"/>
        <v/>
      </c>
      <c r="AU259" s="20">
        <f t="shared" si="179"/>
        <v>0</v>
      </c>
      <c r="AV259" s="20">
        <f t="shared" si="180"/>
        <v>0</v>
      </c>
      <c r="AW259" s="19">
        <f t="shared" si="187"/>
        <v>0</v>
      </c>
      <c r="AX259" s="19">
        <f t="shared" si="188"/>
        <v>0</v>
      </c>
      <c r="AY259" s="19">
        <f t="shared" si="189"/>
        <v>0</v>
      </c>
      <c r="AZ259" s="19">
        <f t="shared" si="190"/>
        <v>0</v>
      </c>
      <c r="BA259" s="19">
        <f t="shared" si="191"/>
        <v>0</v>
      </c>
      <c r="BB259" s="19">
        <f t="shared" si="192"/>
        <v>0</v>
      </c>
      <c r="BC259" s="19">
        <f t="shared" si="193"/>
        <v>0</v>
      </c>
      <c r="BD259" s="19">
        <f>-IF(CUSTOS!B259="",0,CUSTOS!B259)</f>
        <v>0</v>
      </c>
      <c r="BF259" s="20">
        <f t="shared" si="194"/>
        <v>0</v>
      </c>
      <c r="BG259" s="20">
        <f t="shared" si="195"/>
        <v>0</v>
      </c>
      <c r="BH259" s="116">
        <f t="shared" si="195"/>
        <v>0</v>
      </c>
    </row>
    <row r="260" spans="1:60" ht="15" x14ac:dyDescent="0.25">
      <c r="A260" s="66" t="str">
        <f>IF(LARGE($A$11:A259,1)=$F$2,"",A259+1)</f>
        <v/>
      </c>
      <c r="B260" s="27" t="str">
        <f t="shared" si="154"/>
        <v/>
      </c>
      <c r="C260" s="28" t="str">
        <f t="shared" si="181"/>
        <v/>
      </c>
      <c r="D260" s="28" t="str">
        <f t="shared" si="155"/>
        <v/>
      </c>
      <c r="E260" s="28" t="str">
        <f t="shared" si="156"/>
        <v/>
      </c>
      <c r="F260" s="29" t="str">
        <f t="shared" si="157"/>
        <v/>
      </c>
      <c r="G260" s="29" t="str">
        <f t="shared" si="158"/>
        <v/>
      </c>
      <c r="H260" s="30" t="str">
        <f t="shared" si="159"/>
        <v/>
      </c>
      <c r="I260" s="30" t="str">
        <f t="shared" si="160"/>
        <v/>
      </c>
      <c r="J260" s="30" t="str">
        <f>IF(A260="","",H260+CUSTOS!B260)</f>
        <v/>
      </c>
      <c r="K260" s="30" t="str">
        <f t="shared" si="182"/>
        <v/>
      </c>
      <c r="L260" s="30" t="str">
        <f t="shared" si="183"/>
        <v/>
      </c>
      <c r="M260" s="30" t="str">
        <f t="shared" si="184"/>
        <v/>
      </c>
      <c r="N260" s="30" t="str">
        <f t="shared" si="161"/>
        <v/>
      </c>
      <c r="O260" s="31" t="str">
        <f t="shared" si="185"/>
        <v/>
      </c>
      <c r="P260" s="32"/>
      <c r="Q260" s="33" t="str">
        <f t="shared" si="162"/>
        <v/>
      </c>
      <c r="R260" s="33" t="str">
        <f t="shared" si="163"/>
        <v/>
      </c>
      <c r="S260" s="33" t="str">
        <f t="shared" si="164"/>
        <v/>
      </c>
      <c r="T260" s="33" t="str">
        <f t="shared" si="165"/>
        <v/>
      </c>
      <c r="U260" s="33" t="str">
        <f t="shared" si="166"/>
        <v/>
      </c>
      <c r="V260" s="33" t="str">
        <f t="shared" si="167"/>
        <v/>
      </c>
      <c r="X260" s="33" t="str">
        <f t="shared" ref="X260:X323" si="201">IF($A260="","",IF($A260&gt;prazo_subp,"",IF($Y$6="PMT [diferença]",J260-IF(Q260="",0,Q260),IF($Y$6="A + J",Y260+Z260,(J260-Q260)*pmt_subp))))</f>
        <v/>
      </c>
      <c r="Y260" s="30" t="str">
        <f t="shared" si="168"/>
        <v/>
      </c>
      <c r="Z260" s="30" t="str">
        <f t="shared" si="169"/>
        <v/>
      </c>
      <c r="AA260" s="30" t="str">
        <f t="shared" si="170"/>
        <v/>
      </c>
      <c r="AB260" s="30" t="str">
        <f t="shared" si="171"/>
        <v/>
      </c>
      <c r="AD260" s="33" t="str">
        <f t="shared" si="172"/>
        <v/>
      </c>
      <c r="AE260" s="30" t="str">
        <f t="shared" si="173"/>
        <v/>
      </c>
      <c r="AF260" s="30" t="str">
        <f t="shared" si="174"/>
        <v/>
      </c>
      <c r="AG260" s="30" t="str">
        <f t="shared" si="175"/>
        <v/>
      </c>
      <c r="AH260" s="30" t="str">
        <f t="shared" si="176"/>
        <v/>
      </c>
      <c r="AJ260" s="85" t="str">
        <f t="shared" si="186"/>
        <v/>
      </c>
      <c r="AK260" s="86" t="str">
        <f t="shared" si="196"/>
        <v/>
      </c>
      <c r="AL260" s="86" t="str">
        <f t="shared" si="197"/>
        <v/>
      </c>
      <c r="AM260" s="86" t="str">
        <f t="shared" si="198"/>
        <v/>
      </c>
      <c r="AN260" s="86" t="str">
        <f t="shared" si="199"/>
        <v/>
      </c>
      <c r="AO260" s="86" t="str">
        <f t="shared" si="200"/>
        <v/>
      </c>
      <c r="AQ260" s="33" t="str">
        <f t="shared" si="177"/>
        <v/>
      </c>
      <c r="AR260" s="30" t="str">
        <f t="shared" si="178"/>
        <v/>
      </c>
      <c r="AU260" s="20">
        <f t="shared" si="179"/>
        <v>0</v>
      </c>
      <c r="AV260" s="20">
        <f t="shared" si="180"/>
        <v>0</v>
      </c>
      <c r="AW260" s="19">
        <f t="shared" si="187"/>
        <v>0</v>
      </c>
      <c r="AX260" s="19">
        <f t="shared" si="188"/>
        <v>0</v>
      </c>
      <c r="AY260" s="19">
        <f t="shared" si="189"/>
        <v>0</v>
      </c>
      <c r="AZ260" s="19">
        <f t="shared" si="190"/>
        <v>0</v>
      </c>
      <c r="BA260" s="19">
        <f t="shared" si="191"/>
        <v>0</v>
      </c>
      <c r="BB260" s="19">
        <f t="shared" si="192"/>
        <v>0</v>
      </c>
      <c r="BC260" s="19">
        <f t="shared" si="193"/>
        <v>0</v>
      </c>
      <c r="BD260" s="19">
        <f>-IF(CUSTOS!B260="",0,CUSTOS!B260)</f>
        <v>0</v>
      </c>
      <c r="BF260" s="20">
        <f t="shared" si="194"/>
        <v>0</v>
      </c>
      <c r="BG260" s="20">
        <f t="shared" si="195"/>
        <v>0</v>
      </c>
      <c r="BH260" s="116">
        <f t="shared" si="195"/>
        <v>0</v>
      </c>
    </row>
    <row r="261" spans="1:60" ht="15" x14ac:dyDescent="0.25">
      <c r="A261" s="66" t="str">
        <f>IF(LARGE($A$11:A260,1)=$F$2,"",A260+1)</f>
        <v/>
      </c>
      <c r="B261" s="27" t="str">
        <f t="shared" si="154"/>
        <v/>
      </c>
      <c r="C261" s="28" t="str">
        <f t="shared" si="181"/>
        <v/>
      </c>
      <c r="D261" s="28" t="str">
        <f t="shared" si="155"/>
        <v/>
      </c>
      <c r="E261" s="28" t="str">
        <f t="shared" si="156"/>
        <v/>
      </c>
      <c r="F261" s="29" t="str">
        <f t="shared" si="157"/>
        <v/>
      </c>
      <c r="G261" s="29" t="str">
        <f t="shared" si="158"/>
        <v/>
      </c>
      <c r="H261" s="30" t="str">
        <f t="shared" si="159"/>
        <v/>
      </c>
      <c r="I261" s="30" t="str">
        <f t="shared" si="160"/>
        <v/>
      </c>
      <c r="J261" s="30" t="str">
        <f>IF(A261="","",H261+CUSTOS!B261)</f>
        <v/>
      </c>
      <c r="K261" s="30" t="str">
        <f t="shared" si="182"/>
        <v/>
      </c>
      <c r="L261" s="30" t="str">
        <f t="shared" si="183"/>
        <v/>
      </c>
      <c r="M261" s="30" t="str">
        <f t="shared" si="184"/>
        <v/>
      </c>
      <c r="N261" s="30" t="str">
        <f t="shared" si="161"/>
        <v/>
      </c>
      <c r="O261" s="31" t="str">
        <f t="shared" si="185"/>
        <v/>
      </c>
      <c r="P261" s="32"/>
      <c r="Q261" s="33" t="str">
        <f t="shared" si="162"/>
        <v/>
      </c>
      <c r="R261" s="33" t="str">
        <f t="shared" si="163"/>
        <v/>
      </c>
      <c r="S261" s="33" t="str">
        <f t="shared" si="164"/>
        <v/>
      </c>
      <c r="T261" s="33" t="str">
        <f t="shared" si="165"/>
        <v/>
      </c>
      <c r="U261" s="33" t="str">
        <f t="shared" si="166"/>
        <v/>
      </c>
      <c r="V261" s="33" t="str">
        <f t="shared" si="167"/>
        <v/>
      </c>
      <c r="X261" s="33" t="str">
        <f t="shared" si="201"/>
        <v/>
      </c>
      <c r="Y261" s="30" t="str">
        <f t="shared" si="168"/>
        <v/>
      </c>
      <c r="Z261" s="30" t="str">
        <f t="shared" si="169"/>
        <v/>
      </c>
      <c r="AA261" s="30" t="str">
        <f t="shared" si="170"/>
        <v/>
      </c>
      <c r="AB261" s="30" t="str">
        <f t="shared" si="171"/>
        <v/>
      </c>
      <c r="AD261" s="33" t="str">
        <f t="shared" si="172"/>
        <v/>
      </c>
      <c r="AE261" s="30" t="str">
        <f t="shared" si="173"/>
        <v/>
      </c>
      <c r="AF261" s="30" t="str">
        <f t="shared" si="174"/>
        <v/>
      </c>
      <c r="AG261" s="30" t="str">
        <f t="shared" si="175"/>
        <v/>
      </c>
      <c r="AH261" s="30" t="str">
        <f t="shared" si="176"/>
        <v/>
      </c>
      <c r="AJ261" s="85" t="str">
        <f t="shared" si="186"/>
        <v/>
      </c>
      <c r="AK261" s="86" t="str">
        <f t="shared" si="196"/>
        <v/>
      </c>
      <c r="AL261" s="86" t="str">
        <f t="shared" si="197"/>
        <v/>
      </c>
      <c r="AM261" s="86" t="str">
        <f t="shared" si="198"/>
        <v/>
      </c>
      <c r="AN261" s="86" t="str">
        <f t="shared" si="199"/>
        <v/>
      </c>
      <c r="AO261" s="86" t="str">
        <f t="shared" si="200"/>
        <v/>
      </c>
      <c r="AQ261" s="33" t="str">
        <f t="shared" si="177"/>
        <v/>
      </c>
      <c r="AR261" s="30" t="str">
        <f t="shared" si="178"/>
        <v/>
      </c>
      <c r="AU261" s="20">
        <f t="shared" si="179"/>
        <v>0</v>
      </c>
      <c r="AV261" s="20">
        <f t="shared" si="180"/>
        <v>0</v>
      </c>
      <c r="AW261" s="19">
        <f t="shared" si="187"/>
        <v>0</v>
      </c>
      <c r="AX261" s="19">
        <f t="shared" si="188"/>
        <v>0</v>
      </c>
      <c r="AY261" s="19">
        <f t="shared" si="189"/>
        <v>0</v>
      </c>
      <c r="AZ261" s="19">
        <f t="shared" si="190"/>
        <v>0</v>
      </c>
      <c r="BA261" s="19">
        <f t="shared" si="191"/>
        <v>0</v>
      </c>
      <c r="BB261" s="19">
        <f t="shared" si="192"/>
        <v>0</v>
      </c>
      <c r="BC261" s="19">
        <f t="shared" si="193"/>
        <v>0</v>
      </c>
      <c r="BD261" s="19">
        <f>-IF(CUSTOS!B261="",0,CUSTOS!B261)</f>
        <v>0</v>
      </c>
      <c r="BF261" s="20">
        <f t="shared" si="194"/>
        <v>0</v>
      </c>
      <c r="BG261" s="20">
        <f t="shared" si="195"/>
        <v>0</v>
      </c>
      <c r="BH261" s="116">
        <f t="shared" si="195"/>
        <v>0</v>
      </c>
    </row>
    <row r="262" spans="1:60" ht="15" x14ac:dyDescent="0.25">
      <c r="A262" s="66" t="str">
        <f>IF(LARGE($A$11:A261,1)=$F$2,"",A261+1)</f>
        <v/>
      </c>
      <c r="B262" s="27" t="str">
        <f t="shared" si="154"/>
        <v/>
      </c>
      <c r="C262" s="28" t="str">
        <f t="shared" si="181"/>
        <v/>
      </c>
      <c r="D262" s="28" t="str">
        <f t="shared" si="155"/>
        <v/>
      </c>
      <c r="E262" s="28" t="str">
        <f t="shared" si="156"/>
        <v/>
      </c>
      <c r="F262" s="29" t="str">
        <f t="shared" si="157"/>
        <v/>
      </c>
      <c r="G262" s="29" t="str">
        <f t="shared" si="158"/>
        <v/>
      </c>
      <c r="H262" s="30" t="str">
        <f t="shared" si="159"/>
        <v/>
      </c>
      <c r="I262" s="30" t="str">
        <f t="shared" si="160"/>
        <v/>
      </c>
      <c r="J262" s="30" t="str">
        <f>IF(A262="","",H262+CUSTOS!B262)</f>
        <v/>
      </c>
      <c r="K262" s="30" t="str">
        <f t="shared" si="182"/>
        <v/>
      </c>
      <c r="L262" s="30" t="str">
        <f t="shared" si="183"/>
        <v/>
      </c>
      <c r="M262" s="30" t="str">
        <f t="shared" si="184"/>
        <v/>
      </c>
      <c r="N262" s="30" t="str">
        <f t="shared" si="161"/>
        <v/>
      </c>
      <c r="O262" s="31" t="str">
        <f t="shared" si="185"/>
        <v/>
      </c>
      <c r="P262" s="32"/>
      <c r="Q262" s="33" t="str">
        <f t="shared" si="162"/>
        <v/>
      </c>
      <c r="R262" s="33" t="str">
        <f t="shared" si="163"/>
        <v/>
      </c>
      <c r="S262" s="33" t="str">
        <f t="shared" si="164"/>
        <v/>
      </c>
      <c r="T262" s="33" t="str">
        <f t="shared" si="165"/>
        <v/>
      </c>
      <c r="U262" s="33" t="str">
        <f t="shared" si="166"/>
        <v/>
      </c>
      <c r="V262" s="33" t="str">
        <f t="shared" si="167"/>
        <v/>
      </c>
      <c r="X262" s="33" t="str">
        <f t="shared" si="201"/>
        <v/>
      </c>
      <c r="Y262" s="30" t="str">
        <f t="shared" si="168"/>
        <v/>
      </c>
      <c r="Z262" s="30" t="str">
        <f t="shared" si="169"/>
        <v/>
      </c>
      <c r="AA262" s="30" t="str">
        <f t="shared" si="170"/>
        <v/>
      </c>
      <c r="AB262" s="30" t="str">
        <f t="shared" si="171"/>
        <v/>
      </c>
      <c r="AD262" s="33" t="str">
        <f t="shared" si="172"/>
        <v/>
      </c>
      <c r="AE262" s="30" t="str">
        <f t="shared" si="173"/>
        <v/>
      </c>
      <c r="AF262" s="30" t="str">
        <f t="shared" si="174"/>
        <v/>
      </c>
      <c r="AG262" s="30" t="str">
        <f t="shared" si="175"/>
        <v/>
      </c>
      <c r="AH262" s="30" t="str">
        <f t="shared" si="176"/>
        <v/>
      </c>
      <c r="AJ262" s="85" t="str">
        <f t="shared" si="186"/>
        <v/>
      </c>
      <c r="AK262" s="86" t="str">
        <f t="shared" si="196"/>
        <v/>
      </c>
      <c r="AL262" s="86" t="str">
        <f t="shared" si="197"/>
        <v/>
      </c>
      <c r="AM262" s="86" t="str">
        <f t="shared" si="198"/>
        <v/>
      </c>
      <c r="AN262" s="86" t="str">
        <f t="shared" si="199"/>
        <v/>
      </c>
      <c r="AO262" s="86" t="str">
        <f t="shared" si="200"/>
        <v/>
      </c>
      <c r="AQ262" s="33" t="str">
        <f t="shared" si="177"/>
        <v/>
      </c>
      <c r="AR262" s="30" t="str">
        <f t="shared" si="178"/>
        <v/>
      </c>
      <c r="AU262" s="20">
        <f t="shared" si="179"/>
        <v>0</v>
      </c>
      <c r="AV262" s="20">
        <f t="shared" si="180"/>
        <v>0</v>
      </c>
      <c r="AW262" s="19">
        <f t="shared" si="187"/>
        <v>0</v>
      </c>
      <c r="AX262" s="19">
        <f t="shared" si="188"/>
        <v>0</v>
      </c>
      <c r="AY262" s="19">
        <f t="shared" si="189"/>
        <v>0</v>
      </c>
      <c r="AZ262" s="19">
        <f t="shared" si="190"/>
        <v>0</v>
      </c>
      <c r="BA262" s="19">
        <f t="shared" si="191"/>
        <v>0</v>
      </c>
      <c r="BB262" s="19">
        <f t="shared" si="192"/>
        <v>0</v>
      </c>
      <c r="BC262" s="19">
        <f t="shared" si="193"/>
        <v>0</v>
      </c>
      <c r="BD262" s="19">
        <f>-IF(CUSTOS!B262="",0,CUSTOS!B262)</f>
        <v>0</v>
      </c>
      <c r="BF262" s="20">
        <f t="shared" si="194"/>
        <v>0</v>
      </c>
      <c r="BG262" s="20">
        <f t="shared" si="195"/>
        <v>0</v>
      </c>
      <c r="BH262" s="116">
        <f t="shared" si="195"/>
        <v>0</v>
      </c>
    </row>
    <row r="263" spans="1:60" ht="15" x14ac:dyDescent="0.25">
      <c r="A263" s="66" t="str">
        <f>IF(LARGE($A$11:A262,1)=$F$2,"",A262+1)</f>
        <v/>
      </c>
      <c r="B263" s="27" t="str">
        <f t="shared" si="154"/>
        <v/>
      </c>
      <c r="C263" s="28" t="str">
        <f t="shared" si="181"/>
        <v/>
      </c>
      <c r="D263" s="28" t="str">
        <f t="shared" si="155"/>
        <v/>
      </c>
      <c r="E263" s="28" t="str">
        <f t="shared" si="156"/>
        <v/>
      </c>
      <c r="F263" s="29" t="str">
        <f t="shared" si="157"/>
        <v/>
      </c>
      <c r="G263" s="29" t="str">
        <f t="shared" si="158"/>
        <v/>
      </c>
      <c r="H263" s="30" t="str">
        <f t="shared" si="159"/>
        <v/>
      </c>
      <c r="I263" s="30" t="str">
        <f t="shared" si="160"/>
        <v/>
      </c>
      <c r="J263" s="30" t="str">
        <f>IF(A263="","",H263+CUSTOS!B263)</f>
        <v/>
      </c>
      <c r="K263" s="30" t="str">
        <f t="shared" si="182"/>
        <v/>
      </c>
      <c r="L263" s="30" t="str">
        <f t="shared" si="183"/>
        <v/>
      </c>
      <c r="M263" s="30" t="str">
        <f t="shared" si="184"/>
        <v/>
      </c>
      <c r="N263" s="30" t="str">
        <f t="shared" si="161"/>
        <v/>
      </c>
      <c r="O263" s="31" t="str">
        <f t="shared" si="185"/>
        <v/>
      </c>
      <c r="P263" s="32"/>
      <c r="Q263" s="33" t="str">
        <f t="shared" si="162"/>
        <v/>
      </c>
      <c r="R263" s="33" t="str">
        <f t="shared" si="163"/>
        <v/>
      </c>
      <c r="S263" s="33" t="str">
        <f t="shared" si="164"/>
        <v/>
      </c>
      <c r="T263" s="33" t="str">
        <f t="shared" si="165"/>
        <v/>
      </c>
      <c r="U263" s="33" t="str">
        <f t="shared" si="166"/>
        <v/>
      </c>
      <c r="V263" s="33" t="str">
        <f t="shared" si="167"/>
        <v/>
      </c>
      <c r="X263" s="33" t="str">
        <f t="shared" si="201"/>
        <v/>
      </c>
      <c r="Y263" s="30" t="str">
        <f t="shared" si="168"/>
        <v/>
      </c>
      <c r="Z263" s="30" t="str">
        <f t="shared" si="169"/>
        <v/>
      </c>
      <c r="AA263" s="30" t="str">
        <f t="shared" si="170"/>
        <v/>
      </c>
      <c r="AB263" s="30" t="str">
        <f t="shared" si="171"/>
        <v/>
      </c>
      <c r="AD263" s="33" t="str">
        <f t="shared" si="172"/>
        <v/>
      </c>
      <c r="AE263" s="30" t="str">
        <f t="shared" si="173"/>
        <v/>
      </c>
      <c r="AF263" s="30" t="str">
        <f t="shared" si="174"/>
        <v/>
      </c>
      <c r="AG263" s="30" t="str">
        <f t="shared" si="175"/>
        <v/>
      </c>
      <c r="AH263" s="30" t="str">
        <f t="shared" si="176"/>
        <v/>
      </c>
      <c r="AJ263" s="85" t="str">
        <f t="shared" si="186"/>
        <v/>
      </c>
      <c r="AK263" s="86" t="str">
        <f t="shared" si="196"/>
        <v/>
      </c>
      <c r="AL263" s="86" t="str">
        <f t="shared" si="197"/>
        <v/>
      </c>
      <c r="AM263" s="86" t="str">
        <f t="shared" si="198"/>
        <v/>
      </c>
      <c r="AN263" s="86" t="str">
        <f t="shared" si="199"/>
        <v/>
      </c>
      <c r="AO263" s="86" t="str">
        <f t="shared" si="200"/>
        <v/>
      </c>
      <c r="AQ263" s="33" t="str">
        <f t="shared" si="177"/>
        <v/>
      </c>
      <c r="AR263" s="30" t="str">
        <f t="shared" si="178"/>
        <v/>
      </c>
      <c r="AU263" s="20">
        <f t="shared" si="179"/>
        <v>0</v>
      </c>
      <c r="AV263" s="20">
        <f t="shared" si="180"/>
        <v>0</v>
      </c>
      <c r="AW263" s="19">
        <f t="shared" si="187"/>
        <v>0</v>
      </c>
      <c r="AX263" s="19">
        <f t="shared" si="188"/>
        <v>0</v>
      </c>
      <c r="AY263" s="19">
        <f t="shared" si="189"/>
        <v>0</v>
      </c>
      <c r="AZ263" s="19">
        <f t="shared" si="190"/>
        <v>0</v>
      </c>
      <c r="BA263" s="19">
        <f t="shared" si="191"/>
        <v>0</v>
      </c>
      <c r="BB263" s="19">
        <f t="shared" si="192"/>
        <v>0</v>
      </c>
      <c r="BC263" s="19">
        <f t="shared" si="193"/>
        <v>0</v>
      </c>
      <c r="BD263" s="19">
        <f>-IF(CUSTOS!B263="",0,CUSTOS!B263)</f>
        <v>0</v>
      </c>
      <c r="BF263" s="20">
        <f t="shared" si="194"/>
        <v>0</v>
      </c>
      <c r="BG263" s="20">
        <f t="shared" si="195"/>
        <v>0</v>
      </c>
      <c r="BH263" s="116">
        <f t="shared" si="195"/>
        <v>0</v>
      </c>
    </row>
    <row r="264" spans="1:60" ht="15" x14ac:dyDescent="0.25">
      <c r="A264" s="66" t="str">
        <f>IF(LARGE($A$11:A263,1)=$F$2,"",A263+1)</f>
        <v/>
      </c>
      <c r="B264" s="27" t="str">
        <f t="shared" si="154"/>
        <v/>
      </c>
      <c r="C264" s="28" t="str">
        <f t="shared" si="181"/>
        <v/>
      </c>
      <c r="D264" s="28" t="str">
        <f t="shared" si="155"/>
        <v/>
      </c>
      <c r="E264" s="28" t="str">
        <f t="shared" si="156"/>
        <v/>
      </c>
      <c r="F264" s="29" t="str">
        <f t="shared" si="157"/>
        <v/>
      </c>
      <c r="G264" s="29" t="str">
        <f t="shared" si="158"/>
        <v/>
      </c>
      <c r="H264" s="30" t="str">
        <f t="shared" si="159"/>
        <v/>
      </c>
      <c r="I264" s="30" t="str">
        <f t="shared" si="160"/>
        <v/>
      </c>
      <c r="J264" s="30" t="str">
        <f>IF(A264="","",H264+CUSTOS!B264)</f>
        <v/>
      </c>
      <c r="K264" s="30" t="str">
        <f t="shared" si="182"/>
        <v/>
      </c>
      <c r="L264" s="30" t="str">
        <f t="shared" si="183"/>
        <v/>
      </c>
      <c r="M264" s="30" t="str">
        <f t="shared" si="184"/>
        <v/>
      </c>
      <c r="N264" s="30" t="str">
        <f t="shared" si="161"/>
        <v/>
      </c>
      <c r="O264" s="31" t="str">
        <f t="shared" si="185"/>
        <v/>
      </c>
      <c r="P264" s="32"/>
      <c r="Q264" s="33" t="str">
        <f t="shared" si="162"/>
        <v/>
      </c>
      <c r="R264" s="33" t="str">
        <f t="shared" si="163"/>
        <v/>
      </c>
      <c r="S264" s="33" t="str">
        <f t="shared" si="164"/>
        <v/>
      </c>
      <c r="T264" s="33" t="str">
        <f t="shared" si="165"/>
        <v/>
      </c>
      <c r="U264" s="33" t="str">
        <f t="shared" si="166"/>
        <v/>
      </c>
      <c r="V264" s="33" t="str">
        <f t="shared" si="167"/>
        <v/>
      </c>
      <c r="X264" s="33" t="str">
        <f t="shared" si="201"/>
        <v/>
      </c>
      <c r="Y264" s="30" t="str">
        <f t="shared" si="168"/>
        <v/>
      </c>
      <c r="Z264" s="30" t="str">
        <f t="shared" si="169"/>
        <v/>
      </c>
      <c r="AA264" s="30" t="str">
        <f t="shared" si="170"/>
        <v/>
      </c>
      <c r="AB264" s="30" t="str">
        <f t="shared" si="171"/>
        <v/>
      </c>
      <c r="AD264" s="33" t="str">
        <f t="shared" si="172"/>
        <v/>
      </c>
      <c r="AE264" s="30" t="str">
        <f t="shared" si="173"/>
        <v/>
      </c>
      <c r="AF264" s="30" t="str">
        <f t="shared" si="174"/>
        <v/>
      </c>
      <c r="AG264" s="30" t="str">
        <f t="shared" si="175"/>
        <v/>
      </c>
      <c r="AH264" s="30" t="str">
        <f t="shared" si="176"/>
        <v/>
      </c>
      <c r="AJ264" s="85" t="str">
        <f t="shared" si="186"/>
        <v/>
      </c>
      <c r="AK264" s="86" t="str">
        <f t="shared" si="196"/>
        <v/>
      </c>
      <c r="AL264" s="86" t="str">
        <f t="shared" si="197"/>
        <v/>
      </c>
      <c r="AM264" s="86" t="str">
        <f t="shared" si="198"/>
        <v/>
      </c>
      <c r="AN264" s="86" t="str">
        <f t="shared" si="199"/>
        <v/>
      </c>
      <c r="AO264" s="86" t="str">
        <f t="shared" si="200"/>
        <v/>
      </c>
      <c r="AQ264" s="33" t="str">
        <f t="shared" si="177"/>
        <v/>
      </c>
      <c r="AR264" s="30" t="str">
        <f t="shared" si="178"/>
        <v/>
      </c>
      <c r="AU264" s="20">
        <f t="shared" si="179"/>
        <v>0</v>
      </c>
      <c r="AV264" s="20">
        <f t="shared" si="180"/>
        <v>0</v>
      </c>
      <c r="AW264" s="19">
        <f t="shared" si="187"/>
        <v>0</v>
      </c>
      <c r="AX264" s="19">
        <f t="shared" si="188"/>
        <v>0</v>
      </c>
      <c r="AY264" s="19">
        <f t="shared" si="189"/>
        <v>0</v>
      </c>
      <c r="AZ264" s="19">
        <f t="shared" si="190"/>
        <v>0</v>
      </c>
      <c r="BA264" s="19">
        <f t="shared" si="191"/>
        <v>0</v>
      </c>
      <c r="BB264" s="19">
        <f t="shared" si="192"/>
        <v>0</v>
      </c>
      <c r="BC264" s="19">
        <f t="shared" si="193"/>
        <v>0</v>
      </c>
      <c r="BD264" s="19">
        <f>-IF(CUSTOS!B264="",0,CUSTOS!B264)</f>
        <v>0</v>
      </c>
      <c r="BF264" s="20">
        <f t="shared" si="194"/>
        <v>0</v>
      </c>
      <c r="BG264" s="20">
        <f t="shared" si="195"/>
        <v>0</v>
      </c>
      <c r="BH264" s="116">
        <f t="shared" si="195"/>
        <v>0</v>
      </c>
    </row>
    <row r="265" spans="1:60" ht="15" x14ac:dyDescent="0.25">
      <c r="A265" s="66" t="str">
        <f>IF(LARGE($A$11:A264,1)=$F$2,"",A264+1)</f>
        <v/>
      </c>
      <c r="B265" s="27" t="str">
        <f t="shared" si="154"/>
        <v/>
      </c>
      <c r="C265" s="28" t="str">
        <f t="shared" si="181"/>
        <v/>
      </c>
      <c r="D265" s="28" t="str">
        <f t="shared" si="155"/>
        <v/>
      </c>
      <c r="E265" s="28" t="str">
        <f t="shared" si="156"/>
        <v/>
      </c>
      <c r="F265" s="29" t="str">
        <f t="shared" si="157"/>
        <v/>
      </c>
      <c r="G265" s="29" t="str">
        <f t="shared" si="158"/>
        <v/>
      </c>
      <c r="H265" s="30" t="str">
        <f t="shared" si="159"/>
        <v/>
      </c>
      <c r="I265" s="30" t="str">
        <f t="shared" si="160"/>
        <v/>
      </c>
      <c r="J265" s="30" t="str">
        <f>IF(A265="","",H265+CUSTOS!B265)</f>
        <v/>
      </c>
      <c r="K265" s="30" t="str">
        <f t="shared" si="182"/>
        <v/>
      </c>
      <c r="L265" s="30" t="str">
        <f t="shared" si="183"/>
        <v/>
      </c>
      <c r="M265" s="30" t="str">
        <f t="shared" si="184"/>
        <v/>
      </c>
      <c r="N265" s="30" t="str">
        <f t="shared" si="161"/>
        <v/>
      </c>
      <c r="O265" s="31" t="str">
        <f t="shared" si="185"/>
        <v/>
      </c>
      <c r="P265" s="32"/>
      <c r="Q265" s="33" t="str">
        <f t="shared" si="162"/>
        <v/>
      </c>
      <c r="R265" s="33" t="str">
        <f t="shared" si="163"/>
        <v/>
      </c>
      <c r="S265" s="33" t="str">
        <f t="shared" si="164"/>
        <v/>
      </c>
      <c r="T265" s="33" t="str">
        <f t="shared" si="165"/>
        <v/>
      </c>
      <c r="U265" s="33" t="str">
        <f t="shared" si="166"/>
        <v/>
      </c>
      <c r="V265" s="33" t="str">
        <f t="shared" si="167"/>
        <v/>
      </c>
      <c r="X265" s="33" t="str">
        <f t="shared" si="201"/>
        <v/>
      </c>
      <c r="Y265" s="30" t="str">
        <f t="shared" si="168"/>
        <v/>
      </c>
      <c r="Z265" s="30" t="str">
        <f t="shared" si="169"/>
        <v/>
      </c>
      <c r="AA265" s="30" t="str">
        <f t="shared" si="170"/>
        <v/>
      </c>
      <c r="AB265" s="30" t="str">
        <f t="shared" si="171"/>
        <v/>
      </c>
      <c r="AD265" s="33" t="str">
        <f t="shared" si="172"/>
        <v/>
      </c>
      <c r="AE265" s="30" t="str">
        <f t="shared" si="173"/>
        <v/>
      </c>
      <c r="AF265" s="30" t="str">
        <f t="shared" si="174"/>
        <v/>
      </c>
      <c r="AG265" s="30" t="str">
        <f t="shared" si="175"/>
        <v/>
      </c>
      <c r="AH265" s="30" t="str">
        <f t="shared" si="176"/>
        <v/>
      </c>
      <c r="AJ265" s="85" t="str">
        <f t="shared" si="186"/>
        <v/>
      </c>
      <c r="AK265" s="86" t="str">
        <f t="shared" si="196"/>
        <v/>
      </c>
      <c r="AL265" s="86" t="str">
        <f t="shared" si="197"/>
        <v/>
      </c>
      <c r="AM265" s="86" t="str">
        <f t="shared" si="198"/>
        <v/>
      </c>
      <c r="AN265" s="86" t="str">
        <f t="shared" si="199"/>
        <v/>
      </c>
      <c r="AO265" s="86" t="str">
        <f t="shared" si="200"/>
        <v/>
      </c>
      <c r="AQ265" s="33" t="str">
        <f t="shared" si="177"/>
        <v/>
      </c>
      <c r="AR265" s="30" t="str">
        <f t="shared" si="178"/>
        <v/>
      </c>
      <c r="AU265" s="20">
        <f t="shared" si="179"/>
        <v>0</v>
      </c>
      <c r="AV265" s="20">
        <f t="shared" si="180"/>
        <v>0</v>
      </c>
      <c r="AW265" s="19">
        <f t="shared" si="187"/>
        <v>0</v>
      </c>
      <c r="AX265" s="19">
        <f t="shared" si="188"/>
        <v>0</v>
      </c>
      <c r="AY265" s="19">
        <f t="shared" si="189"/>
        <v>0</v>
      </c>
      <c r="AZ265" s="19">
        <f t="shared" si="190"/>
        <v>0</v>
      </c>
      <c r="BA265" s="19">
        <f t="shared" si="191"/>
        <v>0</v>
      </c>
      <c r="BB265" s="19">
        <f t="shared" si="192"/>
        <v>0</v>
      </c>
      <c r="BC265" s="19">
        <f t="shared" si="193"/>
        <v>0</v>
      </c>
      <c r="BD265" s="19">
        <f>-IF(CUSTOS!B265="",0,CUSTOS!B265)</f>
        <v>0</v>
      </c>
      <c r="BF265" s="20">
        <f t="shared" si="194"/>
        <v>0</v>
      </c>
      <c r="BG265" s="20">
        <f t="shared" si="195"/>
        <v>0</v>
      </c>
      <c r="BH265" s="116">
        <f t="shared" si="195"/>
        <v>0</v>
      </c>
    </row>
    <row r="266" spans="1:60" ht="15" x14ac:dyDescent="0.25">
      <c r="A266" s="66" t="str">
        <f>IF(LARGE($A$11:A265,1)=$F$2,"",A265+1)</f>
        <v/>
      </c>
      <c r="B266" s="27" t="str">
        <f t="shared" si="154"/>
        <v/>
      </c>
      <c r="C266" s="28" t="str">
        <f t="shared" si="181"/>
        <v/>
      </c>
      <c r="D266" s="28" t="str">
        <f t="shared" si="155"/>
        <v/>
      </c>
      <c r="E266" s="28" t="str">
        <f t="shared" si="156"/>
        <v/>
      </c>
      <c r="F266" s="29" t="str">
        <f t="shared" si="157"/>
        <v/>
      </c>
      <c r="G266" s="29" t="str">
        <f t="shared" si="158"/>
        <v/>
      </c>
      <c r="H266" s="30" t="str">
        <f t="shared" si="159"/>
        <v/>
      </c>
      <c r="I266" s="30" t="str">
        <f t="shared" si="160"/>
        <v/>
      </c>
      <c r="J266" s="30" t="str">
        <f>IF(A266="","",H266+CUSTOS!B266)</f>
        <v/>
      </c>
      <c r="K266" s="30" t="str">
        <f t="shared" si="182"/>
        <v/>
      </c>
      <c r="L266" s="30" t="str">
        <f t="shared" si="183"/>
        <v/>
      </c>
      <c r="M266" s="30" t="str">
        <f t="shared" si="184"/>
        <v/>
      </c>
      <c r="N266" s="30" t="str">
        <f t="shared" si="161"/>
        <v/>
      </c>
      <c r="O266" s="31" t="str">
        <f t="shared" si="185"/>
        <v/>
      </c>
      <c r="P266" s="32"/>
      <c r="Q266" s="33" t="str">
        <f t="shared" si="162"/>
        <v/>
      </c>
      <c r="R266" s="33" t="str">
        <f t="shared" si="163"/>
        <v/>
      </c>
      <c r="S266" s="33" t="str">
        <f t="shared" si="164"/>
        <v/>
      </c>
      <c r="T266" s="33" t="str">
        <f t="shared" si="165"/>
        <v/>
      </c>
      <c r="U266" s="33" t="str">
        <f t="shared" si="166"/>
        <v/>
      </c>
      <c r="V266" s="33" t="str">
        <f t="shared" si="167"/>
        <v/>
      </c>
      <c r="X266" s="33" t="str">
        <f t="shared" si="201"/>
        <v/>
      </c>
      <c r="Y266" s="30" t="str">
        <f t="shared" si="168"/>
        <v/>
      </c>
      <c r="Z266" s="30" t="str">
        <f t="shared" si="169"/>
        <v/>
      </c>
      <c r="AA266" s="30" t="str">
        <f t="shared" si="170"/>
        <v/>
      </c>
      <c r="AB266" s="30" t="str">
        <f t="shared" si="171"/>
        <v/>
      </c>
      <c r="AD266" s="33" t="str">
        <f t="shared" si="172"/>
        <v/>
      </c>
      <c r="AE266" s="30" t="str">
        <f t="shared" si="173"/>
        <v/>
      </c>
      <c r="AF266" s="30" t="str">
        <f t="shared" si="174"/>
        <v/>
      </c>
      <c r="AG266" s="30" t="str">
        <f t="shared" si="175"/>
        <v/>
      </c>
      <c r="AH266" s="30" t="str">
        <f t="shared" si="176"/>
        <v/>
      </c>
      <c r="AJ266" s="85" t="str">
        <f t="shared" si="186"/>
        <v/>
      </c>
      <c r="AK266" s="86" t="str">
        <f t="shared" si="196"/>
        <v/>
      </c>
      <c r="AL266" s="86" t="str">
        <f t="shared" si="197"/>
        <v/>
      </c>
      <c r="AM266" s="86" t="str">
        <f t="shared" si="198"/>
        <v/>
      </c>
      <c r="AN266" s="86" t="str">
        <f t="shared" si="199"/>
        <v/>
      </c>
      <c r="AO266" s="86" t="str">
        <f t="shared" si="200"/>
        <v/>
      </c>
      <c r="AQ266" s="33" t="str">
        <f t="shared" si="177"/>
        <v/>
      </c>
      <c r="AR266" s="30" t="str">
        <f t="shared" si="178"/>
        <v/>
      </c>
      <c r="AU266" s="20">
        <f t="shared" si="179"/>
        <v>0</v>
      </c>
      <c r="AV266" s="20">
        <f t="shared" si="180"/>
        <v>0</v>
      </c>
      <c r="AW266" s="19">
        <f t="shared" si="187"/>
        <v>0</v>
      </c>
      <c r="AX266" s="19">
        <f t="shared" si="188"/>
        <v>0</v>
      </c>
      <c r="AY266" s="19">
        <f t="shared" si="189"/>
        <v>0</v>
      </c>
      <c r="AZ266" s="19">
        <f t="shared" si="190"/>
        <v>0</v>
      </c>
      <c r="BA266" s="19">
        <f t="shared" si="191"/>
        <v>0</v>
      </c>
      <c r="BB266" s="19">
        <f t="shared" si="192"/>
        <v>0</v>
      </c>
      <c r="BC266" s="19">
        <f t="shared" si="193"/>
        <v>0</v>
      </c>
      <c r="BD266" s="19">
        <f>-IF(CUSTOS!B266="",0,CUSTOS!B266)</f>
        <v>0</v>
      </c>
      <c r="BF266" s="20">
        <f t="shared" si="194"/>
        <v>0</v>
      </c>
      <c r="BG266" s="20">
        <f t="shared" si="195"/>
        <v>0</v>
      </c>
      <c r="BH266" s="116">
        <f t="shared" si="195"/>
        <v>0</v>
      </c>
    </row>
    <row r="267" spans="1:60" ht="15" x14ac:dyDescent="0.25">
      <c r="A267" s="66" t="str">
        <f>IF(LARGE($A$11:A266,1)=$F$2,"",A266+1)</f>
        <v/>
      </c>
      <c r="B267" s="27" t="str">
        <f t="shared" si="154"/>
        <v/>
      </c>
      <c r="C267" s="28" t="str">
        <f t="shared" si="181"/>
        <v/>
      </c>
      <c r="D267" s="28" t="str">
        <f t="shared" si="155"/>
        <v/>
      </c>
      <c r="E267" s="28" t="str">
        <f t="shared" si="156"/>
        <v/>
      </c>
      <c r="F267" s="29" t="str">
        <f t="shared" si="157"/>
        <v/>
      </c>
      <c r="G267" s="29" t="str">
        <f t="shared" si="158"/>
        <v/>
      </c>
      <c r="H267" s="30" t="str">
        <f t="shared" si="159"/>
        <v/>
      </c>
      <c r="I267" s="30" t="str">
        <f t="shared" si="160"/>
        <v/>
      </c>
      <c r="J267" s="30" t="str">
        <f>IF(A267="","",H267+CUSTOS!B267)</f>
        <v/>
      </c>
      <c r="K267" s="30" t="str">
        <f t="shared" si="182"/>
        <v/>
      </c>
      <c r="L267" s="30" t="str">
        <f t="shared" si="183"/>
        <v/>
      </c>
      <c r="M267" s="30" t="str">
        <f t="shared" si="184"/>
        <v/>
      </c>
      <c r="N267" s="30" t="str">
        <f t="shared" si="161"/>
        <v/>
      </c>
      <c r="O267" s="31" t="str">
        <f t="shared" si="185"/>
        <v/>
      </c>
      <c r="P267" s="32"/>
      <c r="Q267" s="33" t="str">
        <f t="shared" si="162"/>
        <v/>
      </c>
      <c r="R267" s="33" t="str">
        <f t="shared" si="163"/>
        <v/>
      </c>
      <c r="S267" s="33" t="str">
        <f t="shared" si="164"/>
        <v/>
      </c>
      <c r="T267" s="33" t="str">
        <f t="shared" si="165"/>
        <v/>
      </c>
      <c r="U267" s="33" t="str">
        <f t="shared" si="166"/>
        <v/>
      </c>
      <c r="V267" s="33" t="str">
        <f t="shared" si="167"/>
        <v/>
      </c>
      <c r="X267" s="33" t="str">
        <f t="shared" si="201"/>
        <v/>
      </c>
      <c r="Y267" s="30" t="str">
        <f t="shared" si="168"/>
        <v/>
      </c>
      <c r="Z267" s="30" t="str">
        <f t="shared" si="169"/>
        <v/>
      </c>
      <c r="AA267" s="30" t="str">
        <f t="shared" si="170"/>
        <v/>
      </c>
      <c r="AB267" s="30" t="str">
        <f t="shared" si="171"/>
        <v/>
      </c>
      <c r="AD267" s="33" t="str">
        <f t="shared" si="172"/>
        <v/>
      </c>
      <c r="AE267" s="30" t="str">
        <f t="shared" si="173"/>
        <v/>
      </c>
      <c r="AF267" s="30" t="str">
        <f t="shared" si="174"/>
        <v/>
      </c>
      <c r="AG267" s="30" t="str">
        <f t="shared" si="175"/>
        <v/>
      </c>
      <c r="AH267" s="30" t="str">
        <f t="shared" si="176"/>
        <v/>
      </c>
      <c r="AJ267" s="85" t="str">
        <f t="shared" si="186"/>
        <v/>
      </c>
      <c r="AK267" s="86" t="str">
        <f t="shared" si="196"/>
        <v/>
      </c>
      <c r="AL267" s="86" t="str">
        <f t="shared" si="197"/>
        <v/>
      </c>
      <c r="AM267" s="86" t="str">
        <f t="shared" si="198"/>
        <v/>
      </c>
      <c r="AN267" s="86" t="str">
        <f t="shared" si="199"/>
        <v/>
      </c>
      <c r="AO267" s="86" t="str">
        <f t="shared" si="200"/>
        <v/>
      </c>
      <c r="AQ267" s="33" t="str">
        <f t="shared" si="177"/>
        <v/>
      </c>
      <c r="AR267" s="30" t="str">
        <f t="shared" si="178"/>
        <v/>
      </c>
      <c r="AU267" s="20">
        <f t="shared" si="179"/>
        <v>0</v>
      </c>
      <c r="AV267" s="20">
        <f t="shared" si="180"/>
        <v>0</v>
      </c>
      <c r="AW267" s="19">
        <f t="shared" si="187"/>
        <v>0</v>
      </c>
      <c r="AX267" s="19">
        <f t="shared" si="188"/>
        <v>0</v>
      </c>
      <c r="AY267" s="19">
        <f t="shared" si="189"/>
        <v>0</v>
      </c>
      <c r="AZ267" s="19">
        <f t="shared" si="190"/>
        <v>0</v>
      </c>
      <c r="BA267" s="19">
        <f t="shared" si="191"/>
        <v>0</v>
      </c>
      <c r="BB267" s="19">
        <f t="shared" si="192"/>
        <v>0</v>
      </c>
      <c r="BC267" s="19">
        <f t="shared" si="193"/>
        <v>0</v>
      </c>
      <c r="BD267" s="19">
        <f>-IF(CUSTOS!B267="",0,CUSTOS!B267)</f>
        <v>0</v>
      </c>
      <c r="BF267" s="20">
        <f t="shared" si="194"/>
        <v>0</v>
      </c>
      <c r="BG267" s="20">
        <f t="shared" si="195"/>
        <v>0</v>
      </c>
      <c r="BH267" s="116">
        <f t="shared" si="195"/>
        <v>0</v>
      </c>
    </row>
    <row r="268" spans="1:60" ht="15" x14ac:dyDescent="0.25">
      <c r="A268" s="66" t="str">
        <f>IF(LARGE($A$11:A267,1)=$F$2,"",A267+1)</f>
        <v/>
      </c>
      <c r="B268" s="27" t="str">
        <f t="shared" ref="B268:B331" si="202">IF($A268="","",DATE(YEAR(EDATE(C268,-def_fluxo)),MONTH(EDATE(C268,-def_fluxo)),1))</f>
        <v/>
      </c>
      <c r="C268" s="28" t="str">
        <f t="shared" si="181"/>
        <v/>
      </c>
      <c r="D268" s="28" t="str">
        <f t="shared" ref="D268:D331" si="203">IF($A268="","",WORKDAY(C268-1,1,holiday))</f>
        <v/>
      </c>
      <c r="E268" s="28" t="str">
        <f t="shared" ref="E268:E331" si="204">IF($A268="","",WORKDAY(D268,def_pgto,holiday))</f>
        <v/>
      </c>
      <c r="F268" s="29" t="str">
        <f t="shared" ref="F268:F331" si="205">IF(A268="","",IF(base_calc=252,NETWORKDAYS(D268,D268,holiday)-1,IF(base_calc=360,DAYS360(EDATE(C268,-1),C268,0),"")))</f>
        <v/>
      </c>
      <c r="G268" s="29" t="str">
        <f t="shared" ref="G268:G331" si="206">IF(A268="","",IF(base_calc=252,NETWORKDAYS($F$3,D268,holiday)-1,IF(base_calc=360,DAYS360($F$3,C268),"")))</f>
        <v/>
      </c>
      <c r="H268" s="30" t="str">
        <f t="shared" ref="H268:H331" si="207">IF($A268="","",IF(C268&gt;=$F$5,IF($C$5&gt;0,$C$5,PMT((1+tx_lastro)^(1/12)-1,prazo_op,-$C$6)),0))</f>
        <v/>
      </c>
      <c r="I268" s="30" t="str">
        <f t="shared" ref="I268:I331" si="208">IF(A268="","",H268/(1+tx_lastro)^(G268/base_calc))</f>
        <v/>
      </c>
      <c r="J268" s="30" t="str">
        <f>IF(A268="","",H268+CUSTOS!B268)</f>
        <v/>
      </c>
      <c r="K268" s="30" t="str">
        <f t="shared" si="182"/>
        <v/>
      </c>
      <c r="L268" s="30" t="str">
        <f t="shared" si="183"/>
        <v/>
      </c>
      <c r="M268" s="30" t="str">
        <f t="shared" si="184"/>
        <v/>
      </c>
      <c r="N268" s="30" t="str">
        <f t="shared" ref="N268:N331" si="209">IF(A268="","",J268/(1+tx_lastro)^(G268/base_calc))</f>
        <v/>
      </c>
      <c r="O268" s="31" t="str">
        <f t="shared" si="185"/>
        <v/>
      </c>
      <c r="P268" s="32"/>
      <c r="Q268" s="33" t="str">
        <f t="shared" ref="Q268:Q331" si="210">IF($A268="","",IF($A268&gt;prazo_se,"",IF($R$6="A + J",R268+S268,J268*pmt_se)))</f>
        <v/>
      </c>
      <c r="R268" s="33" t="str">
        <f t="shared" ref="R268:R331" si="211">IF($A268="","",IF($A268&gt;prazo_se,"",IF(OR(H268=0,A268&lt;=carência_se),-S268,IF($R$6="A + J",O268*T267,Q268-S268))))</f>
        <v/>
      </c>
      <c r="S268" s="33" t="str">
        <f t="shared" ref="S268:S331" si="212">IF($A268="","",IF($A268&gt;prazo_se,"",T267*((1+tx_se)^(IF(A268&gt;1,F268,G268)/base_calc)-1)))</f>
        <v/>
      </c>
      <c r="T268" s="33" t="str">
        <f t="shared" ref="T268:T331" si="213">IF($A268="","",IF($A268&gt;prazo_se,"",T267-R268))</f>
        <v/>
      </c>
      <c r="U268" s="33" t="str">
        <f t="shared" ref="U268:U331" si="214">IF($A268="","",IF($A268&gt;prazo_se,"",Q268/(1+tx_se)^(G268/base_calc)))</f>
        <v/>
      </c>
      <c r="V268" s="33" t="str">
        <f t="shared" ref="V268:V331" si="215">IF($A268="","",IF($A268&gt;prazo_se,"",Q268/(1+tx_se2)^(G268/base_calc)))</f>
        <v/>
      </c>
      <c r="X268" s="33" t="str">
        <f t="shared" si="201"/>
        <v/>
      </c>
      <c r="Y268" s="30" t="str">
        <f t="shared" ref="Y268:Y331" si="216">IF($A268="","",IF($A268&gt;prazo_subp,"",IF(A268&lt;=carência_subp,-Z268,IF($Y$6="A + J",O268*AA267,X268-Z268))))</f>
        <v/>
      </c>
      <c r="Z268" s="30" t="str">
        <f t="shared" ref="Z268:Z331" si="217">IF($A268="","",IF($A268&gt;prazo_subp,"",AA267*((1+tx_subp)^(IF(A268&gt;1,F268,G268)/base_calc)-1)))</f>
        <v/>
      </c>
      <c r="AA268" s="30" t="str">
        <f t="shared" ref="AA268:AA331" si="218">IF($A268="","",IF($A268&gt;prazo_subp,"",AA267-Y268))</f>
        <v/>
      </c>
      <c r="AB268" s="30" t="str">
        <f t="shared" ref="AB268:AB331" si="219">IF($A268="","",IF($A268&gt;prazo_subp,"",X268/(1+tx_subp)^(G268/base_calc)))</f>
        <v/>
      </c>
      <c r="AD268" s="33" t="str">
        <f t="shared" ref="AD268:AD331" si="220">IF($A268="","",IF($A268&gt;prazo_sub,"",IF($AE$6="PMT [diferença]",J268-Q268-X268,(J268-Q268-X268)*pmt_sub)))</f>
        <v/>
      </c>
      <c r="AE268" s="30" t="str">
        <f t="shared" ref="AE268:AE331" si="221">IF($A268="","",IF($A268&gt;prazo_sub,"",IF(A268&lt;=carência_sub,-AF268,IF($AE$6="% PMT",O268*AG267,AD268-AF268))))</f>
        <v/>
      </c>
      <c r="AF268" s="30" t="str">
        <f t="shared" ref="AF268:AF331" si="222">IF($A268="","",IF($A268&gt;prazo_sub,"",AG267*((1+tx_sub)^(IF(A268&gt;1,F268,G268)/base_calc)-1)))</f>
        <v/>
      </c>
      <c r="AG268" s="30" t="str">
        <f t="shared" ref="AG268:AG331" si="223">IF($A268="","",IF($A268&gt;prazo_sub,"",AG267-AE268))</f>
        <v/>
      </c>
      <c r="AH268" s="30" t="str">
        <f t="shared" ref="AH268:AH331" si="224">IF($A268="","",IF($A268&gt;prazo_sub,"",AD268/(1+tx_sub)^(G268/base_calc)))</f>
        <v/>
      </c>
      <c r="AJ268" s="85" t="str">
        <f t="shared" si="186"/>
        <v/>
      </c>
      <c r="AK268" s="86" t="str">
        <f t="shared" si="196"/>
        <v/>
      </c>
      <c r="AL268" s="86" t="str">
        <f t="shared" si="197"/>
        <v/>
      </c>
      <c r="AM268" s="86" t="str">
        <f t="shared" si="198"/>
        <v/>
      </c>
      <c r="AN268" s="86" t="str">
        <f t="shared" si="199"/>
        <v/>
      </c>
      <c r="AO268" s="86" t="str">
        <f t="shared" si="200"/>
        <v/>
      </c>
      <c r="AQ268" s="33" t="str">
        <f t="shared" ref="AQ268:AQ331" si="225">IF(A268="","",IF(AJ268&lt;=0,AJ268,0))</f>
        <v/>
      </c>
      <c r="AR268" s="30" t="str">
        <f t="shared" ref="AR268:AR331" si="226">IF(A268="","",IF(AJ268&gt;0,AJ268,0))</f>
        <v/>
      </c>
      <c r="AU268" s="20">
        <f t="shared" ref="AU268:AU331" si="227">IF(H268="",0,H268)</f>
        <v>0</v>
      </c>
      <c r="AV268" s="20">
        <f t="shared" ref="AV268:AV331" si="228">IF(J268="",0,J268)</f>
        <v>0</v>
      </c>
      <c r="AW268" s="19">
        <f t="shared" si="187"/>
        <v>0</v>
      </c>
      <c r="AX268" s="19">
        <f t="shared" si="188"/>
        <v>0</v>
      </c>
      <c r="AY268" s="19">
        <f t="shared" si="189"/>
        <v>0</v>
      </c>
      <c r="AZ268" s="19">
        <f t="shared" si="190"/>
        <v>0</v>
      </c>
      <c r="BA268" s="19">
        <f t="shared" si="191"/>
        <v>0</v>
      </c>
      <c r="BB268" s="19">
        <f t="shared" si="192"/>
        <v>0</v>
      </c>
      <c r="BC268" s="19">
        <f t="shared" si="193"/>
        <v>0</v>
      </c>
      <c r="BD268" s="19">
        <f>-IF(CUSTOS!B268="",0,CUSTOS!B268)</f>
        <v>0</v>
      </c>
      <c r="BF268" s="20">
        <f t="shared" si="194"/>
        <v>0</v>
      </c>
      <c r="BG268" s="20">
        <f t="shared" si="195"/>
        <v>0</v>
      </c>
      <c r="BH268" s="116">
        <f t="shared" si="195"/>
        <v>0</v>
      </c>
    </row>
    <row r="269" spans="1:60" ht="15" x14ac:dyDescent="0.25">
      <c r="A269" s="66" t="str">
        <f>IF(LARGE($A$11:A268,1)=$F$2,"",A268+1)</f>
        <v/>
      </c>
      <c r="B269" s="27" t="str">
        <f t="shared" si="202"/>
        <v/>
      </c>
      <c r="C269" s="28" t="str">
        <f t="shared" ref="C269:C332" si="229">IF($A269="","",IF(OR(DAY($C$12)=30,DAY($C$12)=31),EOMONTH(EDATE(C268,1),0),EDATE(C268,1)))</f>
        <v/>
      </c>
      <c r="D269" s="28" t="str">
        <f t="shared" si="203"/>
        <v/>
      </c>
      <c r="E269" s="28" t="str">
        <f t="shared" si="204"/>
        <v/>
      </c>
      <c r="F269" s="29" t="str">
        <f t="shared" si="205"/>
        <v/>
      </c>
      <c r="G269" s="29" t="str">
        <f t="shared" si="206"/>
        <v/>
      </c>
      <c r="H269" s="30" t="str">
        <f t="shared" si="207"/>
        <v/>
      </c>
      <c r="I269" s="30" t="str">
        <f t="shared" si="208"/>
        <v/>
      </c>
      <c r="J269" s="30" t="str">
        <f>IF(A269="","",H269+CUSTOS!B269)</f>
        <v/>
      </c>
      <c r="K269" s="30" t="str">
        <f t="shared" ref="K269:K332" si="230">IF(A269="","",J269-L269)</f>
        <v/>
      </c>
      <c r="L269" s="30" t="str">
        <f t="shared" ref="L269:L332" si="231">IF(A269="","",M268*((1+tx_lastro)^(F269/base_calc)-1))</f>
        <v/>
      </c>
      <c r="M269" s="30" t="str">
        <f t="shared" ref="M269:M332" si="232">IF(A269="","",M268-K269)</f>
        <v/>
      </c>
      <c r="N269" s="30" t="str">
        <f t="shared" si="209"/>
        <v/>
      </c>
      <c r="O269" s="31" t="str">
        <f t="shared" ref="O269:O332" si="233">IF(A269="","",IFERROR(K269/M268,0))</f>
        <v/>
      </c>
      <c r="P269" s="32"/>
      <c r="Q269" s="33" t="str">
        <f t="shared" si="210"/>
        <v/>
      </c>
      <c r="R269" s="33" t="str">
        <f t="shared" si="211"/>
        <v/>
      </c>
      <c r="S269" s="33" t="str">
        <f t="shared" si="212"/>
        <v/>
      </c>
      <c r="T269" s="33" t="str">
        <f t="shared" si="213"/>
        <v/>
      </c>
      <c r="U269" s="33" t="str">
        <f t="shared" si="214"/>
        <v/>
      </c>
      <c r="V269" s="33" t="str">
        <f t="shared" si="215"/>
        <v/>
      </c>
      <c r="X269" s="33" t="str">
        <f t="shared" si="201"/>
        <v/>
      </c>
      <c r="Y269" s="30" t="str">
        <f t="shared" si="216"/>
        <v/>
      </c>
      <c r="Z269" s="30" t="str">
        <f t="shared" si="217"/>
        <v/>
      </c>
      <c r="AA269" s="30" t="str">
        <f t="shared" si="218"/>
        <v/>
      </c>
      <c r="AB269" s="30" t="str">
        <f t="shared" si="219"/>
        <v/>
      </c>
      <c r="AD269" s="33" t="str">
        <f t="shared" si="220"/>
        <v/>
      </c>
      <c r="AE269" s="30" t="str">
        <f t="shared" si="221"/>
        <v/>
      </c>
      <c r="AF269" s="30" t="str">
        <f t="shared" si="222"/>
        <v/>
      </c>
      <c r="AG269" s="30" t="str">
        <f t="shared" si="223"/>
        <v/>
      </c>
      <c r="AH269" s="30" t="str">
        <f t="shared" si="224"/>
        <v/>
      </c>
      <c r="AJ269" s="85" t="str">
        <f t="shared" ref="AJ269:AJ332" si="234">IF($A269="","",J269-Q269-X269-AD269)</f>
        <v/>
      </c>
      <c r="AK269" s="86" t="str">
        <f t="shared" si="196"/>
        <v/>
      </c>
      <c r="AL269" s="86" t="str">
        <f t="shared" si="197"/>
        <v/>
      </c>
      <c r="AM269" s="86" t="str">
        <f t="shared" si="198"/>
        <v/>
      </c>
      <c r="AN269" s="86" t="str">
        <f t="shared" si="199"/>
        <v/>
      </c>
      <c r="AO269" s="86" t="str">
        <f t="shared" si="200"/>
        <v/>
      </c>
      <c r="AQ269" s="33" t="str">
        <f t="shared" si="225"/>
        <v/>
      </c>
      <c r="AR269" s="30" t="str">
        <f t="shared" si="226"/>
        <v/>
      </c>
      <c r="AU269" s="20">
        <f t="shared" si="227"/>
        <v>0</v>
      </c>
      <c r="AV269" s="20">
        <f t="shared" si="228"/>
        <v>0</v>
      </c>
      <c r="AW269" s="19">
        <f t="shared" ref="AW269:AW332" si="235">IF(Q269="",0,Q269)</f>
        <v>0</v>
      </c>
      <c r="AX269" s="19">
        <f t="shared" ref="AX269:AX332" si="236">IF(X269="",0,X269)</f>
        <v>0</v>
      </c>
      <c r="AY269" s="19">
        <f t="shared" ref="AY269:AY332" si="237">IF(AD269="",0,AD269)</f>
        <v>0</v>
      </c>
      <c r="AZ269" s="19">
        <f t="shared" ref="AZ269:AZ332" si="238">IF(AJ269="",0,AJ269)</f>
        <v>0</v>
      </c>
      <c r="BA269" s="19">
        <f t="shared" ref="BA269:BA332" si="239">AX269</f>
        <v>0</v>
      </c>
      <c r="BB269" s="19">
        <f t="shared" ref="BB269:BB332" si="240">AY269</f>
        <v>0</v>
      </c>
      <c r="BC269" s="19">
        <f t="shared" ref="BC269:BC332" si="241">AZ269</f>
        <v>0</v>
      </c>
      <c r="BD269" s="19">
        <f>-IF(CUSTOS!B269="",0,CUSTOS!B269)</f>
        <v>0</v>
      </c>
      <c r="BF269" s="20">
        <f t="shared" ref="BF269:BF332" si="242">AW269+AX269+AY269+BD269</f>
        <v>0</v>
      </c>
      <c r="BG269" s="20">
        <f t="shared" ref="BG269:BH332" si="243">BF269</f>
        <v>0</v>
      </c>
      <c r="BH269" s="116">
        <f t="shared" si="243"/>
        <v>0</v>
      </c>
    </row>
    <row r="270" spans="1:60" ht="15" x14ac:dyDescent="0.25">
      <c r="A270" s="66" t="str">
        <f>IF(LARGE($A$11:A269,1)=$F$2,"",A269+1)</f>
        <v/>
      </c>
      <c r="B270" s="27" t="str">
        <f t="shared" si="202"/>
        <v/>
      </c>
      <c r="C270" s="28" t="str">
        <f t="shared" si="229"/>
        <v/>
      </c>
      <c r="D270" s="28" t="str">
        <f t="shared" si="203"/>
        <v/>
      </c>
      <c r="E270" s="28" t="str">
        <f t="shared" si="204"/>
        <v/>
      </c>
      <c r="F270" s="29" t="str">
        <f t="shared" si="205"/>
        <v/>
      </c>
      <c r="G270" s="29" t="str">
        <f t="shared" si="206"/>
        <v/>
      </c>
      <c r="H270" s="30" t="str">
        <f t="shared" si="207"/>
        <v/>
      </c>
      <c r="I270" s="30" t="str">
        <f t="shared" si="208"/>
        <v/>
      </c>
      <c r="J270" s="30" t="str">
        <f>IF(A270="","",H270+CUSTOS!B270)</f>
        <v/>
      </c>
      <c r="K270" s="30" t="str">
        <f t="shared" si="230"/>
        <v/>
      </c>
      <c r="L270" s="30" t="str">
        <f t="shared" si="231"/>
        <v/>
      </c>
      <c r="M270" s="30" t="str">
        <f t="shared" si="232"/>
        <v/>
      </c>
      <c r="N270" s="30" t="str">
        <f t="shared" si="209"/>
        <v/>
      </c>
      <c r="O270" s="31" t="str">
        <f t="shared" si="233"/>
        <v/>
      </c>
      <c r="P270" s="32"/>
      <c r="Q270" s="33" t="str">
        <f t="shared" si="210"/>
        <v/>
      </c>
      <c r="R270" s="33" t="str">
        <f t="shared" si="211"/>
        <v/>
      </c>
      <c r="S270" s="33" t="str">
        <f t="shared" si="212"/>
        <v/>
      </c>
      <c r="T270" s="33" t="str">
        <f t="shared" si="213"/>
        <v/>
      </c>
      <c r="U270" s="33" t="str">
        <f t="shared" si="214"/>
        <v/>
      </c>
      <c r="V270" s="33" t="str">
        <f t="shared" si="215"/>
        <v/>
      </c>
      <c r="X270" s="33" t="str">
        <f t="shared" si="201"/>
        <v/>
      </c>
      <c r="Y270" s="30" t="str">
        <f t="shared" si="216"/>
        <v/>
      </c>
      <c r="Z270" s="30" t="str">
        <f t="shared" si="217"/>
        <v/>
      </c>
      <c r="AA270" s="30" t="str">
        <f t="shared" si="218"/>
        <v/>
      </c>
      <c r="AB270" s="30" t="str">
        <f t="shared" si="219"/>
        <v/>
      </c>
      <c r="AD270" s="33" t="str">
        <f t="shared" si="220"/>
        <v/>
      </c>
      <c r="AE270" s="30" t="str">
        <f t="shared" si="221"/>
        <v/>
      </c>
      <c r="AF270" s="30" t="str">
        <f t="shared" si="222"/>
        <v/>
      </c>
      <c r="AG270" s="30" t="str">
        <f t="shared" si="223"/>
        <v/>
      </c>
      <c r="AH270" s="30" t="str">
        <f t="shared" si="224"/>
        <v/>
      </c>
      <c r="AJ270" s="85" t="str">
        <f t="shared" si="234"/>
        <v/>
      </c>
      <c r="AK270" s="86" t="str">
        <f t="shared" ref="AK270:AK333" si="244">IF($A270="","",AJ270-AL270)</f>
        <v/>
      </c>
      <c r="AL270" s="86" t="str">
        <f t="shared" ref="AL270:AL333" si="245">IF(A270="","",AM269*((1+tx_over)^(IF(A270&gt;1,F270,G270)/base_calc)-1))</f>
        <v/>
      </c>
      <c r="AM270" s="86" t="str">
        <f t="shared" ref="AM270:AM333" si="246">IF(A270="","",AM269-AK270)</f>
        <v/>
      </c>
      <c r="AN270" s="86" t="str">
        <f t="shared" ref="AN270:AN333" si="247">IF($A270="","",AJ270/(1+tx_over)^(G270/base_calc))</f>
        <v/>
      </c>
      <c r="AO270" s="86" t="str">
        <f t="shared" ref="AO270:AO333" si="248">IF($A270="","",AJ270/(1+tx_lastro)^(G270/base_calc))</f>
        <v/>
      </c>
      <c r="AQ270" s="33" t="str">
        <f t="shared" si="225"/>
        <v/>
      </c>
      <c r="AR270" s="30" t="str">
        <f t="shared" si="226"/>
        <v/>
      </c>
      <c r="AU270" s="20">
        <f t="shared" si="227"/>
        <v>0</v>
      </c>
      <c r="AV270" s="20">
        <f t="shared" si="228"/>
        <v>0</v>
      </c>
      <c r="AW270" s="19">
        <f t="shared" si="235"/>
        <v>0</v>
      </c>
      <c r="AX270" s="19">
        <f t="shared" si="236"/>
        <v>0</v>
      </c>
      <c r="AY270" s="19">
        <f t="shared" si="237"/>
        <v>0</v>
      </c>
      <c r="AZ270" s="19">
        <f t="shared" si="238"/>
        <v>0</v>
      </c>
      <c r="BA270" s="19">
        <f t="shared" si="239"/>
        <v>0</v>
      </c>
      <c r="BB270" s="19">
        <f t="shared" si="240"/>
        <v>0</v>
      </c>
      <c r="BC270" s="19">
        <f t="shared" si="241"/>
        <v>0</v>
      </c>
      <c r="BD270" s="19">
        <f>-IF(CUSTOS!B270="",0,CUSTOS!B270)</f>
        <v>0</v>
      </c>
      <c r="BF270" s="20">
        <f t="shared" si="242"/>
        <v>0</v>
      </c>
      <c r="BG270" s="20">
        <f t="shared" si="243"/>
        <v>0</v>
      </c>
      <c r="BH270" s="116">
        <f t="shared" si="243"/>
        <v>0</v>
      </c>
    </row>
    <row r="271" spans="1:60" ht="15" x14ac:dyDescent="0.25">
      <c r="A271" s="66" t="str">
        <f>IF(LARGE($A$11:A270,1)=$F$2,"",A270+1)</f>
        <v/>
      </c>
      <c r="B271" s="27" t="str">
        <f t="shared" si="202"/>
        <v/>
      </c>
      <c r="C271" s="28" t="str">
        <f t="shared" si="229"/>
        <v/>
      </c>
      <c r="D271" s="28" t="str">
        <f t="shared" si="203"/>
        <v/>
      </c>
      <c r="E271" s="28" t="str">
        <f t="shared" si="204"/>
        <v/>
      </c>
      <c r="F271" s="29" t="str">
        <f t="shared" si="205"/>
        <v/>
      </c>
      <c r="G271" s="29" t="str">
        <f t="shared" si="206"/>
        <v/>
      </c>
      <c r="H271" s="30" t="str">
        <f t="shared" si="207"/>
        <v/>
      </c>
      <c r="I271" s="30" t="str">
        <f t="shared" si="208"/>
        <v/>
      </c>
      <c r="J271" s="30" t="str">
        <f>IF(A271="","",H271+CUSTOS!B271)</f>
        <v/>
      </c>
      <c r="K271" s="30" t="str">
        <f t="shared" si="230"/>
        <v/>
      </c>
      <c r="L271" s="30" t="str">
        <f t="shared" si="231"/>
        <v/>
      </c>
      <c r="M271" s="30" t="str">
        <f t="shared" si="232"/>
        <v/>
      </c>
      <c r="N271" s="30" t="str">
        <f t="shared" si="209"/>
        <v/>
      </c>
      <c r="O271" s="31" t="str">
        <f t="shared" si="233"/>
        <v/>
      </c>
      <c r="P271" s="32"/>
      <c r="Q271" s="33" t="str">
        <f t="shared" si="210"/>
        <v/>
      </c>
      <c r="R271" s="33" t="str">
        <f t="shared" si="211"/>
        <v/>
      </c>
      <c r="S271" s="33" t="str">
        <f t="shared" si="212"/>
        <v/>
      </c>
      <c r="T271" s="33" t="str">
        <f t="shared" si="213"/>
        <v/>
      </c>
      <c r="U271" s="33" t="str">
        <f t="shared" si="214"/>
        <v/>
      </c>
      <c r="V271" s="33" t="str">
        <f t="shared" si="215"/>
        <v/>
      </c>
      <c r="X271" s="33" t="str">
        <f t="shared" si="201"/>
        <v/>
      </c>
      <c r="Y271" s="30" t="str">
        <f t="shared" si="216"/>
        <v/>
      </c>
      <c r="Z271" s="30" t="str">
        <f t="shared" si="217"/>
        <v/>
      </c>
      <c r="AA271" s="30" t="str">
        <f t="shared" si="218"/>
        <v/>
      </c>
      <c r="AB271" s="30" t="str">
        <f t="shared" si="219"/>
        <v/>
      </c>
      <c r="AD271" s="33" t="str">
        <f t="shared" si="220"/>
        <v/>
      </c>
      <c r="AE271" s="30" t="str">
        <f t="shared" si="221"/>
        <v/>
      </c>
      <c r="AF271" s="30" t="str">
        <f t="shared" si="222"/>
        <v/>
      </c>
      <c r="AG271" s="30" t="str">
        <f t="shared" si="223"/>
        <v/>
      </c>
      <c r="AH271" s="30" t="str">
        <f t="shared" si="224"/>
        <v/>
      </c>
      <c r="AJ271" s="85" t="str">
        <f t="shared" si="234"/>
        <v/>
      </c>
      <c r="AK271" s="86" t="str">
        <f t="shared" si="244"/>
        <v/>
      </c>
      <c r="AL271" s="86" t="str">
        <f t="shared" si="245"/>
        <v/>
      </c>
      <c r="AM271" s="86" t="str">
        <f t="shared" si="246"/>
        <v/>
      </c>
      <c r="AN271" s="86" t="str">
        <f t="shared" si="247"/>
        <v/>
      </c>
      <c r="AO271" s="86" t="str">
        <f t="shared" si="248"/>
        <v/>
      </c>
      <c r="AQ271" s="33" t="str">
        <f t="shared" si="225"/>
        <v/>
      </c>
      <c r="AR271" s="30" t="str">
        <f t="shared" si="226"/>
        <v/>
      </c>
      <c r="AU271" s="20">
        <f t="shared" si="227"/>
        <v>0</v>
      </c>
      <c r="AV271" s="20">
        <f t="shared" si="228"/>
        <v>0</v>
      </c>
      <c r="AW271" s="19">
        <f t="shared" si="235"/>
        <v>0</v>
      </c>
      <c r="AX271" s="19">
        <f t="shared" si="236"/>
        <v>0</v>
      </c>
      <c r="AY271" s="19">
        <f t="shared" si="237"/>
        <v>0</v>
      </c>
      <c r="AZ271" s="19">
        <f t="shared" si="238"/>
        <v>0</v>
      </c>
      <c r="BA271" s="19">
        <f t="shared" si="239"/>
        <v>0</v>
      </c>
      <c r="BB271" s="19">
        <f t="shared" si="240"/>
        <v>0</v>
      </c>
      <c r="BC271" s="19">
        <f t="shared" si="241"/>
        <v>0</v>
      </c>
      <c r="BD271" s="19">
        <f>-IF(CUSTOS!B271="",0,CUSTOS!B271)</f>
        <v>0</v>
      </c>
      <c r="BF271" s="20">
        <f t="shared" si="242"/>
        <v>0</v>
      </c>
      <c r="BG271" s="20">
        <f t="shared" si="243"/>
        <v>0</v>
      </c>
      <c r="BH271" s="116">
        <f t="shared" si="243"/>
        <v>0</v>
      </c>
    </row>
    <row r="272" spans="1:60" ht="15" x14ac:dyDescent="0.25">
      <c r="A272" s="66" t="str">
        <f>IF(LARGE($A$11:A271,1)=$F$2,"",A271+1)</f>
        <v/>
      </c>
      <c r="B272" s="27" t="str">
        <f t="shared" si="202"/>
        <v/>
      </c>
      <c r="C272" s="28" t="str">
        <f t="shared" si="229"/>
        <v/>
      </c>
      <c r="D272" s="28" t="str">
        <f t="shared" si="203"/>
        <v/>
      </c>
      <c r="E272" s="28" t="str">
        <f t="shared" si="204"/>
        <v/>
      </c>
      <c r="F272" s="29" t="str">
        <f t="shared" si="205"/>
        <v/>
      </c>
      <c r="G272" s="29" t="str">
        <f t="shared" si="206"/>
        <v/>
      </c>
      <c r="H272" s="30" t="str">
        <f t="shared" si="207"/>
        <v/>
      </c>
      <c r="I272" s="30" t="str">
        <f t="shared" si="208"/>
        <v/>
      </c>
      <c r="J272" s="30" t="str">
        <f>IF(A272="","",H272+CUSTOS!B272)</f>
        <v/>
      </c>
      <c r="K272" s="30" t="str">
        <f t="shared" si="230"/>
        <v/>
      </c>
      <c r="L272" s="30" t="str">
        <f t="shared" si="231"/>
        <v/>
      </c>
      <c r="M272" s="30" t="str">
        <f t="shared" si="232"/>
        <v/>
      </c>
      <c r="N272" s="30" t="str">
        <f t="shared" si="209"/>
        <v/>
      </c>
      <c r="O272" s="31" t="str">
        <f t="shared" si="233"/>
        <v/>
      </c>
      <c r="P272" s="32"/>
      <c r="Q272" s="33" t="str">
        <f t="shared" si="210"/>
        <v/>
      </c>
      <c r="R272" s="33" t="str">
        <f t="shared" si="211"/>
        <v/>
      </c>
      <c r="S272" s="33" t="str">
        <f t="shared" si="212"/>
        <v/>
      </c>
      <c r="T272" s="33" t="str">
        <f t="shared" si="213"/>
        <v/>
      </c>
      <c r="U272" s="33" t="str">
        <f t="shared" si="214"/>
        <v/>
      </c>
      <c r="V272" s="33" t="str">
        <f t="shared" si="215"/>
        <v/>
      </c>
      <c r="X272" s="33" t="str">
        <f t="shared" si="201"/>
        <v/>
      </c>
      <c r="Y272" s="30" t="str">
        <f t="shared" si="216"/>
        <v/>
      </c>
      <c r="Z272" s="30" t="str">
        <f t="shared" si="217"/>
        <v/>
      </c>
      <c r="AA272" s="30" t="str">
        <f t="shared" si="218"/>
        <v/>
      </c>
      <c r="AB272" s="30" t="str">
        <f t="shared" si="219"/>
        <v/>
      </c>
      <c r="AD272" s="33" t="str">
        <f t="shared" si="220"/>
        <v/>
      </c>
      <c r="AE272" s="30" t="str">
        <f t="shared" si="221"/>
        <v/>
      </c>
      <c r="AF272" s="30" t="str">
        <f t="shared" si="222"/>
        <v/>
      </c>
      <c r="AG272" s="30" t="str">
        <f t="shared" si="223"/>
        <v/>
      </c>
      <c r="AH272" s="30" t="str">
        <f t="shared" si="224"/>
        <v/>
      </c>
      <c r="AJ272" s="85" t="str">
        <f t="shared" si="234"/>
        <v/>
      </c>
      <c r="AK272" s="86" t="str">
        <f t="shared" si="244"/>
        <v/>
      </c>
      <c r="AL272" s="86" t="str">
        <f t="shared" si="245"/>
        <v/>
      </c>
      <c r="AM272" s="86" t="str">
        <f t="shared" si="246"/>
        <v/>
      </c>
      <c r="AN272" s="86" t="str">
        <f t="shared" si="247"/>
        <v/>
      </c>
      <c r="AO272" s="86" t="str">
        <f t="shared" si="248"/>
        <v/>
      </c>
      <c r="AQ272" s="33" t="str">
        <f t="shared" si="225"/>
        <v/>
      </c>
      <c r="AR272" s="30" t="str">
        <f t="shared" si="226"/>
        <v/>
      </c>
      <c r="AU272" s="20">
        <f t="shared" si="227"/>
        <v>0</v>
      </c>
      <c r="AV272" s="20">
        <f t="shared" si="228"/>
        <v>0</v>
      </c>
      <c r="AW272" s="19">
        <f t="shared" si="235"/>
        <v>0</v>
      </c>
      <c r="AX272" s="19">
        <f t="shared" si="236"/>
        <v>0</v>
      </c>
      <c r="AY272" s="19">
        <f t="shared" si="237"/>
        <v>0</v>
      </c>
      <c r="AZ272" s="19">
        <f t="shared" si="238"/>
        <v>0</v>
      </c>
      <c r="BA272" s="19">
        <f t="shared" si="239"/>
        <v>0</v>
      </c>
      <c r="BB272" s="19">
        <f t="shared" si="240"/>
        <v>0</v>
      </c>
      <c r="BC272" s="19">
        <f t="shared" si="241"/>
        <v>0</v>
      </c>
      <c r="BD272" s="19">
        <f>-IF(CUSTOS!B272="",0,CUSTOS!B272)</f>
        <v>0</v>
      </c>
      <c r="BF272" s="20">
        <f t="shared" si="242"/>
        <v>0</v>
      </c>
      <c r="BG272" s="20">
        <f t="shared" si="243"/>
        <v>0</v>
      </c>
      <c r="BH272" s="116">
        <f t="shared" si="243"/>
        <v>0</v>
      </c>
    </row>
    <row r="273" spans="1:60" ht="15" x14ac:dyDescent="0.25">
      <c r="A273" s="66" t="str">
        <f>IF(LARGE($A$11:A272,1)=$F$2,"",A272+1)</f>
        <v/>
      </c>
      <c r="B273" s="27" t="str">
        <f t="shared" si="202"/>
        <v/>
      </c>
      <c r="C273" s="28" t="str">
        <f t="shared" si="229"/>
        <v/>
      </c>
      <c r="D273" s="28" t="str">
        <f t="shared" si="203"/>
        <v/>
      </c>
      <c r="E273" s="28" t="str">
        <f t="shared" si="204"/>
        <v/>
      </c>
      <c r="F273" s="29" t="str">
        <f t="shared" si="205"/>
        <v/>
      </c>
      <c r="G273" s="29" t="str">
        <f t="shared" si="206"/>
        <v/>
      </c>
      <c r="H273" s="30" t="str">
        <f t="shared" si="207"/>
        <v/>
      </c>
      <c r="I273" s="30" t="str">
        <f t="shared" si="208"/>
        <v/>
      </c>
      <c r="J273" s="30" t="str">
        <f>IF(A273="","",H273+CUSTOS!B273)</f>
        <v/>
      </c>
      <c r="K273" s="30" t="str">
        <f t="shared" si="230"/>
        <v/>
      </c>
      <c r="L273" s="30" t="str">
        <f t="shared" si="231"/>
        <v/>
      </c>
      <c r="M273" s="30" t="str">
        <f t="shared" si="232"/>
        <v/>
      </c>
      <c r="N273" s="30" t="str">
        <f t="shared" si="209"/>
        <v/>
      </c>
      <c r="O273" s="31" t="str">
        <f t="shared" si="233"/>
        <v/>
      </c>
      <c r="P273" s="32"/>
      <c r="Q273" s="33" t="str">
        <f t="shared" si="210"/>
        <v/>
      </c>
      <c r="R273" s="33" t="str">
        <f t="shared" si="211"/>
        <v/>
      </c>
      <c r="S273" s="33" t="str">
        <f t="shared" si="212"/>
        <v/>
      </c>
      <c r="T273" s="33" t="str">
        <f t="shared" si="213"/>
        <v/>
      </c>
      <c r="U273" s="33" t="str">
        <f t="shared" si="214"/>
        <v/>
      </c>
      <c r="V273" s="33" t="str">
        <f t="shared" si="215"/>
        <v/>
      </c>
      <c r="X273" s="33" t="str">
        <f t="shared" si="201"/>
        <v/>
      </c>
      <c r="Y273" s="30" t="str">
        <f t="shared" si="216"/>
        <v/>
      </c>
      <c r="Z273" s="30" t="str">
        <f t="shared" si="217"/>
        <v/>
      </c>
      <c r="AA273" s="30" t="str">
        <f t="shared" si="218"/>
        <v/>
      </c>
      <c r="AB273" s="30" t="str">
        <f t="shared" si="219"/>
        <v/>
      </c>
      <c r="AD273" s="33" t="str">
        <f t="shared" si="220"/>
        <v/>
      </c>
      <c r="AE273" s="30" t="str">
        <f t="shared" si="221"/>
        <v/>
      </c>
      <c r="AF273" s="30" t="str">
        <f t="shared" si="222"/>
        <v/>
      </c>
      <c r="AG273" s="30" t="str">
        <f t="shared" si="223"/>
        <v/>
      </c>
      <c r="AH273" s="30" t="str">
        <f t="shared" si="224"/>
        <v/>
      </c>
      <c r="AJ273" s="85" t="str">
        <f t="shared" si="234"/>
        <v/>
      </c>
      <c r="AK273" s="86" t="str">
        <f t="shared" si="244"/>
        <v/>
      </c>
      <c r="AL273" s="86" t="str">
        <f t="shared" si="245"/>
        <v/>
      </c>
      <c r="AM273" s="86" t="str">
        <f t="shared" si="246"/>
        <v/>
      </c>
      <c r="AN273" s="86" t="str">
        <f t="shared" si="247"/>
        <v/>
      </c>
      <c r="AO273" s="86" t="str">
        <f t="shared" si="248"/>
        <v/>
      </c>
      <c r="AQ273" s="33" t="str">
        <f t="shared" si="225"/>
        <v/>
      </c>
      <c r="AR273" s="30" t="str">
        <f t="shared" si="226"/>
        <v/>
      </c>
      <c r="AU273" s="20">
        <f t="shared" si="227"/>
        <v>0</v>
      </c>
      <c r="AV273" s="20">
        <f t="shared" si="228"/>
        <v>0</v>
      </c>
      <c r="AW273" s="19">
        <f t="shared" si="235"/>
        <v>0</v>
      </c>
      <c r="AX273" s="19">
        <f t="shared" si="236"/>
        <v>0</v>
      </c>
      <c r="AY273" s="19">
        <f t="shared" si="237"/>
        <v>0</v>
      </c>
      <c r="AZ273" s="19">
        <f t="shared" si="238"/>
        <v>0</v>
      </c>
      <c r="BA273" s="19">
        <f t="shared" si="239"/>
        <v>0</v>
      </c>
      <c r="BB273" s="19">
        <f t="shared" si="240"/>
        <v>0</v>
      </c>
      <c r="BC273" s="19">
        <f t="shared" si="241"/>
        <v>0</v>
      </c>
      <c r="BD273" s="19">
        <f>-IF(CUSTOS!B273="",0,CUSTOS!B273)</f>
        <v>0</v>
      </c>
      <c r="BF273" s="20">
        <f t="shared" si="242"/>
        <v>0</v>
      </c>
      <c r="BG273" s="20">
        <f t="shared" si="243"/>
        <v>0</v>
      </c>
      <c r="BH273" s="116">
        <f t="shared" si="243"/>
        <v>0</v>
      </c>
    </row>
    <row r="274" spans="1:60" ht="15" x14ac:dyDescent="0.25">
      <c r="A274" s="66" t="str">
        <f>IF(LARGE($A$11:A273,1)=$F$2,"",A273+1)</f>
        <v/>
      </c>
      <c r="B274" s="27" t="str">
        <f t="shared" si="202"/>
        <v/>
      </c>
      <c r="C274" s="28" t="str">
        <f t="shared" si="229"/>
        <v/>
      </c>
      <c r="D274" s="28" t="str">
        <f t="shared" si="203"/>
        <v/>
      </c>
      <c r="E274" s="28" t="str">
        <f t="shared" si="204"/>
        <v/>
      </c>
      <c r="F274" s="29" t="str">
        <f t="shared" si="205"/>
        <v/>
      </c>
      <c r="G274" s="29" t="str">
        <f t="shared" si="206"/>
        <v/>
      </c>
      <c r="H274" s="30" t="str">
        <f t="shared" si="207"/>
        <v/>
      </c>
      <c r="I274" s="30" t="str">
        <f t="shared" si="208"/>
        <v/>
      </c>
      <c r="J274" s="30" t="str">
        <f>IF(A274="","",H274+CUSTOS!B274)</f>
        <v/>
      </c>
      <c r="K274" s="30" t="str">
        <f t="shared" si="230"/>
        <v/>
      </c>
      <c r="L274" s="30" t="str">
        <f t="shared" si="231"/>
        <v/>
      </c>
      <c r="M274" s="30" t="str">
        <f t="shared" si="232"/>
        <v/>
      </c>
      <c r="N274" s="30" t="str">
        <f t="shared" si="209"/>
        <v/>
      </c>
      <c r="O274" s="31" t="str">
        <f t="shared" si="233"/>
        <v/>
      </c>
      <c r="P274" s="32"/>
      <c r="Q274" s="33" t="str">
        <f t="shared" si="210"/>
        <v/>
      </c>
      <c r="R274" s="33" t="str">
        <f t="shared" si="211"/>
        <v/>
      </c>
      <c r="S274" s="33" t="str">
        <f t="shared" si="212"/>
        <v/>
      </c>
      <c r="T274" s="33" t="str">
        <f t="shared" si="213"/>
        <v/>
      </c>
      <c r="U274" s="33" t="str">
        <f t="shared" si="214"/>
        <v/>
      </c>
      <c r="V274" s="33" t="str">
        <f t="shared" si="215"/>
        <v/>
      </c>
      <c r="X274" s="33" t="str">
        <f t="shared" si="201"/>
        <v/>
      </c>
      <c r="Y274" s="30" t="str">
        <f t="shared" si="216"/>
        <v/>
      </c>
      <c r="Z274" s="30" t="str">
        <f t="shared" si="217"/>
        <v/>
      </c>
      <c r="AA274" s="30" t="str">
        <f t="shared" si="218"/>
        <v/>
      </c>
      <c r="AB274" s="30" t="str">
        <f t="shared" si="219"/>
        <v/>
      </c>
      <c r="AD274" s="33" t="str">
        <f t="shared" si="220"/>
        <v/>
      </c>
      <c r="AE274" s="30" t="str">
        <f t="shared" si="221"/>
        <v/>
      </c>
      <c r="AF274" s="30" t="str">
        <f t="shared" si="222"/>
        <v/>
      </c>
      <c r="AG274" s="30" t="str">
        <f t="shared" si="223"/>
        <v/>
      </c>
      <c r="AH274" s="30" t="str">
        <f t="shared" si="224"/>
        <v/>
      </c>
      <c r="AJ274" s="85" t="str">
        <f t="shared" si="234"/>
        <v/>
      </c>
      <c r="AK274" s="86" t="str">
        <f t="shared" si="244"/>
        <v/>
      </c>
      <c r="AL274" s="86" t="str">
        <f t="shared" si="245"/>
        <v/>
      </c>
      <c r="AM274" s="86" t="str">
        <f t="shared" si="246"/>
        <v/>
      </c>
      <c r="AN274" s="86" t="str">
        <f t="shared" si="247"/>
        <v/>
      </c>
      <c r="AO274" s="86" t="str">
        <f t="shared" si="248"/>
        <v/>
      </c>
      <c r="AQ274" s="33" t="str">
        <f t="shared" si="225"/>
        <v/>
      </c>
      <c r="AR274" s="30" t="str">
        <f t="shared" si="226"/>
        <v/>
      </c>
      <c r="AU274" s="20">
        <f t="shared" si="227"/>
        <v>0</v>
      </c>
      <c r="AV274" s="20">
        <f t="shared" si="228"/>
        <v>0</v>
      </c>
      <c r="AW274" s="19">
        <f t="shared" si="235"/>
        <v>0</v>
      </c>
      <c r="AX274" s="19">
        <f t="shared" si="236"/>
        <v>0</v>
      </c>
      <c r="AY274" s="19">
        <f t="shared" si="237"/>
        <v>0</v>
      </c>
      <c r="AZ274" s="19">
        <f t="shared" si="238"/>
        <v>0</v>
      </c>
      <c r="BA274" s="19">
        <f t="shared" si="239"/>
        <v>0</v>
      </c>
      <c r="BB274" s="19">
        <f t="shared" si="240"/>
        <v>0</v>
      </c>
      <c r="BC274" s="19">
        <f t="shared" si="241"/>
        <v>0</v>
      </c>
      <c r="BD274" s="19">
        <f>-IF(CUSTOS!B274="",0,CUSTOS!B274)</f>
        <v>0</v>
      </c>
      <c r="BF274" s="20">
        <f t="shared" si="242"/>
        <v>0</v>
      </c>
      <c r="BG274" s="20">
        <f t="shared" si="243"/>
        <v>0</v>
      </c>
      <c r="BH274" s="116">
        <f t="shared" si="243"/>
        <v>0</v>
      </c>
    </row>
    <row r="275" spans="1:60" ht="15" x14ac:dyDescent="0.25">
      <c r="A275" s="66" t="str">
        <f>IF(LARGE($A$11:A274,1)=$F$2,"",A274+1)</f>
        <v/>
      </c>
      <c r="B275" s="27" t="str">
        <f t="shared" si="202"/>
        <v/>
      </c>
      <c r="C275" s="28" t="str">
        <f t="shared" si="229"/>
        <v/>
      </c>
      <c r="D275" s="28" t="str">
        <f t="shared" si="203"/>
        <v/>
      </c>
      <c r="E275" s="28" t="str">
        <f t="shared" si="204"/>
        <v/>
      </c>
      <c r="F275" s="29" t="str">
        <f t="shared" si="205"/>
        <v/>
      </c>
      <c r="G275" s="29" t="str">
        <f t="shared" si="206"/>
        <v/>
      </c>
      <c r="H275" s="30" t="str">
        <f t="shared" si="207"/>
        <v/>
      </c>
      <c r="I275" s="30" t="str">
        <f t="shared" si="208"/>
        <v/>
      </c>
      <c r="J275" s="30" t="str">
        <f>IF(A275="","",H275+CUSTOS!B275)</f>
        <v/>
      </c>
      <c r="K275" s="30" t="str">
        <f t="shared" si="230"/>
        <v/>
      </c>
      <c r="L275" s="30" t="str">
        <f t="shared" si="231"/>
        <v/>
      </c>
      <c r="M275" s="30" t="str">
        <f t="shared" si="232"/>
        <v/>
      </c>
      <c r="N275" s="30" t="str">
        <f t="shared" si="209"/>
        <v/>
      </c>
      <c r="O275" s="31" t="str">
        <f t="shared" si="233"/>
        <v/>
      </c>
      <c r="P275" s="32"/>
      <c r="Q275" s="33" t="str">
        <f t="shared" si="210"/>
        <v/>
      </c>
      <c r="R275" s="33" t="str">
        <f t="shared" si="211"/>
        <v/>
      </c>
      <c r="S275" s="33" t="str">
        <f t="shared" si="212"/>
        <v/>
      </c>
      <c r="T275" s="33" t="str">
        <f t="shared" si="213"/>
        <v/>
      </c>
      <c r="U275" s="33" t="str">
        <f t="shared" si="214"/>
        <v/>
      </c>
      <c r="V275" s="33" t="str">
        <f t="shared" si="215"/>
        <v/>
      </c>
      <c r="X275" s="33" t="str">
        <f t="shared" si="201"/>
        <v/>
      </c>
      <c r="Y275" s="30" t="str">
        <f t="shared" si="216"/>
        <v/>
      </c>
      <c r="Z275" s="30" t="str">
        <f t="shared" si="217"/>
        <v/>
      </c>
      <c r="AA275" s="30" t="str">
        <f t="shared" si="218"/>
        <v/>
      </c>
      <c r="AB275" s="30" t="str">
        <f t="shared" si="219"/>
        <v/>
      </c>
      <c r="AD275" s="33" t="str">
        <f t="shared" si="220"/>
        <v/>
      </c>
      <c r="AE275" s="30" t="str">
        <f t="shared" si="221"/>
        <v/>
      </c>
      <c r="AF275" s="30" t="str">
        <f t="shared" si="222"/>
        <v/>
      </c>
      <c r="AG275" s="30" t="str">
        <f t="shared" si="223"/>
        <v/>
      </c>
      <c r="AH275" s="30" t="str">
        <f t="shared" si="224"/>
        <v/>
      </c>
      <c r="AJ275" s="85" t="str">
        <f t="shared" si="234"/>
        <v/>
      </c>
      <c r="AK275" s="86" t="str">
        <f t="shared" si="244"/>
        <v/>
      </c>
      <c r="AL275" s="86" t="str">
        <f t="shared" si="245"/>
        <v/>
      </c>
      <c r="AM275" s="86" t="str">
        <f t="shared" si="246"/>
        <v/>
      </c>
      <c r="AN275" s="86" t="str">
        <f t="shared" si="247"/>
        <v/>
      </c>
      <c r="AO275" s="86" t="str">
        <f t="shared" si="248"/>
        <v/>
      </c>
      <c r="AQ275" s="33" t="str">
        <f t="shared" si="225"/>
        <v/>
      </c>
      <c r="AR275" s="30" t="str">
        <f t="shared" si="226"/>
        <v/>
      </c>
      <c r="AU275" s="20">
        <f t="shared" si="227"/>
        <v>0</v>
      </c>
      <c r="AV275" s="20">
        <f t="shared" si="228"/>
        <v>0</v>
      </c>
      <c r="AW275" s="19">
        <f t="shared" si="235"/>
        <v>0</v>
      </c>
      <c r="AX275" s="19">
        <f t="shared" si="236"/>
        <v>0</v>
      </c>
      <c r="AY275" s="19">
        <f t="shared" si="237"/>
        <v>0</v>
      </c>
      <c r="AZ275" s="19">
        <f t="shared" si="238"/>
        <v>0</v>
      </c>
      <c r="BA275" s="19">
        <f t="shared" si="239"/>
        <v>0</v>
      </c>
      <c r="BB275" s="19">
        <f t="shared" si="240"/>
        <v>0</v>
      </c>
      <c r="BC275" s="19">
        <f t="shared" si="241"/>
        <v>0</v>
      </c>
      <c r="BD275" s="19">
        <f>-IF(CUSTOS!B275="",0,CUSTOS!B275)</f>
        <v>0</v>
      </c>
      <c r="BF275" s="20">
        <f t="shared" si="242"/>
        <v>0</v>
      </c>
      <c r="BG275" s="20">
        <f t="shared" si="243"/>
        <v>0</v>
      </c>
      <c r="BH275" s="116">
        <f t="shared" si="243"/>
        <v>0</v>
      </c>
    </row>
    <row r="276" spans="1:60" ht="15" x14ac:dyDescent="0.25">
      <c r="A276" s="66" t="str">
        <f>IF(LARGE($A$11:A275,1)=$F$2,"",A275+1)</f>
        <v/>
      </c>
      <c r="B276" s="27" t="str">
        <f t="shared" si="202"/>
        <v/>
      </c>
      <c r="C276" s="28" t="str">
        <f t="shared" si="229"/>
        <v/>
      </c>
      <c r="D276" s="28" t="str">
        <f t="shared" si="203"/>
        <v/>
      </c>
      <c r="E276" s="28" t="str">
        <f t="shared" si="204"/>
        <v/>
      </c>
      <c r="F276" s="29" t="str">
        <f t="shared" si="205"/>
        <v/>
      </c>
      <c r="G276" s="29" t="str">
        <f t="shared" si="206"/>
        <v/>
      </c>
      <c r="H276" s="30" t="str">
        <f t="shared" si="207"/>
        <v/>
      </c>
      <c r="I276" s="30" t="str">
        <f t="shared" si="208"/>
        <v/>
      </c>
      <c r="J276" s="30" t="str">
        <f>IF(A276="","",H276+CUSTOS!B276)</f>
        <v/>
      </c>
      <c r="K276" s="30" t="str">
        <f t="shared" si="230"/>
        <v/>
      </c>
      <c r="L276" s="30" t="str">
        <f t="shared" si="231"/>
        <v/>
      </c>
      <c r="M276" s="30" t="str">
        <f t="shared" si="232"/>
        <v/>
      </c>
      <c r="N276" s="30" t="str">
        <f t="shared" si="209"/>
        <v/>
      </c>
      <c r="O276" s="31" t="str">
        <f t="shared" si="233"/>
        <v/>
      </c>
      <c r="P276" s="32"/>
      <c r="Q276" s="33" t="str">
        <f t="shared" si="210"/>
        <v/>
      </c>
      <c r="R276" s="33" t="str">
        <f t="shared" si="211"/>
        <v/>
      </c>
      <c r="S276" s="33" t="str">
        <f t="shared" si="212"/>
        <v/>
      </c>
      <c r="T276" s="33" t="str">
        <f t="shared" si="213"/>
        <v/>
      </c>
      <c r="U276" s="33" t="str">
        <f t="shared" si="214"/>
        <v/>
      </c>
      <c r="V276" s="33" t="str">
        <f t="shared" si="215"/>
        <v/>
      </c>
      <c r="X276" s="33" t="str">
        <f t="shared" si="201"/>
        <v/>
      </c>
      <c r="Y276" s="30" t="str">
        <f t="shared" si="216"/>
        <v/>
      </c>
      <c r="Z276" s="30" t="str">
        <f t="shared" si="217"/>
        <v/>
      </c>
      <c r="AA276" s="30" t="str">
        <f t="shared" si="218"/>
        <v/>
      </c>
      <c r="AB276" s="30" t="str">
        <f t="shared" si="219"/>
        <v/>
      </c>
      <c r="AD276" s="33" t="str">
        <f t="shared" si="220"/>
        <v/>
      </c>
      <c r="AE276" s="30" t="str">
        <f t="shared" si="221"/>
        <v/>
      </c>
      <c r="AF276" s="30" t="str">
        <f t="shared" si="222"/>
        <v/>
      </c>
      <c r="AG276" s="30" t="str">
        <f t="shared" si="223"/>
        <v/>
      </c>
      <c r="AH276" s="30" t="str">
        <f t="shared" si="224"/>
        <v/>
      </c>
      <c r="AJ276" s="85" t="str">
        <f t="shared" si="234"/>
        <v/>
      </c>
      <c r="AK276" s="86" t="str">
        <f t="shared" si="244"/>
        <v/>
      </c>
      <c r="AL276" s="86" t="str">
        <f t="shared" si="245"/>
        <v/>
      </c>
      <c r="AM276" s="86" t="str">
        <f t="shared" si="246"/>
        <v/>
      </c>
      <c r="AN276" s="86" t="str">
        <f t="shared" si="247"/>
        <v/>
      </c>
      <c r="AO276" s="86" t="str">
        <f t="shared" si="248"/>
        <v/>
      </c>
      <c r="AQ276" s="33" t="str">
        <f t="shared" si="225"/>
        <v/>
      </c>
      <c r="AR276" s="30" t="str">
        <f t="shared" si="226"/>
        <v/>
      </c>
      <c r="AU276" s="20">
        <f t="shared" si="227"/>
        <v>0</v>
      </c>
      <c r="AV276" s="20">
        <f t="shared" si="228"/>
        <v>0</v>
      </c>
      <c r="AW276" s="19">
        <f t="shared" si="235"/>
        <v>0</v>
      </c>
      <c r="AX276" s="19">
        <f t="shared" si="236"/>
        <v>0</v>
      </c>
      <c r="AY276" s="19">
        <f t="shared" si="237"/>
        <v>0</v>
      </c>
      <c r="AZ276" s="19">
        <f t="shared" si="238"/>
        <v>0</v>
      </c>
      <c r="BA276" s="19">
        <f t="shared" si="239"/>
        <v>0</v>
      </c>
      <c r="BB276" s="19">
        <f t="shared" si="240"/>
        <v>0</v>
      </c>
      <c r="BC276" s="19">
        <f t="shared" si="241"/>
        <v>0</v>
      </c>
      <c r="BD276" s="19">
        <f>-IF(CUSTOS!B276="",0,CUSTOS!B276)</f>
        <v>0</v>
      </c>
      <c r="BF276" s="20">
        <f t="shared" si="242"/>
        <v>0</v>
      </c>
      <c r="BG276" s="20">
        <f t="shared" si="243"/>
        <v>0</v>
      </c>
      <c r="BH276" s="116">
        <f t="shared" si="243"/>
        <v>0</v>
      </c>
    </row>
    <row r="277" spans="1:60" ht="15" x14ac:dyDescent="0.25">
      <c r="A277" s="66" t="str">
        <f>IF(LARGE($A$11:A276,1)=$F$2,"",A276+1)</f>
        <v/>
      </c>
      <c r="B277" s="27" t="str">
        <f t="shared" si="202"/>
        <v/>
      </c>
      <c r="C277" s="28" t="str">
        <f t="shared" si="229"/>
        <v/>
      </c>
      <c r="D277" s="28" t="str">
        <f t="shared" si="203"/>
        <v/>
      </c>
      <c r="E277" s="28" t="str">
        <f t="shared" si="204"/>
        <v/>
      </c>
      <c r="F277" s="29" t="str">
        <f t="shared" si="205"/>
        <v/>
      </c>
      <c r="G277" s="29" t="str">
        <f t="shared" si="206"/>
        <v/>
      </c>
      <c r="H277" s="30" t="str">
        <f t="shared" si="207"/>
        <v/>
      </c>
      <c r="I277" s="30" t="str">
        <f t="shared" si="208"/>
        <v/>
      </c>
      <c r="J277" s="30" t="str">
        <f>IF(A277="","",H277+CUSTOS!B277)</f>
        <v/>
      </c>
      <c r="K277" s="30" t="str">
        <f t="shared" si="230"/>
        <v/>
      </c>
      <c r="L277" s="30" t="str">
        <f t="shared" si="231"/>
        <v/>
      </c>
      <c r="M277" s="30" t="str">
        <f t="shared" si="232"/>
        <v/>
      </c>
      <c r="N277" s="30" t="str">
        <f t="shared" si="209"/>
        <v/>
      </c>
      <c r="O277" s="31" t="str">
        <f t="shared" si="233"/>
        <v/>
      </c>
      <c r="P277" s="32"/>
      <c r="Q277" s="33" t="str">
        <f t="shared" si="210"/>
        <v/>
      </c>
      <c r="R277" s="33" t="str">
        <f t="shared" si="211"/>
        <v/>
      </c>
      <c r="S277" s="33" t="str">
        <f t="shared" si="212"/>
        <v/>
      </c>
      <c r="T277" s="33" t="str">
        <f t="shared" si="213"/>
        <v/>
      </c>
      <c r="U277" s="33" t="str">
        <f t="shared" si="214"/>
        <v/>
      </c>
      <c r="V277" s="33" t="str">
        <f t="shared" si="215"/>
        <v/>
      </c>
      <c r="X277" s="33" t="str">
        <f t="shared" si="201"/>
        <v/>
      </c>
      <c r="Y277" s="30" t="str">
        <f t="shared" si="216"/>
        <v/>
      </c>
      <c r="Z277" s="30" t="str">
        <f t="shared" si="217"/>
        <v/>
      </c>
      <c r="AA277" s="30" t="str">
        <f t="shared" si="218"/>
        <v/>
      </c>
      <c r="AB277" s="30" t="str">
        <f t="shared" si="219"/>
        <v/>
      </c>
      <c r="AD277" s="33" t="str">
        <f t="shared" si="220"/>
        <v/>
      </c>
      <c r="AE277" s="30" t="str">
        <f t="shared" si="221"/>
        <v/>
      </c>
      <c r="AF277" s="30" t="str">
        <f t="shared" si="222"/>
        <v/>
      </c>
      <c r="AG277" s="30" t="str">
        <f t="shared" si="223"/>
        <v/>
      </c>
      <c r="AH277" s="30" t="str">
        <f t="shared" si="224"/>
        <v/>
      </c>
      <c r="AJ277" s="85" t="str">
        <f t="shared" si="234"/>
        <v/>
      </c>
      <c r="AK277" s="86" t="str">
        <f t="shared" si="244"/>
        <v/>
      </c>
      <c r="AL277" s="86" t="str">
        <f t="shared" si="245"/>
        <v/>
      </c>
      <c r="AM277" s="86" t="str">
        <f t="shared" si="246"/>
        <v/>
      </c>
      <c r="AN277" s="86" t="str">
        <f t="shared" si="247"/>
        <v/>
      </c>
      <c r="AO277" s="86" t="str">
        <f t="shared" si="248"/>
        <v/>
      </c>
      <c r="AQ277" s="33" t="str">
        <f t="shared" si="225"/>
        <v/>
      </c>
      <c r="AR277" s="30" t="str">
        <f t="shared" si="226"/>
        <v/>
      </c>
      <c r="AU277" s="20">
        <f t="shared" si="227"/>
        <v>0</v>
      </c>
      <c r="AV277" s="20">
        <f t="shared" si="228"/>
        <v>0</v>
      </c>
      <c r="AW277" s="19">
        <f t="shared" si="235"/>
        <v>0</v>
      </c>
      <c r="AX277" s="19">
        <f t="shared" si="236"/>
        <v>0</v>
      </c>
      <c r="AY277" s="19">
        <f t="shared" si="237"/>
        <v>0</v>
      </c>
      <c r="AZ277" s="19">
        <f t="shared" si="238"/>
        <v>0</v>
      </c>
      <c r="BA277" s="19">
        <f t="shared" si="239"/>
        <v>0</v>
      </c>
      <c r="BB277" s="19">
        <f t="shared" si="240"/>
        <v>0</v>
      </c>
      <c r="BC277" s="19">
        <f t="shared" si="241"/>
        <v>0</v>
      </c>
      <c r="BD277" s="19">
        <f>-IF(CUSTOS!B277="",0,CUSTOS!B277)</f>
        <v>0</v>
      </c>
      <c r="BF277" s="20">
        <f t="shared" si="242"/>
        <v>0</v>
      </c>
      <c r="BG277" s="20">
        <f t="shared" si="243"/>
        <v>0</v>
      </c>
      <c r="BH277" s="116">
        <f t="shared" si="243"/>
        <v>0</v>
      </c>
    </row>
    <row r="278" spans="1:60" ht="15" x14ac:dyDescent="0.25">
      <c r="A278" s="66" t="str">
        <f>IF(LARGE($A$11:A277,1)=$F$2,"",A277+1)</f>
        <v/>
      </c>
      <c r="B278" s="27" t="str">
        <f t="shared" si="202"/>
        <v/>
      </c>
      <c r="C278" s="28" t="str">
        <f t="shared" si="229"/>
        <v/>
      </c>
      <c r="D278" s="28" t="str">
        <f t="shared" si="203"/>
        <v/>
      </c>
      <c r="E278" s="28" t="str">
        <f t="shared" si="204"/>
        <v/>
      </c>
      <c r="F278" s="29" t="str">
        <f t="shared" si="205"/>
        <v/>
      </c>
      <c r="G278" s="29" t="str">
        <f t="shared" si="206"/>
        <v/>
      </c>
      <c r="H278" s="30" t="str">
        <f t="shared" si="207"/>
        <v/>
      </c>
      <c r="I278" s="30" t="str">
        <f t="shared" si="208"/>
        <v/>
      </c>
      <c r="J278" s="30" t="str">
        <f>IF(A278="","",H278+CUSTOS!B278)</f>
        <v/>
      </c>
      <c r="K278" s="30" t="str">
        <f t="shared" si="230"/>
        <v/>
      </c>
      <c r="L278" s="30" t="str">
        <f t="shared" si="231"/>
        <v/>
      </c>
      <c r="M278" s="30" t="str">
        <f t="shared" si="232"/>
        <v/>
      </c>
      <c r="N278" s="30" t="str">
        <f t="shared" si="209"/>
        <v/>
      </c>
      <c r="O278" s="31" t="str">
        <f t="shared" si="233"/>
        <v/>
      </c>
      <c r="P278" s="32"/>
      <c r="Q278" s="33" t="str">
        <f t="shared" si="210"/>
        <v/>
      </c>
      <c r="R278" s="33" t="str">
        <f t="shared" si="211"/>
        <v/>
      </c>
      <c r="S278" s="33" t="str">
        <f t="shared" si="212"/>
        <v/>
      </c>
      <c r="T278" s="33" t="str">
        <f t="shared" si="213"/>
        <v/>
      </c>
      <c r="U278" s="33" t="str">
        <f t="shared" si="214"/>
        <v/>
      </c>
      <c r="V278" s="33" t="str">
        <f t="shared" si="215"/>
        <v/>
      </c>
      <c r="X278" s="33" t="str">
        <f t="shared" si="201"/>
        <v/>
      </c>
      <c r="Y278" s="30" t="str">
        <f t="shared" si="216"/>
        <v/>
      </c>
      <c r="Z278" s="30" t="str">
        <f t="shared" si="217"/>
        <v/>
      </c>
      <c r="AA278" s="30" t="str">
        <f t="shared" si="218"/>
        <v/>
      </c>
      <c r="AB278" s="30" t="str">
        <f t="shared" si="219"/>
        <v/>
      </c>
      <c r="AD278" s="33" t="str">
        <f t="shared" si="220"/>
        <v/>
      </c>
      <c r="AE278" s="30" t="str">
        <f t="shared" si="221"/>
        <v/>
      </c>
      <c r="AF278" s="30" t="str">
        <f t="shared" si="222"/>
        <v/>
      </c>
      <c r="AG278" s="30" t="str">
        <f t="shared" si="223"/>
        <v/>
      </c>
      <c r="AH278" s="30" t="str">
        <f t="shared" si="224"/>
        <v/>
      </c>
      <c r="AJ278" s="85" t="str">
        <f t="shared" si="234"/>
        <v/>
      </c>
      <c r="AK278" s="86" t="str">
        <f t="shared" si="244"/>
        <v/>
      </c>
      <c r="AL278" s="86" t="str">
        <f t="shared" si="245"/>
        <v/>
      </c>
      <c r="AM278" s="86" t="str">
        <f t="shared" si="246"/>
        <v/>
      </c>
      <c r="AN278" s="86" t="str">
        <f t="shared" si="247"/>
        <v/>
      </c>
      <c r="AO278" s="86" t="str">
        <f t="shared" si="248"/>
        <v/>
      </c>
      <c r="AQ278" s="33" t="str">
        <f t="shared" si="225"/>
        <v/>
      </c>
      <c r="AR278" s="30" t="str">
        <f t="shared" si="226"/>
        <v/>
      </c>
      <c r="AU278" s="20">
        <f t="shared" si="227"/>
        <v>0</v>
      </c>
      <c r="AV278" s="20">
        <f t="shared" si="228"/>
        <v>0</v>
      </c>
      <c r="AW278" s="19">
        <f t="shared" si="235"/>
        <v>0</v>
      </c>
      <c r="AX278" s="19">
        <f t="shared" si="236"/>
        <v>0</v>
      </c>
      <c r="AY278" s="19">
        <f t="shared" si="237"/>
        <v>0</v>
      </c>
      <c r="AZ278" s="19">
        <f t="shared" si="238"/>
        <v>0</v>
      </c>
      <c r="BA278" s="19">
        <f t="shared" si="239"/>
        <v>0</v>
      </c>
      <c r="BB278" s="19">
        <f t="shared" si="240"/>
        <v>0</v>
      </c>
      <c r="BC278" s="19">
        <f t="shared" si="241"/>
        <v>0</v>
      </c>
      <c r="BD278" s="19">
        <f>-IF(CUSTOS!B278="",0,CUSTOS!B278)</f>
        <v>0</v>
      </c>
      <c r="BF278" s="20">
        <f t="shared" si="242"/>
        <v>0</v>
      </c>
      <c r="BG278" s="20">
        <f t="shared" si="243"/>
        <v>0</v>
      </c>
      <c r="BH278" s="116">
        <f t="shared" si="243"/>
        <v>0</v>
      </c>
    </row>
    <row r="279" spans="1:60" ht="15" x14ac:dyDescent="0.25">
      <c r="A279" s="66" t="str">
        <f>IF(LARGE($A$11:A278,1)=$F$2,"",A278+1)</f>
        <v/>
      </c>
      <c r="B279" s="27" t="str">
        <f t="shared" si="202"/>
        <v/>
      </c>
      <c r="C279" s="28" t="str">
        <f t="shared" si="229"/>
        <v/>
      </c>
      <c r="D279" s="28" t="str">
        <f t="shared" si="203"/>
        <v/>
      </c>
      <c r="E279" s="28" t="str">
        <f t="shared" si="204"/>
        <v/>
      </c>
      <c r="F279" s="29" t="str">
        <f t="shared" si="205"/>
        <v/>
      </c>
      <c r="G279" s="29" t="str">
        <f t="shared" si="206"/>
        <v/>
      </c>
      <c r="H279" s="30" t="str">
        <f t="shared" si="207"/>
        <v/>
      </c>
      <c r="I279" s="30" t="str">
        <f t="shared" si="208"/>
        <v/>
      </c>
      <c r="J279" s="30" t="str">
        <f>IF(A279="","",H279+CUSTOS!B279)</f>
        <v/>
      </c>
      <c r="K279" s="30" t="str">
        <f t="shared" si="230"/>
        <v/>
      </c>
      <c r="L279" s="30" t="str">
        <f t="shared" si="231"/>
        <v/>
      </c>
      <c r="M279" s="30" t="str">
        <f t="shared" si="232"/>
        <v/>
      </c>
      <c r="N279" s="30" t="str">
        <f t="shared" si="209"/>
        <v/>
      </c>
      <c r="O279" s="31" t="str">
        <f t="shared" si="233"/>
        <v/>
      </c>
      <c r="P279" s="32"/>
      <c r="Q279" s="33" t="str">
        <f t="shared" si="210"/>
        <v/>
      </c>
      <c r="R279" s="33" t="str">
        <f t="shared" si="211"/>
        <v/>
      </c>
      <c r="S279" s="33" t="str">
        <f t="shared" si="212"/>
        <v/>
      </c>
      <c r="T279" s="33" t="str">
        <f t="shared" si="213"/>
        <v/>
      </c>
      <c r="U279" s="33" t="str">
        <f t="shared" si="214"/>
        <v/>
      </c>
      <c r="V279" s="33" t="str">
        <f t="shared" si="215"/>
        <v/>
      </c>
      <c r="X279" s="33" t="str">
        <f t="shared" si="201"/>
        <v/>
      </c>
      <c r="Y279" s="30" t="str">
        <f t="shared" si="216"/>
        <v/>
      </c>
      <c r="Z279" s="30" t="str">
        <f t="shared" si="217"/>
        <v/>
      </c>
      <c r="AA279" s="30" t="str">
        <f t="shared" si="218"/>
        <v/>
      </c>
      <c r="AB279" s="30" t="str">
        <f t="shared" si="219"/>
        <v/>
      </c>
      <c r="AD279" s="33" t="str">
        <f t="shared" si="220"/>
        <v/>
      </c>
      <c r="AE279" s="30" t="str">
        <f t="shared" si="221"/>
        <v/>
      </c>
      <c r="AF279" s="30" t="str">
        <f t="shared" si="222"/>
        <v/>
      </c>
      <c r="AG279" s="30" t="str">
        <f t="shared" si="223"/>
        <v/>
      </c>
      <c r="AH279" s="30" t="str">
        <f t="shared" si="224"/>
        <v/>
      </c>
      <c r="AJ279" s="85" t="str">
        <f t="shared" si="234"/>
        <v/>
      </c>
      <c r="AK279" s="86" t="str">
        <f t="shared" si="244"/>
        <v/>
      </c>
      <c r="AL279" s="86" t="str">
        <f t="shared" si="245"/>
        <v/>
      </c>
      <c r="AM279" s="86" t="str">
        <f t="shared" si="246"/>
        <v/>
      </c>
      <c r="AN279" s="86" t="str">
        <f t="shared" si="247"/>
        <v/>
      </c>
      <c r="AO279" s="86" t="str">
        <f t="shared" si="248"/>
        <v/>
      </c>
      <c r="AQ279" s="33" t="str">
        <f t="shared" si="225"/>
        <v/>
      </c>
      <c r="AR279" s="30" t="str">
        <f t="shared" si="226"/>
        <v/>
      </c>
      <c r="AU279" s="20">
        <f t="shared" si="227"/>
        <v>0</v>
      </c>
      <c r="AV279" s="20">
        <f t="shared" si="228"/>
        <v>0</v>
      </c>
      <c r="AW279" s="19">
        <f t="shared" si="235"/>
        <v>0</v>
      </c>
      <c r="AX279" s="19">
        <f t="shared" si="236"/>
        <v>0</v>
      </c>
      <c r="AY279" s="19">
        <f t="shared" si="237"/>
        <v>0</v>
      </c>
      <c r="AZ279" s="19">
        <f t="shared" si="238"/>
        <v>0</v>
      </c>
      <c r="BA279" s="19">
        <f t="shared" si="239"/>
        <v>0</v>
      </c>
      <c r="BB279" s="19">
        <f t="shared" si="240"/>
        <v>0</v>
      </c>
      <c r="BC279" s="19">
        <f t="shared" si="241"/>
        <v>0</v>
      </c>
      <c r="BD279" s="19">
        <f>-IF(CUSTOS!B279="",0,CUSTOS!B279)</f>
        <v>0</v>
      </c>
      <c r="BF279" s="20">
        <f t="shared" si="242"/>
        <v>0</v>
      </c>
      <c r="BG279" s="20">
        <f t="shared" si="243"/>
        <v>0</v>
      </c>
      <c r="BH279" s="116">
        <f t="shared" si="243"/>
        <v>0</v>
      </c>
    </row>
    <row r="280" spans="1:60" ht="15" x14ac:dyDescent="0.25">
      <c r="A280" s="66" t="str">
        <f>IF(LARGE($A$11:A279,1)=$F$2,"",A279+1)</f>
        <v/>
      </c>
      <c r="B280" s="27" t="str">
        <f t="shared" si="202"/>
        <v/>
      </c>
      <c r="C280" s="28" t="str">
        <f t="shared" si="229"/>
        <v/>
      </c>
      <c r="D280" s="28" t="str">
        <f t="shared" si="203"/>
        <v/>
      </c>
      <c r="E280" s="28" t="str">
        <f t="shared" si="204"/>
        <v/>
      </c>
      <c r="F280" s="29" t="str">
        <f t="shared" si="205"/>
        <v/>
      </c>
      <c r="G280" s="29" t="str">
        <f t="shared" si="206"/>
        <v/>
      </c>
      <c r="H280" s="30" t="str">
        <f t="shared" si="207"/>
        <v/>
      </c>
      <c r="I280" s="30" t="str">
        <f t="shared" si="208"/>
        <v/>
      </c>
      <c r="J280" s="30" t="str">
        <f>IF(A280="","",H280+CUSTOS!B280)</f>
        <v/>
      </c>
      <c r="K280" s="30" t="str">
        <f t="shared" si="230"/>
        <v/>
      </c>
      <c r="L280" s="30" t="str">
        <f t="shared" si="231"/>
        <v/>
      </c>
      <c r="M280" s="30" t="str">
        <f t="shared" si="232"/>
        <v/>
      </c>
      <c r="N280" s="30" t="str">
        <f t="shared" si="209"/>
        <v/>
      </c>
      <c r="O280" s="31" t="str">
        <f t="shared" si="233"/>
        <v/>
      </c>
      <c r="P280" s="32"/>
      <c r="Q280" s="33" t="str">
        <f t="shared" si="210"/>
        <v/>
      </c>
      <c r="R280" s="33" t="str">
        <f t="shared" si="211"/>
        <v/>
      </c>
      <c r="S280" s="33" t="str">
        <f t="shared" si="212"/>
        <v/>
      </c>
      <c r="T280" s="33" t="str">
        <f t="shared" si="213"/>
        <v/>
      </c>
      <c r="U280" s="33" t="str">
        <f t="shared" si="214"/>
        <v/>
      </c>
      <c r="V280" s="33" t="str">
        <f t="shared" si="215"/>
        <v/>
      </c>
      <c r="X280" s="33" t="str">
        <f t="shared" si="201"/>
        <v/>
      </c>
      <c r="Y280" s="30" t="str">
        <f t="shared" si="216"/>
        <v/>
      </c>
      <c r="Z280" s="30" t="str">
        <f t="shared" si="217"/>
        <v/>
      </c>
      <c r="AA280" s="30" t="str">
        <f t="shared" si="218"/>
        <v/>
      </c>
      <c r="AB280" s="30" t="str">
        <f t="shared" si="219"/>
        <v/>
      </c>
      <c r="AD280" s="33" t="str">
        <f t="shared" si="220"/>
        <v/>
      </c>
      <c r="AE280" s="30" t="str">
        <f t="shared" si="221"/>
        <v/>
      </c>
      <c r="AF280" s="30" t="str">
        <f t="shared" si="222"/>
        <v/>
      </c>
      <c r="AG280" s="30" t="str">
        <f t="shared" si="223"/>
        <v/>
      </c>
      <c r="AH280" s="30" t="str">
        <f t="shared" si="224"/>
        <v/>
      </c>
      <c r="AJ280" s="85" t="str">
        <f t="shared" si="234"/>
        <v/>
      </c>
      <c r="AK280" s="86" t="str">
        <f t="shared" si="244"/>
        <v/>
      </c>
      <c r="AL280" s="86" t="str">
        <f t="shared" si="245"/>
        <v/>
      </c>
      <c r="AM280" s="86" t="str">
        <f t="shared" si="246"/>
        <v/>
      </c>
      <c r="AN280" s="86" t="str">
        <f t="shared" si="247"/>
        <v/>
      </c>
      <c r="AO280" s="86" t="str">
        <f t="shared" si="248"/>
        <v/>
      </c>
      <c r="AQ280" s="33" t="str">
        <f t="shared" si="225"/>
        <v/>
      </c>
      <c r="AR280" s="30" t="str">
        <f t="shared" si="226"/>
        <v/>
      </c>
      <c r="AU280" s="20">
        <f t="shared" si="227"/>
        <v>0</v>
      </c>
      <c r="AV280" s="20">
        <f t="shared" si="228"/>
        <v>0</v>
      </c>
      <c r="AW280" s="19">
        <f t="shared" si="235"/>
        <v>0</v>
      </c>
      <c r="AX280" s="19">
        <f t="shared" si="236"/>
        <v>0</v>
      </c>
      <c r="AY280" s="19">
        <f t="shared" si="237"/>
        <v>0</v>
      </c>
      <c r="AZ280" s="19">
        <f t="shared" si="238"/>
        <v>0</v>
      </c>
      <c r="BA280" s="19">
        <f t="shared" si="239"/>
        <v>0</v>
      </c>
      <c r="BB280" s="19">
        <f t="shared" si="240"/>
        <v>0</v>
      </c>
      <c r="BC280" s="19">
        <f t="shared" si="241"/>
        <v>0</v>
      </c>
      <c r="BD280" s="19">
        <f>-IF(CUSTOS!B280="",0,CUSTOS!B280)</f>
        <v>0</v>
      </c>
      <c r="BF280" s="20">
        <f t="shared" si="242"/>
        <v>0</v>
      </c>
      <c r="BG280" s="20">
        <f t="shared" si="243"/>
        <v>0</v>
      </c>
      <c r="BH280" s="116">
        <f t="shared" si="243"/>
        <v>0</v>
      </c>
    </row>
    <row r="281" spans="1:60" ht="15" x14ac:dyDescent="0.25">
      <c r="A281" s="66" t="str">
        <f>IF(LARGE($A$11:A280,1)=$F$2,"",A280+1)</f>
        <v/>
      </c>
      <c r="B281" s="27" t="str">
        <f t="shared" si="202"/>
        <v/>
      </c>
      <c r="C281" s="28" t="str">
        <f t="shared" si="229"/>
        <v/>
      </c>
      <c r="D281" s="28" t="str">
        <f t="shared" si="203"/>
        <v/>
      </c>
      <c r="E281" s="28" t="str">
        <f t="shared" si="204"/>
        <v/>
      </c>
      <c r="F281" s="29" t="str">
        <f t="shared" si="205"/>
        <v/>
      </c>
      <c r="G281" s="29" t="str">
        <f t="shared" si="206"/>
        <v/>
      </c>
      <c r="H281" s="30" t="str">
        <f t="shared" si="207"/>
        <v/>
      </c>
      <c r="I281" s="30" t="str">
        <f t="shared" si="208"/>
        <v/>
      </c>
      <c r="J281" s="30" t="str">
        <f>IF(A281="","",H281+CUSTOS!B281)</f>
        <v/>
      </c>
      <c r="K281" s="30" t="str">
        <f t="shared" si="230"/>
        <v/>
      </c>
      <c r="L281" s="30" t="str">
        <f t="shared" si="231"/>
        <v/>
      </c>
      <c r="M281" s="30" t="str">
        <f t="shared" si="232"/>
        <v/>
      </c>
      <c r="N281" s="30" t="str">
        <f t="shared" si="209"/>
        <v/>
      </c>
      <c r="O281" s="31" t="str">
        <f t="shared" si="233"/>
        <v/>
      </c>
      <c r="P281" s="32"/>
      <c r="Q281" s="33" t="str">
        <f t="shared" si="210"/>
        <v/>
      </c>
      <c r="R281" s="33" t="str">
        <f t="shared" si="211"/>
        <v/>
      </c>
      <c r="S281" s="33" t="str">
        <f t="shared" si="212"/>
        <v/>
      </c>
      <c r="T281" s="33" t="str">
        <f t="shared" si="213"/>
        <v/>
      </c>
      <c r="U281" s="33" t="str">
        <f t="shared" si="214"/>
        <v/>
      </c>
      <c r="V281" s="33" t="str">
        <f t="shared" si="215"/>
        <v/>
      </c>
      <c r="X281" s="33" t="str">
        <f t="shared" si="201"/>
        <v/>
      </c>
      <c r="Y281" s="30" t="str">
        <f t="shared" si="216"/>
        <v/>
      </c>
      <c r="Z281" s="30" t="str">
        <f t="shared" si="217"/>
        <v/>
      </c>
      <c r="AA281" s="30" t="str">
        <f t="shared" si="218"/>
        <v/>
      </c>
      <c r="AB281" s="30" t="str">
        <f t="shared" si="219"/>
        <v/>
      </c>
      <c r="AD281" s="33" t="str">
        <f t="shared" si="220"/>
        <v/>
      </c>
      <c r="AE281" s="30" t="str">
        <f t="shared" si="221"/>
        <v/>
      </c>
      <c r="AF281" s="30" t="str">
        <f t="shared" si="222"/>
        <v/>
      </c>
      <c r="AG281" s="30" t="str">
        <f t="shared" si="223"/>
        <v/>
      </c>
      <c r="AH281" s="30" t="str">
        <f t="shared" si="224"/>
        <v/>
      </c>
      <c r="AJ281" s="85" t="str">
        <f t="shared" si="234"/>
        <v/>
      </c>
      <c r="AK281" s="86" t="str">
        <f t="shared" si="244"/>
        <v/>
      </c>
      <c r="AL281" s="86" t="str">
        <f t="shared" si="245"/>
        <v/>
      </c>
      <c r="AM281" s="86" t="str">
        <f t="shared" si="246"/>
        <v/>
      </c>
      <c r="AN281" s="86" t="str">
        <f t="shared" si="247"/>
        <v/>
      </c>
      <c r="AO281" s="86" t="str">
        <f t="shared" si="248"/>
        <v/>
      </c>
      <c r="AQ281" s="33" t="str">
        <f t="shared" si="225"/>
        <v/>
      </c>
      <c r="AR281" s="30" t="str">
        <f t="shared" si="226"/>
        <v/>
      </c>
      <c r="AU281" s="20">
        <f t="shared" si="227"/>
        <v>0</v>
      </c>
      <c r="AV281" s="20">
        <f t="shared" si="228"/>
        <v>0</v>
      </c>
      <c r="AW281" s="19">
        <f t="shared" si="235"/>
        <v>0</v>
      </c>
      <c r="AX281" s="19">
        <f t="shared" si="236"/>
        <v>0</v>
      </c>
      <c r="AY281" s="19">
        <f t="shared" si="237"/>
        <v>0</v>
      </c>
      <c r="AZ281" s="19">
        <f t="shared" si="238"/>
        <v>0</v>
      </c>
      <c r="BA281" s="19">
        <f t="shared" si="239"/>
        <v>0</v>
      </c>
      <c r="BB281" s="19">
        <f t="shared" si="240"/>
        <v>0</v>
      </c>
      <c r="BC281" s="19">
        <f t="shared" si="241"/>
        <v>0</v>
      </c>
      <c r="BD281" s="19">
        <f>-IF(CUSTOS!B281="",0,CUSTOS!B281)</f>
        <v>0</v>
      </c>
      <c r="BF281" s="20">
        <f t="shared" si="242"/>
        <v>0</v>
      </c>
      <c r="BG281" s="20">
        <f t="shared" si="243"/>
        <v>0</v>
      </c>
      <c r="BH281" s="116">
        <f t="shared" si="243"/>
        <v>0</v>
      </c>
    </row>
    <row r="282" spans="1:60" ht="15" x14ac:dyDescent="0.25">
      <c r="A282" s="66" t="str">
        <f>IF(LARGE($A$11:A281,1)=$F$2,"",A281+1)</f>
        <v/>
      </c>
      <c r="B282" s="27" t="str">
        <f t="shared" si="202"/>
        <v/>
      </c>
      <c r="C282" s="28" t="str">
        <f t="shared" si="229"/>
        <v/>
      </c>
      <c r="D282" s="28" t="str">
        <f t="shared" si="203"/>
        <v/>
      </c>
      <c r="E282" s="28" t="str">
        <f t="shared" si="204"/>
        <v/>
      </c>
      <c r="F282" s="29" t="str">
        <f t="shared" si="205"/>
        <v/>
      </c>
      <c r="G282" s="29" t="str">
        <f t="shared" si="206"/>
        <v/>
      </c>
      <c r="H282" s="30" t="str">
        <f t="shared" si="207"/>
        <v/>
      </c>
      <c r="I282" s="30" t="str">
        <f t="shared" si="208"/>
        <v/>
      </c>
      <c r="J282" s="30" t="str">
        <f>IF(A282="","",H282+CUSTOS!B282)</f>
        <v/>
      </c>
      <c r="K282" s="30" t="str">
        <f t="shared" si="230"/>
        <v/>
      </c>
      <c r="L282" s="30" t="str">
        <f t="shared" si="231"/>
        <v/>
      </c>
      <c r="M282" s="30" t="str">
        <f t="shared" si="232"/>
        <v/>
      </c>
      <c r="N282" s="30" t="str">
        <f t="shared" si="209"/>
        <v/>
      </c>
      <c r="O282" s="31" t="str">
        <f t="shared" si="233"/>
        <v/>
      </c>
      <c r="P282" s="32"/>
      <c r="Q282" s="33" t="str">
        <f t="shared" si="210"/>
        <v/>
      </c>
      <c r="R282" s="33" t="str">
        <f t="shared" si="211"/>
        <v/>
      </c>
      <c r="S282" s="33" t="str">
        <f t="shared" si="212"/>
        <v/>
      </c>
      <c r="T282" s="33" t="str">
        <f t="shared" si="213"/>
        <v/>
      </c>
      <c r="U282" s="33" t="str">
        <f t="shared" si="214"/>
        <v/>
      </c>
      <c r="V282" s="33" t="str">
        <f t="shared" si="215"/>
        <v/>
      </c>
      <c r="X282" s="33" t="str">
        <f t="shared" si="201"/>
        <v/>
      </c>
      <c r="Y282" s="30" t="str">
        <f t="shared" si="216"/>
        <v/>
      </c>
      <c r="Z282" s="30" t="str">
        <f t="shared" si="217"/>
        <v/>
      </c>
      <c r="AA282" s="30" t="str">
        <f t="shared" si="218"/>
        <v/>
      </c>
      <c r="AB282" s="30" t="str">
        <f t="shared" si="219"/>
        <v/>
      </c>
      <c r="AD282" s="33" t="str">
        <f t="shared" si="220"/>
        <v/>
      </c>
      <c r="AE282" s="30" t="str">
        <f t="shared" si="221"/>
        <v/>
      </c>
      <c r="AF282" s="30" t="str">
        <f t="shared" si="222"/>
        <v/>
      </c>
      <c r="AG282" s="30" t="str">
        <f t="shared" si="223"/>
        <v/>
      </c>
      <c r="AH282" s="30" t="str">
        <f t="shared" si="224"/>
        <v/>
      </c>
      <c r="AJ282" s="85" t="str">
        <f t="shared" si="234"/>
        <v/>
      </c>
      <c r="AK282" s="86" t="str">
        <f t="shared" si="244"/>
        <v/>
      </c>
      <c r="AL282" s="86" t="str">
        <f t="shared" si="245"/>
        <v/>
      </c>
      <c r="AM282" s="86" t="str">
        <f t="shared" si="246"/>
        <v/>
      </c>
      <c r="AN282" s="86" t="str">
        <f t="shared" si="247"/>
        <v/>
      </c>
      <c r="AO282" s="86" t="str">
        <f t="shared" si="248"/>
        <v/>
      </c>
      <c r="AQ282" s="33" t="str">
        <f t="shared" si="225"/>
        <v/>
      </c>
      <c r="AR282" s="30" t="str">
        <f t="shared" si="226"/>
        <v/>
      </c>
      <c r="AU282" s="20">
        <f t="shared" si="227"/>
        <v>0</v>
      </c>
      <c r="AV282" s="20">
        <f t="shared" si="228"/>
        <v>0</v>
      </c>
      <c r="AW282" s="19">
        <f t="shared" si="235"/>
        <v>0</v>
      </c>
      <c r="AX282" s="19">
        <f t="shared" si="236"/>
        <v>0</v>
      </c>
      <c r="AY282" s="19">
        <f t="shared" si="237"/>
        <v>0</v>
      </c>
      <c r="AZ282" s="19">
        <f t="shared" si="238"/>
        <v>0</v>
      </c>
      <c r="BA282" s="19">
        <f t="shared" si="239"/>
        <v>0</v>
      </c>
      <c r="BB282" s="19">
        <f t="shared" si="240"/>
        <v>0</v>
      </c>
      <c r="BC282" s="19">
        <f t="shared" si="241"/>
        <v>0</v>
      </c>
      <c r="BD282" s="19">
        <f>-IF(CUSTOS!B282="",0,CUSTOS!B282)</f>
        <v>0</v>
      </c>
      <c r="BF282" s="20">
        <f t="shared" si="242"/>
        <v>0</v>
      </c>
      <c r="BG282" s="20">
        <f t="shared" si="243"/>
        <v>0</v>
      </c>
      <c r="BH282" s="116">
        <f t="shared" si="243"/>
        <v>0</v>
      </c>
    </row>
    <row r="283" spans="1:60" ht="15" x14ac:dyDescent="0.25">
      <c r="A283" s="66" t="str">
        <f>IF(LARGE($A$11:A282,1)=$F$2,"",A282+1)</f>
        <v/>
      </c>
      <c r="B283" s="27" t="str">
        <f t="shared" si="202"/>
        <v/>
      </c>
      <c r="C283" s="28" t="str">
        <f t="shared" si="229"/>
        <v/>
      </c>
      <c r="D283" s="28" t="str">
        <f t="shared" si="203"/>
        <v/>
      </c>
      <c r="E283" s="28" t="str">
        <f t="shared" si="204"/>
        <v/>
      </c>
      <c r="F283" s="29" t="str">
        <f t="shared" si="205"/>
        <v/>
      </c>
      <c r="G283" s="29" t="str">
        <f t="shared" si="206"/>
        <v/>
      </c>
      <c r="H283" s="30" t="str">
        <f t="shared" si="207"/>
        <v/>
      </c>
      <c r="I283" s="30" t="str">
        <f t="shared" si="208"/>
        <v/>
      </c>
      <c r="J283" s="30" t="str">
        <f>IF(A283="","",H283+CUSTOS!B283)</f>
        <v/>
      </c>
      <c r="K283" s="30" t="str">
        <f t="shared" si="230"/>
        <v/>
      </c>
      <c r="L283" s="30" t="str">
        <f t="shared" si="231"/>
        <v/>
      </c>
      <c r="M283" s="30" t="str">
        <f t="shared" si="232"/>
        <v/>
      </c>
      <c r="N283" s="30" t="str">
        <f t="shared" si="209"/>
        <v/>
      </c>
      <c r="O283" s="31" t="str">
        <f t="shared" si="233"/>
        <v/>
      </c>
      <c r="P283" s="32"/>
      <c r="Q283" s="33" t="str">
        <f t="shared" si="210"/>
        <v/>
      </c>
      <c r="R283" s="33" t="str">
        <f t="shared" si="211"/>
        <v/>
      </c>
      <c r="S283" s="33" t="str">
        <f t="shared" si="212"/>
        <v/>
      </c>
      <c r="T283" s="33" t="str">
        <f t="shared" si="213"/>
        <v/>
      </c>
      <c r="U283" s="33" t="str">
        <f t="shared" si="214"/>
        <v/>
      </c>
      <c r="V283" s="33" t="str">
        <f t="shared" si="215"/>
        <v/>
      </c>
      <c r="X283" s="33" t="str">
        <f t="shared" si="201"/>
        <v/>
      </c>
      <c r="Y283" s="30" t="str">
        <f t="shared" si="216"/>
        <v/>
      </c>
      <c r="Z283" s="30" t="str">
        <f t="shared" si="217"/>
        <v/>
      </c>
      <c r="AA283" s="30" t="str">
        <f t="shared" si="218"/>
        <v/>
      </c>
      <c r="AB283" s="30" t="str">
        <f t="shared" si="219"/>
        <v/>
      </c>
      <c r="AD283" s="33" t="str">
        <f t="shared" si="220"/>
        <v/>
      </c>
      <c r="AE283" s="30" t="str">
        <f t="shared" si="221"/>
        <v/>
      </c>
      <c r="AF283" s="30" t="str">
        <f t="shared" si="222"/>
        <v/>
      </c>
      <c r="AG283" s="30" t="str">
        <f t="shared" si="223"/>
        <v/>
      </c>
      <c r="AH283" s="30" t="str">
        <f t="shared" si="224"/>
        <v/>
      </c>
      <c r="AJ283" s="85" t="str">
        <f t="shared" si="234"/>
        <v/>
      </c>
      <c r="AK283" s="86" t="str">
        <f t="shared" si="244"/>
        <v/>
      </c>
      <c r="AL283" s="86" t="str">
        <f t="shared" si="245"/>
        <v/>
      </c>
      <c r="AM283" s="86" t="str">
        <f t="shared" si="246"/>
        <v/>
      </c>
      <c r="AN283" s="86" t="str">
        <f t="shared" si="247"/>
        <v/>
      </c>
      <c r="AO283" s="86" t="str">
        <f t="shared" si="248"/>
        <v/>
      </c>
      <c r="AQ283" s="33" t="str">
        <f t="shared" si="225"/>
        <v/>
      </c>
      <c r="AR283" s="30" t="str">
        <f t="shared" si="226"/>
        <v/>
      </c>
      <c r="AU283" s="20">
        <f t="shared" si="227"/>
        <v>0</v>
      </c>
      <c r="AV283" s="20">
        <f t="shared" si="228"/>
        <v>0</v>
      </c>
      <c r="AW283" s="19">
        <f t="shared" si="235"/>
        <v>0</v>
      </c>
      <c r="AX283" s="19">
        <f t="shared" si="236"/>
        <v>0</v>
      </c>
      <c r="AY283" s="19">
        <f t="shared" si="237"/>
        <v>0</v>
      </c>
      <c r="AZ283" s="19">
        <f t="shared" si="238"/>
        <v>0</v>
      </c>
      <c r="BA283" s="19">
        <f t="shared" si="239"/>
        <v>0</v>
      </c>
      <c r="BB283" s="19">
        <f t="shared" si="240"/>
        <v>0</v>
      </c>
      <c r="BC283" s="19">
        <f t="shared" si="241"/>
        <v>0</v>
      </c>
      <c r="BD283" s="19">
        <f>-IF(CUSTOS!B283="",0,CUSTOS!B283)</f>
        <v>0</v>
      </c>
      <c r="BF283" s="20">
        <f t="shared" si="242"/>
        <v>0</v>
      </c>
      <c r="BG283" s="20">
        <f t="shared" si="243"/>
        <v>0</v>
      </c>
      <c r="BH283" s="116">
        <f t="shared" si="243"/>
        <v>0</v>
      </c>
    </row>
    <row r="284" spans="1:60" ht="15" x14ac:dyDescent="0.25">
      <c r="A284" s="66" t="str">
        <f>IF(LARGE($A$11:A283,1)=$F$2,"",A283+1)</f>
        <v/>
      </c>
      <c r="B284" s="27" t="str">
        <f t="shared" si="202"/>
        <v/>
      </c>
      <c r="C284" s="28" t="str">
        <f t="shared" si="229"/>
        <v/>
      </c>
      <c r="D284" s="28" t="str">
        <f t="shared" si="203"/>
        <v/>
      </c>
      <c r="E284" s="28" t="str">
        <f t="shared" si="204"/>
        <v/>
      </c>
      <c r="F284" s="29" t="str">
        <f t="shared" si="205"/>
        <v/>
      </c>
      <c r="G284" s="29" t="str">
        <f t="shared" si="206"/>
        <v/>
      </c>
      <c r="H284" s="30" t="str">
        <f t="shared" si="207"/>
        <v/>
      </c>
      <c r="I284" s="30" t="str">
        <f t="shared" si="208"/>
        <v/>
      </c>
      <c r="J284" s="30" t="str">
        <f>IF(A284="","",H284+CUSTOS!B284)</f>
        <v/>
      </c>
      <c r="K284" s="30" t="str">
        <f t="shared" si="230"/>
        <v/>
      </c>
      <c r="L284" s="30" t="str">
        <f t="shared" si="231"/>
        <v/>
      </c>
      <c r="M284" s="30" t="str">
        <f t="shared" si="232"/>
        <v/>
      </c>
      <c r="N284" s="30" t="str">
        <f t="shared" si="209"/>
        <v/>
      </c>
      <c r="O284" s="31" t="str">
        <f t="shared" si="233"/>
        <v/>
      </c>
      <c r="P284" s="32"/>
      <c r="Q284" s="33" t="str">
        <f t="shared" si="210"/>
        <v/>
      </c>
      <c r="R284" s="33" t="str">
        <f t="shared" si="211"/>
        <v/>
      </c>
      <c r="S284" s="33" t="str">
        <f t="shared" si="212"/>
        <v/>
      </c>
      <c r="T284" s="33" t="str">
        <f t="shared" si="213"/>
        <v/>
      </c>
      <c r="U284" s="33" t="str">
        <f t="shared" si="214"/>
        <v/>
      </c>
      <c r="V284" s="33" t="str">
        <f t="shared" si="215"/>
        <v/>
      </c>
      <c r="X284" s="33" t="str">
        <f t="shared" si="201"/>
        <v/>
      </c>
      <c r="Y284" s="30" t="str">
        <f t="shared" si="216"/>
        <v/>
      </c>
      <c r="Z284" s="30" t="str">
        <f t="shared" si="217"/>
        <v/>
      </c>
      <c r="AA284" s="30" t="str">
        <f t="shared" si="218"/>
        <v/>
      </c>
      <c r="AB284" s="30" t="str">
        <f t="shared" si="219"/>
        <v/>
      </c>
      <c r="AD284" s="33" t="str">
        <f t="shared" si="220"/>
        <v/>
      </c>
      <c r="AE284" s="30" t="str">
        <f t="shared" si="221"/>
        <v/>
      </c>
      <c r="AF284" s="30" t="str">
        <f t="shared" si="222"/>
        <v/>
      </c>
      <c r="AG284" s="30" t="str">
        <f t="shared" si="223"/>
        <v/>
      </c>
      <c r="AH284" s="30" t="str">
        <f t="shared" si="224"/>
        <v/>
      </c>
      <c r="AJ284" s="85" t="str">
        <f t="shared" si="234"/>
        <v/>
      </c>
      <c r="AK284" s="86" t="str">
        <f t="shared" si="244"/>
        <v/>
      </c>
      <c r="AL284" s="86" t="str">
        <f t="shared" si="245"/>
        <v/>
      </c>
      <c r="AM284" s="86" t="str">
        <f t="shared" si="246"/>
        <v/>
      </c>
      <c r="AN284" s="86" t="str">
        <f t="shared" si="247"/>
        <v/>
      </c>
      <c r="AO284" s="86" t="str">
        <f t="shared" si="248"/>
        <v/>
      </c>
      <c r="AQ284" s="33" t="str">
        <f t="shared" si="225"/>
        <v/>
      </c>
      <c r="AR284" s="30" t="str">
        <f t="shared" si="226"/>
        <v/>
      </c>
      <c r="AU284" s="20">
        <f t="shared" si="227"/>
        <v>0</v>
      </c>
      <c r="AV284" s="20">
        <f t="shared" si="228"/>
        <v>0</v>
      </c>
      <c r="AW284" s="19">
        <f t="shared" si="235"/>
        <v>0</v>
      </c>
      <c r="AX284" s="19">
        <f t="shared" si="236"/>
        <v>0</v>
      </c>
      <c r="AY284" s="19">
        <f t="shared" si="237"/>
        <v>0</v>
      </c>
      <c r="AZ284" s="19">
        <f t="shared" si="238"/>
        <v>0</v>
      </c>
      <c r="BA284" s="19">
        <f t="shared" si="239"/>
        <v>0</v>
      </c>
      <c r="BB284" s="19">
        <f t="shared" si="240"/>
        <v>0</v>
      </c>
      <c r="BC284" s="19">
        <f t="shared" si="241"/>
        <v>0</v>
      </c>
      <c r="BD284" s="19">
        <f>-IF(CUSTOS!B284="",0,CUSTOS!B284)</f>
        <v>0</v>
      </c>
      <c r="BF284" s="20">
        <f t="shared" si="242"/>
        <v>0</v>
      </c>
      <c r="BG284" s="20">
        <f t="shared" si="243"/>
        <v>0</v>
      </c>
      <c r="BH284" s="116">
        <f t="shared" si="243"/>
        <v>0</v>
      </c>
    </row>
    <row r="285" spans="1:60" ht="15" x14ac:dyDescent="0.25">
      <c r="A285" s="66" t="str">
        <f>IF(LARGE($A$11:A284,1)=$F$2,"",A284+1)</f>
        <v/>
      </c>
      <c r="B285" s="27" t="str">
        <f t="shared" si="202"/>
        <v/>
      </c>
      <c r="C285" s="28" t="str">
        <f t="shared" si="229"/>
        <v/>
      </c>
      <c r="D285" s="28" t="str">
        <f t="shared" si="203"/>
        <v/>
      </c>
      <c r="E285" s="28" t="str">
        <f t="shared" si="204"/>
        <v/>
      </c>
      <c r="F285" s="29" t="str">
        <f t="shared" si="205"/>
        <v/>
      </c>
      <c r="G285" s="29" t="str">
        <f t="shared" si="206"/>
        <v/>
      </c>
      <c r="H285" s="30" t="str">
        <f t="shared" si="207"/>
        <v/>
      </c>
      <c r="I285" s="30" t="str">
        <f t="shared" si="208"/>
        <v/>
      </c>
      <c r="J285" s="30" t="str">
        <f>IF(A285="","",H285+CUSTOS!B285)</f>
        <v/>
      </c>
      <c r="K285" s="30" t="str">
        <f t="shared" si="230"/>
        <v/>
      </c>
      <c r="L285" s="30" t="str">
        <f t="shared" si="231"/>
        <v/>
      </c>
      <c r="M285" s="30" t="str">
        <f t="shared" si="232"/>
        <v/>
      </c>
      <c r="N285" s="30" t="str">
        <f t="shared" si="209"/>
        <v/>
      </c>
      <c r="O285" s="31" t="str">
        <f t="shared" si="233"/>
        <v/>
      </c>
      <c r="P285" s="32"/>
      <c r="Q285" s="33" t="str">
        <f t="shared" si="210"/>
        <v/>
      </c>
      <c r="R285" s="33" t="str">
        <f t="shared" si="211"/>
        <v/>
      </c>
      <c r="S285" s="33" t="str">
        <f t="shared" si="212"/>
        <v/>
      </c>
      <c r="T285" s="33" t="str">
        <f t="shared" si="213"/>
        <v/>
      </c>
      <c r="U285" s="33" t="str">
        <f t="shared" si="214"/>
        <v/>
      </c>
      <c r="V285" s="33" t="str">
        <f t="shared" si="215"/>
        <v/>
      </c>
      <c r="X285" s="33" t="str">
        <f t="shared" si="201"/>
        <v/>
      </c>
      <c r="Y285" s="30" t="str">
        <f t="shared" si="216"/>
        <v/>
      </c>
      <c r="Z285" s="30" t="str">
        <f t="shared" si="217"/>
        <v/>
      </c>
      <c r="AA285" s="30" t="str">
        <f t="shared" si="218"/>
        <v/>
      </c>
      <c r="AB285" s="30" t="str">
        <f t="shared" si="219"/>
        <v/>
      </c>
      <c r="AD285" s="33" t="str">
        <f t="shared" si="220"/>
        <v/>
      </c>
      <c r="AE285" s="30" t="str">
        <f t="shared" si="221"/>
        <v/>
      </c>
      <c r="AF285" s="30" t="str">
        <f t="shared" si="222"/>
        <v/>
      </c>
      <c r="AG285" s="30" t="str">
        <f t="shared" si="223"/>
        <v/>
      </c>
      <c r="AH285" s="30" t="str">
        <f t="shared" si="224"/>
        <v/>
      </c>
      <c r="AJ285" s="85" t="str">
        <f t="shared" si="234"/>
        <v/>
      </c>
      <c r="AK285" s="86" t="str">
        <f t="shared" si="244"/>
        <v/>
      </c>
      <c r="AL285" s="86" t="str">
        <f t="shared" si="245"/>
        <v/>
      </c>
      <c r="AM285" s="86" t="str">
        <f t="shared" si="246"/>
        <v/>
      </c>
      <c r="AN285" s="86" t="str">
        <f t="shared" si="247"/>
        <v/>
      </c>
      <c r="AO285" s="86" t="str">
        <f t="shared" si="248"/>
        <v/>
      </c>
      <c r="AQ285" s="33" t="str">
        <f t="shared" si="225"/>
        <v/>
      </c>
      <c r="AR285" s="30" t="str">
        <f t="shared" si="226"/>
        <v/>
      </c>
      <c r="AU285" s="20">
        <f t="shared" si="227"/>
        <v>0</v>
      </c>
      <c r="AV285" s="20">
        <f t="shared" si="228"/>
        <v>0</v>
      </c>
      <c r="AW285" s="19">
        <f t="shared" si="235"/>
        <v>0</v>
      </c>
      <c r="AX285" s="19">
        <f t="shared" si="236"/>
        <v>0</v>
      </c>
      <c r="AY285" s="19">
        <f t="shared" si="237"/>
        <v>0</v>
      </c>
      <c r="AZ285" s="19">
        <f t="shared" si="238"/>
        <v>0</v>
      </c>
      <c r="BA285" s="19">
        <f t="shared" si="239"/>
        <v>0</v>
      </c>
      <c r="BB285" s="19">
        <f t="shared" si="240"/>
        <v>0</v>
      </c>
      <c r="BC285" s="19">
        <f t="shared" si="241"/>
        <v>0</v>
      </c>
      <c r="BD285" s="19">
        <f>-IF(CUSTOS!B285="",0,CUSTOS!B285)</f>
        <v>0</v>
      </c>
      <c r="BF285" s="20">
        <f t="shared" si="242"/>
        <v>0</v>
      </c>
      <c r="BG285" s="20">
        <f t="shared" si="243"/>
        <v>0</v>
      </c>
      <c r="BH285" s="116">
        <f t="shared" si="243"/>
        <v>0</v>
      </c>
    </row>
    <row r="286" spans="1:60" ht="15" x14ac:dyDescent="0.25">
      <c r="A286" s="66" t="str">
        <f>IF(LARGE($A$11:A285,1)=$F$2,"",A285+1)</f>
        <v/>
      </c>
      <c r="B286" s="27" t="str">
        <f t="shared" si="202"/>
        <v/>
      </c>
      <c r="C286" s="28" t="str">
        <f t="shared" si="229"/>
        <v/>
      </c>
      <c r="D286" s="28" t="str">
        <f t="shared" si="203"/>
        <v/>
      </c>
      <c r="E286" s="28" t="str">
        <f t="shared" si="204"/>
        <v/>
      </c>
      <c r="F286" s="29" t="str">
        <f t="shared" si="205"/>
        <v/>
      </c>
      <c r="G286" s="29" t="str">
        <f t="shared" si="206"/>
        <v/>
      </c>
      <c r="H286" s="30" t="str">
        <f t="shared" si="207"/>
        <v/>
      </c>
      <c r="I286" s="30" t="str">
        <f t="shared" si="208"/>
        <v/>
      </c>
      <c r="J286" s="30" t="str">
        <f>IF(A286="","",H286+CUSTOS!B286)</f>
        <v/>
      </c>
      <c r="K286" s="30" t="str">
        <f t="shared" si="230"/>
        <v/>
      </c>
      <c r="L286" s="30" t="str">
        <f t="shared" si="231"/>
        <v/>
      </c>
      <c r="M286" s="30" t="str">
        <f t="shared" si="232"/>
        <v/>
      </c>
      <c r="N286" s="30" t="str">
        <f t="shared" si="209"/>
        <v/>
      </c>
      <c r="O286" s="31" t="str">
        <f t="shared" si="233"/>
        <v/>
      </c>
      <c r="P286" s="32"/>
      <c r="Q286" s="33" t="str">
        <f t="shared" si="210"/>
        <v/>
      </c>
      <c r="R286" s="33" t="str">
        <f t="shared" si="211"/>
        <v/>
      </c>
      <c r="S286" s="33" t="str">
        <f t="shared" si="212"/>
        <v/>
      </c>
      <c r="T286" s="33" t="str">
        <f t="shared" si="213"/>
        <v/>
      </c>
      <c r="U286" s="33" t="str">
        <f t="shared" si="214"/>
        <v/>
      </c>
      <c r="V286" s="33" t="str">
        <f t="shared" si="215"/>
        <v/>
      </c>
      <c r="X286" s="33" t="str">
        <f t="shared" si="201"/>
        <v/>
      </c>
      <c r="Y286" s="30" t="str">
        <f t="shared" si="216"/>
        <v/>
      </c>
      <c r="Z286" s="30" t="str">
        <f t="shared" si="217"/>
        <v/>
      </c>
      <c r="AA286" s="30" t="str">
        <f t="shared" si="218"/>
        <v/>
      </c>
      <c r="AB286" s="30" t="str">
        <f t="shared" si="219"/>
        <v/>
      </c>
      <c r="AD286" s="33" t="str">
        <f t="shared" si="220"/>
        <v/>
      </c>
      <c r="AE286" s="30" t="str">
        <f t="shared" si="221"/>
        <v/>
      </c>
      <c r="AF286" s="30" t="str">
        <f t="shared" si="222"/>
        <v/>
      </c>
      <c r="AG286" s="30" t="str">
        <f t="shared" si="223"/>
        <v/>
      </c>
      <c r="AH286" s="30" t="str">
        <f t="shared" si="224"/>
        <v/>
      </c>
      <c r="AJ286" s="85" t="str">
        <f t="shared" si="234"/>
        <v/>
      </c>
      <c r="AK286" s="86" t="str">
        <f t="shared" si="244"/>
        <v/>
      </c>
      <c r="AL286" s="86" t="str">
        <f t="shared" si="245"/>
        <v/>
      </c>
      <c r="AM286" s="86" t="str">
        <f t="shared" si="246"/>
        <v/>
      </c>
      <c r="AN286" s="86" t="str">
        <f t="shared" si="247"/>
        <v/>
      </c>
      <c r="AO286" s="86" t="str">
        <f t="shared" si="248"/>
        <v/>
      </c>
      <c r="AQ286" s="33" t="str">
        <f t="shared" si="225"/>
        <v/>
      </c>
      <c r="AR286" s="30" t="str">
        <f t="shared" si="226"/>
        <v/>
      </c>
      <c r="AU286" s="20">
        <f t="shared" si="227"/>
        <v>0</v>
      </c>
      <c r="AV286" s="20">
        <f t="shared" si="228"/>
        <v>0</v>
      </c>
      <c r="AW286" s="19">
        <f t="shared" si="235"/>
        <v>0</v>
      </c>
      <c r="AX286" s="19">
        <f t="shared" si="236"/>
        <v>0</v>
      </c>
      <c r="AY286" s="19">
        <f t="shared" si="237"/>
        <v>0</v>
      </c>
      <c r="AZ286" s="19">
        <f t="shared" si="238"/>
        <v>0</v>
      </c>
      <c r="BA286" s="19">
        <f t="shared" si="239"/>
        <v>0</v>
      </c>
      <c r="BB286" s="19">
        <f t="shared" si="240"/>
        <v>0</v>
      </c>
      <c r="BC286" s="19">
        <f t="shared" si="241"/>
        <v>0</v>
      </c>
      <c r="BD286" s="19">
        <f>-IF(CUSTOS!B286="",0,CUSTOS!B286)</f>
        <v>0</v>
      </c>
      <c r="BF286" s="20">
        <f t="shared" si="242"/>
        <v>0</v>
      </c>
      <c r="BG286" s="20">
        <f t="shared" si="243"/>
        <v>0</v>
      </c>
      <c r="BH286" s="116">
        <f t="shared" si="243"/>
        <v>0</v>
      </c>
    </row>
    <row r="287" spans="1:60" ht="15" x14ac:dyDescent="0.25">
      <c r="A287" s="66" t="str">
        <f>IF(LARGE($A$11:A286,1)=$F$2,"",A286+1)</f>
        <v/>
      </c>
      <c r="B287" s="27" t="str">
        <f t="shared" si="202"/>
        <v/>
      </c>
      <c r="C287" s="28" t="str">
        <f t="shared" si="229"/>
        <v/>
      </c>
      <c r="D287" s="28" t="str">
        <f t="shared" si="203"/>
        <v/>
      </c>
      <c r="E287" s="28" t="str">
        <f t="shared" si="204"/>
        <v/>
      </c>
      <c r="F287" s="29" t="str">
        <f t="shared" si="205"/>
        <v/>
      </c>
      <c r="G287" s="29" t="str">
        <f t="shared" si="206"/>
        <v/>
      </c>
      <c r="H287" s="30" t="str">
        <f t="shared" si="207"/>
        <v/>
      </c>
      <c r="I287" s="30" t="str">
        <f t="shared" si="208"/>
        <v/>
      </c>
      <c r="J287" s="30" t="str">
        <f>IF(A287="","",H287+CUSTOS!B287)</f>
        <v/>
      </c>
      <c r="K287" s="30" t="str">
        <f t="shared" si="230"/>
        <v/>
      </c>
      <c r="L287" s="30" t="str">
        <f t="shared" si="231"/>
        <v/>
      </c>
      <c r="M287" s="30" t="str">
        <f t="shared" si="232"/>
        <v/>
      </c>
      <c r="N287" s="30" t="str">
        <f t="shared" si="209"/>
        <v/>
      </c>
      <c r="O287" s="31" t="str">
        <f t="shared" si="233"/>
        <v/>
      </c>
      <c r="P287" s="32"/>
      <c r="Q287" s="33" t="str">
        <f t="shared" si="210"/>
        <v/>
      </c>
      <c r="R287" s="33" t="str">
        <f t="shared" si="211"/>
        <v/>
      </c>
      <c r="S287" s="33" t="str">
        <f t="shared" si="212"/>
        <v/>
      </c>
      <c r="T287" s="33" t="str">
        <f t="shared" si="213"/>
        <v/>
      </c>
      <c r="U287" s="33" t="str">
        <f t="shared" si="214"/>
        <v/>
      </c>
      <c r="V287" s="33" t="str">
        <f t="shared" si="215"/>
        <v/>
      </c>
      <c r="X287" s="33" t="str">
        <f t="shared" si="201"/>
        <v/>
      </c>
      <c r="Y287" s="30" t="str">
        <f t="shared" si="216"/>
        <v/>
      </c>
      <c r="Z287" s="30" t="str">
        <f t="shared" si="217"/>
        <v/>
      </c>
      <c r="AA287" s="30" t="str">
        <f t="shared" si="218"/>
        <v/>
      </c>
      <c r="AB287" s="30" t="str">
        <f t="shared" si="219"/>
        <v/>
      </c>
      <c r="AD287" s="33" t="str">
        <f t="shared" si="220"/>
        <v/>
      </c>
      <c r="AE287" s="30" t="str">
        <f t="shared" si="221"/>
        <v/>
      </c>
      <c r="AF287" s="30" t="str">
        <f t="shared" si="222"/>
        <v/>
      </c>
      <c r="AG287" s="30" t="str">
        <f t="shared" si="223"/>
        <v/>
      </c>
      <c r="AH287" s="30" t="str">
        <f t="shared" si="224"/>
        <v/>
      </c>
      <c r="AJ287" s="85" t="str">
        <f t="shared" si="234"/>
        <v/>
      </c>
      <c r="AK287" s="86" t="str">
        <f t="shared" si="244"/>
        <v/>
      </c>
      <c r="AL287" s="86" t="str">
        <f t="shared" si="245"/>
        <v/>
      </c>
      <c r="AM287" s="86" t="str">
        <f t="shared" si="246"/>
        <v/>
      </c>
      <c r="AN287" s="86" t="str">
        <f t="shared" si="247"/>
        <v/>
      </c>
      <c r="AO287" s="86" t="str">
        <f t="shared" si="248"/>
        <v/>
      </c>
      <c r="AQ287" s="33" t="str">
        <f t="shared" si="225"/>
        <v/>
      </c>
      <c r="AR287" s="30" t="str">
        <f t="shared" si="226"/>
        <v/>
      </c>
      <c r="AU287" s="20">
        <f t="shared" si="227"/>
        <v>0</v>
      </c>
      <c r="AV287" s="20">
        <f t="shared" si="228"/>
        <v>0</v>
      </c>
      <c r="AW287" s="19">
        <f t="shared" si="235"/>
        <v>0</v>
      </c>
      <c r="AX287" s="19">
        <f t="shared" si="236"/>
        <v>0</v>
      </c>
      <c r="AY287" s="19">
        <f t="shared" si="237"/>
        <v>0</v>
      </c>
      <c r="AZ287" s="19">
        <f t="shared" si="238"/>
        <v>0</v>
      </c>
      <c r="BA287" s="19">
        <f t="shared" si="239"/>
        <v>0</v>
      </c>
      <c r="BB287" s="19">
        <f t="shared" si="240"/>
        <v>0</v>
      </c>
      <c r="BC287" s="19">
        <f t="shared" si="241"/>
        <v>0</v>
      </c>
      <c r="BD287" s="19">
        <f>-IF(CUSTOS!B287="",0,CUSTOS!B287)</f>
        <v>0</v>
      </c>
      <c r="BF287" s="20">
        <f t="shared" si="242"/>
        <v>0</v>
      </c>
      <c r="BG287" s="20">
        <f t="shared" si="243"/>
        <v>0</v>
      </c>
      <c r="BH287" s="116">
        <f t="shared" si="243"/>
        <v>0</v>
      </c>
    </row>
    <row r="288" spans="1:60" ht="15" x14ac:dyDescent="0.25">
      <c r="A288" s="66" t="str">
        <f>IF(LARGE($A$11:A287,1)=$F$2,"",A287+1)</f>
        <v/>
      </c>
      <c r="B288" s="27" t="str">
        <f t="shared" si="202"/>
        <v/>
      </c>
      <c r="C288" s="28" t="str">
        <f t="shared" si="229"/>
        <v/>
      </c>
      <c r="D288" s="28" t="str">
        <f t="shared" si="203"/>
        <v/>
      </c>
      <c r="E288" s="28" t="str">
        <f t="shared" si="204"/>
        <v/>
      </c>
      <c r="F288" s="29" t="str">
        <f t="shared" si="205"/>
        <v/>
      </c>
      <c r="G288" s="29" t="str">
        <f t="shared" si="206"/>
        <v/>
      </c>
      <c r="H288" s="30" t="str">
        <f t="shared" si="207"/>
        <v/>
      </c>
      <c r="I288" s="30" t="str">
        <f t="shared" si="208"/>
        <v/>
      </c>
      <c r="J288" s="30" t="str">
        <f>IF(A288="","",H288+CUSTOS!B288)</f>
        <v/>
      </c>
      <c r="K288" s="30" t="str">
        <f t="shared" si="230"/>
        <v/>
      </c>
      <c r="L288" s="30" t="str">
        <f t="shared" si="231"/>
        <v/>
      </c>
      <c r="M288" s="30" t="str">
        <f t="shared" si="232"/>
        <v/>
      </c>
      <c r="N288" s="30" t="str">
        <f t="shared" si="209"/>
        <v/>
      </c>
      <c r="O288" s="31" t="str">
        <f t="shared" si="233"/>
        <v/>
      </c>
      <c r="P288" s="32"/>
      <c r="Q288" s="33" t="str">
        <f t="shared" si="210"/>
        <v/>
      </c>
      <c r="R288" s="33" t="str">
        <f t="shared" si="211"/>
        <v/>
      </c>
      <c r="S288" s="33" t="str">
        <f t="shared" si="212"/>
        <v/>
      </c>
      <c r="T288" s="33" t="str">
        <f t="shared" si="213"/>
        <v/>
      </c>
      <c r="U288" s="33" t="str">
        <f t="shared" si="214"/>
        <v/>
      </c>
      <c r="V288" s="33" t="str">
        <f t="shared" si="215"/>
        <v/>
      </c>
      <c r="X288" s="33" t="str">
        <f t="shared" si="201"/>
        <v/>
      </c>
      <c r="Y288" s="30" t="str">
        <f t="shared" si="216"/>
        <v/>
      </c>
      <c r="Z288" s="30" t="str">
        <f t="shared" si="217"/>
        <v/>
      </c>
      <c r="AA288" s="30" t="str">
        <f t="shared" si="218"/>
        <v/>
      </c>
      <c r="AB288" s="30" t="str">
        <f t="shared" si="219"/>
        <v/>
      </c>
      <c r="AD288" s="33" t="str">
        <f t="shared" si="220"/>
        <v/>
      </c>
      <c r="AE288" s="30" t="str">
        <f t="shared" si="221"/>
        <v/>
      </c>
      <c r="AF288" s="30" t="str">
        <f t="shared" si="222"/>
        <v/>
      </c>
      <c r="AG288" s="30" t="str">
        <f t="shared" si="223"/>
        <v/>
      </c>
      <c r="AH288" s="30" t="str">
        <f t="shared" si="224"/>
        <v/>
      </c>
      <c r="AJ288" s="85" t="str">
        <f t="shared" si="234"/>
        <v/>
      </c>
      <c r="AK288" s="86" t="str">
        <f t="shared" si="244"/>
        <v/>
      </c>
      <c r="AL288" s="86" t="str">
        <f t="shared" si="245"/>
        <v/>
      </c>
      <c r="AM288" s="86" t="str">
        <f t="shared" si="246"/>
        <v/>
      </c>
      <c r="AN288" s="86" t="str">
        <f t="shared" si="247"/>
        <v/>
      </c>
      <c r="AO288" s="86" t="str">
        <f t="shared" si="248"/>
        <v/>
      </c>
      <c r="AQ288" s="33" t="str">
        <f t="shared" si="225"/>
        <v/>
      </c>
      <c r="AR288" s="30" t="str">
        <f t="shared" si="226"/>
        <v/>
      </c>
      <c r="AU288" s="20">
        <f t="shared" si="227"/>
        <v>0</v>
      </c>
      <c r="AV288" s="20">
        <f t="shared" si="228"/>
        <v>0</v>
      </c>
      <c r="AW288" s="19">
        <f t="shared" si="235"/>
        <v>0</v>
      </c>
      <c r="AX288" s="19">
        <f t="shared" si="236"/>
        <v>0</v>
      </c>
      <c r="AY288" s="19">
        <f t="shared" si="237"/>
        <v>0</v>
      </c>
      <c r="AZ288" s="19">
        <f t="shared" si="238"/>
        <v>0</v>
      </c>
      <c r="BA288" s="19">
        <f t="shared" si="239"/>
        <v>0</v>
      </c>
      <c r="BB288" s="19">
        <f t="shared" si="240"/>
        <v>0</v>
      </c>
      <c r="BC288" s="19">
        <f t="shared" si="241"/>
        <v>0</v>
      </c>
      <c r="BD288" s="19">
        <f>-IF(CUSTOS!B288="",0,CUSTOS!B288)</f>
        <v>0</v>
      </c>
      <c r="BF288" s="20">
        <f t="shared" si="242"/>
        <v>0</v>
      </c>
      <c r="BG288" s="20">
        <f t="shared" si="243"/>
        <v>0</v>
      </c>
      <c r="BH288" s="116">
        <f t="shared" si="243"/>
        <v>0</v>
      </c>
    </row>
    <row r="289" spans="1:60" ht="15" x14ac:dyDescent="0.25">
      <c r="A289" s="66" t="str">
        <f>IF(LARGE($A$11:A288,1)=$F$2,"",A288+1)</f>
        <v/>
      </c>
      <c r="B289" s="27" t="str">
        <f t="shared" si="202"/>
        <v/>
      </c>
      <c r="C289" s="28" t="str">
        <f t="shared" si="229"/>
        <v/>
      </c>
      <c r="D289" s="28" t="str">
        <f t="shared" si="203"/>
        <v/>
      </c>
      <c r="E289" s="28" t="str">
        <f t="shared" si="204"/>
        <v/>
      </c>
      <c r="F289" s="29" t="str">
        <f t="shared" si="205"/>
        <v/>
      </c>
      <c r="G289" s="29" t="str">
        <f t="shared" si="206"/>
        <v/>
      </c>
      <c r="H289" s="30" t="str">
        <f t="shared" si="207"/>
        <v/>
      </c>
      <c r="I289" s="30" t="str">
        <f t="shared" si="208"/>
        <v/>
      </c>
      <c r="J289" s="30" t="str">
        <f>IF(A289="","",H289+CUSTOS!B289)</f>
        <v/>
      </c>
      <c r="K289" s="30" t="str">
        <f t="shared" si="230"/>
        <v/>
      </c>
      <c r="L289" s="30" t="str">
        <f t="shared" si="231"/>
        <v/>
      </c>
      <c r="M289" s="30" t="str">
        <f t="shared" si="232"/>
        <v/>
      </c>
      <c r="N289" s="30" t="str">
        <f t="shared" si="209"/>
        <v/>
      </c>
      <c r="O289" s="31" t="str">
        <f t="shared" si="233"/>
        <v/>
      </c>
      <c r="P289" s="32"/>
      <c r="Q289" s="33" t="str">
        <f t="shared" si="210"/>
        <v/>
      </c>
      <c r="R289" s="33" t="str">
        <f t="shared" si="211"/>
        <v/>
      </c>
      <c r="S289" s="33" t="str">
        <f t="shared" si="212"/>
        <v/>
      </c>
      <c r="T289" s="33" t="str">
        <f t="shared" si="213"/>
        <v/>
      </c>
      <c r="U289" s="33" t="str">
        <f t="shared" si="214"/>
        <v/>
      </c>
      <c r="V289" s="33" t="str">
        <f t="shared" si="215"/>
        <v/>
      </c>
      <c r="X289" s="33" t="str">
        <f t="shared" si="201"/>
        <v/>
      </c>
      <c r="Y289" s="30" t="str">
        <f t="shared" si="216"/>
        <v/>
      </c>
      <c r="Z289" s="30" t="str">
        <f t="shared" si="217"/>
        <v/>
      </c>
      <c r="AA289" s="30" t="str">
        <f t="shared" si="218"/>
        <v/>
      </c>
      <c r="AB289" s="30" t="str">
        <f t="shared" si="219"/>
        <v/>
      </c>
      <c r="AD289" s="33" t="str">
        <f t="shared" si="220"/>
        <v/>
      </c>
      <c r="AE289" s="30" t="str">
        <f t="shared" si="221"/>
        <v/>
      </c>
      <c r="AF289" s="30" t="str">
        <f t="shared" si="222"/>
        <v/>
      </c>
      <c r="AG289" s="30" t="str">
        <f t="shared" si="223"/>
        <v/>
      </c>
      <c r="AH289" s="30" t="str">
        <f t="shared" si="224"/>
        <v/>
      </c>
      <c r="AJ289" s="85" t="str">
        <f t="shared" si="234"/>
        <v/>
      </c>
      <c r="AK289" s="86" t="str">
        <f t="shared" si="244"/>
        <v/>
      </c>
      <c r="AL289" s="86" t="str">
        <f t="shared" si="245"/>
        <v/>
      </c>
      <c r="AM289" s="86" t="str">
        <f t="shared" si="246"/>
        <v/>
      </c>
      <c r="AN289" s="86" t="str">
        <f t="shared" si="247"/>
        <v/>
      </c>
      <c r="AO289" s="86" t="str">
        <f t="shared" si="248"/>
        <v/>
      </c>
      <c r="AQ289" s="33" t="str">
        <f t="shared" si="225"/>
        <v/>
      </c>
      <c r="AR289" s="30" t="str">
        <f t="shared" si="226"/>
        <v/>
      </c>
      <c r="AU289" s="20">
        <f t="shared" si="227"/>
        <v>0</v>
      </c>
      <c r="AV289" s="20">
        <f t="shared" si="228"/>
        <v>0</v>
      </c>
      <c r="AW289" s="19">
        <f t="shared" si="235"/>
        <v>0</v>
      </c>
      <c r="AX289" s="19">
        <f t="shared" si="236"/>
        <v>0</v>
      </c>
      <c r="AY289" s="19">
        <f t="shared" si="237"/>
        <v>0</v>
      </c>
      <c r="AZ289" s="19">
        <f t="shared" si="238"/>
        <v>0</v>
      </c>
      <c r="BA289" s="19">
        <f t="shared" si="239"/>
        <v>0</v>
      </c>
      <c r="BB289" s="19">
        <f t="shared" si="240"/>
        <v>0</v>
      </c>
      <c r="BC289" s="19">
        <f t="shared" si="241"/>
        <v>0</v>
      </c>
      <c r="BD289" s="19">
        <f>-IF(CUSTOS!B289="",0,CUSTOS!B289)</f>
        <v>0</v>
      </c>
      <c r="BF289" s="20">
        <f t="shared" si="242"/>
        <v>0</v>
      </c>
      <c r="BG289" s="20">
        <f t="shared" si="243"/>
        <v>0</v>
      </c>
      <c r="BH289" s="116">
        <f t="shared" si="243"/>
        <v>0</v>
      </c>
    </row>
    <row r="290" spans="1:60" ht="15" x14ac:dyDescent="0.25">
      <c r="A290" s="66" t="str">
        <f>IF(LARGE($A$11:A289,1)=$F$2,"",A289+1)</f>
        <v/>
      </c>
      <c r="B290" s="27" t="str">
        <f t="shared" si="202"/>
        <v/>
      </c>
      <c r="C290" s="28" t="str">
        <f t="shared" si="229"/>
        <v/>
      </c>
      <c r="D290" s="28" t="str">
        <f t="shared" si="203"/>
        <v/>
      </c>
      <c r="E290" s="28" t="str">
        <f t="shared" si="204"/>
        <v/>
      </c>
      <c r="F290" s="29" t="str">
        <f t="shared" si="205"/>
        <v/>
      </c>
      <c r="G290" s="29" t="str">
        <f t="shared" si="206"/>
        <v/>
      </c>
      <c r="H290" s="30" t="str">
        <f t="shared" si="207"/>
        <v/>
      </c>
      <c r="I290" s="30" t="str">
        <f t="shared" si="208"/>
        <v/>
      </c>
      <c r="J290" s="30" t="str">
        <f>IF(A290="","",H290+CUSTOS!B290)</f>
        <v/>
      </c>
      <c r="K290" s="30" t="str">
        <f t="shared" si="230"/>
        <v/>
      </c>
      <c r="L290" s="30" t="str">
        <f t="shared" si="231"/>
        <v/>
      </c>
      <c r="M290" s="30" t="str">
        <f t="shared" si="232"/>
        <v/>
      </c>
      <c r="N290" s="30" t="str">
        <f t="shared" si="209"/>
        <v/>
      </c>
      <c r="O290" s="31" t="str">
        <f t="shared" si="233"/>
        <v/>
      </c>
      <c r="P290" s="32"/>
      <c r="Q290" s="33" t="str">
        <f t="shared" si="210"/>
        <v/>
      </c>
      <c r="R290" s="33" t="str">
        <f t="shared" si="211"/>
        <v/>
      </c>
      <c r="S290" s="33" t="str">
        <f t="shared" si="212"/>
        <v/>
      </c>
      <c r="T290" s="33" t="str">
        <f t="shared" si="213"/>
        <v/>
      </c>
      <c r="U290" s="33" t="str">
        <f t="shared" si="214"/>
        <v/>
      </c>
      <c r="V290" s="33" t="str">
        <f t="shared" si="215"/>
        <v/>
      </c>
      <c r="X290" s="33" t="str">
        <f t="shared" si="201"/>
        <v/>
      </c>
      <c r="Y290" s="30" t="str">
        <f t="shared" si="216"/>
        <v/>
      </c>
      <c r="Z290" s="30" t="str">
        <f t="shared" si="217"/>
        <v/>
      </c>
      <c r="AA290" s="30" t="str">
        <f t="shared" si="218"/>
        <v/>
      </c>
      <c r="AB290" s="30" t="str">
        <f t="shared" si="219"/>
        <v/>
      </c>
      <c r="AD290" s="33" t="str">
        <f t="shared" si="220"/>
        <v/>
      </c>
      <c r="AE290" s="30" t="str">
        <f t="shared" si="221"/>
        <v/>
      </c>
      <c r="AF290" s="30" t="str">
        <f t="shared" si="222"/>
        <v/>
      </c>
      <c r="AG290" s="30" t="str">
        <f t="shared" si="223"/>
        <v/>
      </c>
      <c r="AH290" s="30" t="str">
        <f t="shared" si="224"/>
        <v/>
      </c>
      <c r="AJ290" s="85" t="str">
        <f t="shared" si="234"/>
        <v/>
      </c>
      <c r="AK290" s="86" t="str">
        <f t="shared" si="244"/>
        <v/>
      </c>
      <c r="AL290" s="86" t="str">
        <f t="shared" si="245"/>
        <v/>
      </c>
      <c r="AM290" s="86" t="str">
        <f t="shared" si="246"/>
        <v/>
      </c>
      <c r="AN290" s="86" t="str">
        <f t="shared" si="247"/>
        <v/>
      </c>
      <c r="AO290" s="86" t="str">
        <f t="shared" si="248"/>
        <v/>
      </c>
      <c r="AQ290" s="33" t="str">
        <f t="shared" si="225"/>
        <v/>
      </c>
      <c r="AR290" s="30" t="str">
        <f t="shared" si="226"/>
        <v/>
      </c>
      <c r="AU290" s="20">
        <f t="shared" si="227"/>
        <v>0</v>
      </c>
      <c r="AV290" s="20">
        <f t="shared" si="228"/>
        <v>0</v>
      </c>
      <c r="AW290" s="19">
        <f t="shared" si="235"/>
        <v>0</v>
      </c>
      <c r="AX290" s="19">
        <f t="shared" si="236"/>
        <v>0</v>
      </c>
      <c r="AY290" s="19">
        <f t="shared" si="237"/>
        <v>0</v>
      </c>
      <c r="AZ290" s="19">
        <f t="shared" si="238"/>
        <v>0</v>
      </c>
      <c r="BA290" s="19">
        <f t="shared" si="239"/>
        <v>0</v>
      </c>
      <c r="BB290" s="19">
        <f t="shared" si="240"/>
        <v>0</v>
      </c>
      <c r="BC290" s="19">
        <f t="shared" si="241"/>
        <v>0</v>
      </c>
      <c r="BD290" s="19">
        <f>-IF(CUSTOS!B290="",0,CUSTOS!B290)</f>
        <v>0</v>
      </c>
      <c r="BF290" s="20">
        <f t="shared" si="242"/>
        <v>0</v>
      </c>
      <c r="BG290" s="20">
        <f t="shared" si="243"/>
        <v>0</v>
      </c>
      <c r="BH290" s="116">
        <f t="shared" si="243"/>
        <v>0</v>
      </c>
    </row>
    <row r="291" spans="1:60" ht="15" x14ac:dyDescent="0.25">
      <c r="A291" s="66" t="str">
        <f>IF(LARGE($A$11:A290,1)=$F$2,"",A290+1)</f>
        <v/>
      </c>
      <c r="B291" s="27" t="str">
        <f t="shared" si="202"/>
        <v/>
      </c>
      <c r="C291" s="28" t="str">
        <f t="shared" si="229"/>
        <v/>
      </c>
      <c r="D291" s="28" t="str">
        <f t="shared" si="203"/>
        <v/>
      </c>
      <c r="E291" s="28" t="str">
        <f t="shared" si="204"/>
        <v/>
      </c>
      <c r="F291" s="29" t="str">
        <f t="shared" si="205"/>
        <v/>
      </c>
      <c r="G291" s="29" t="str">
        <f t="shared" si="206"/>
        <v/>
      </c>
      <c r="H291" s="30" t="str">
        <f t="shared" si="207"/>
        <v/>
      </c>
      <c r="I291" s="30" t="str">
        <f t="shared" si="208"/>
        <v/>
      </c>
      <c r="J291" s="30" t="str">
        <f>IF(A291="","",H291+CUSTOS!B291)</f>
        <v/>
      </c>
      <c r="K291" s="30" t="str">
        <f t="shared" si="230"/>
        <v/>
      </c>
      <c r="L291" s="30" t="str">
        <f t="shared" si="231"/>
        <v/>
      </c>
      <c r="M291" s="30" t="str">
        <f t="shared" si="232"/>
        <v/>
      </c>
      <c r="N291" s="30" t="str">
        <f t="shared" si="209"/>
        <v/>
      </c>
      <c r="O291" s="31" t="str">
        <f t="shared" si="233"/>
        <v/>
      </c>
      <c r="P291" s="32"/>
      <c r="Q291" s="33" t="str">
        <f t="shared" si="210"/>
        <v/>
      </c>
      <c r="R291" s="33" t="str">
        <f t="shared" si="211"/>
        <v/>
      </c>
      <c r="S291" s="33" t="str">
        <f t="shared" si="212"/>
        <v/>
      </c>
      <c r="T291" s="33" t="str">
        <f t="shared" si="213"/>
        <v/>
      </c>
      <c r="U291" s="33" t="str">
        <f t="shared" si="214"/>
        <v/>
      </c>
      <c r="V291" s="33" t="str">
        <f t="shared" si="215"/>
        <v/>
      </c>
      <c r="X291" s="33" t="str">
        <f t="shared" si="201"/>
        <v/>
      </c>
      <c r="Y291" s="30" t="str">
        <f t="shared" si="216"/>
        <v/>
      </c>
      <c r="Z291" s="30" t="str">
        <f t="shared" si="217"/>
        <v/>
      </c>
      <c r="AA291" s="30" t="str">
        <f t="shared" si="218"/>
        <v/>
      </c>
      <c r="AB291" s="30" t="str">
        <f t="shared" si="219"/>
        <v/>
      </c>
      <c r="AD291" s="33" t="str">
        <f t="shared" si="220"/>
        <v/>
      </c>
      <c r="AE291" s="30" t="str">
        <f t="shared" si="221"/>
        <v/>
      </c>
      <c r="AF291" s="30" t="str">
        <f t="shared" si="222"/>
        <v/>
      </c>
      <c r="AG291" s="30" t="str">
        <f t="shared" si="223"/>
        <v/>
      </c>
      <c r="AH291" s="30" t="str">
        <f t="shared" si="224"/>
        <v/>
      </c>
      <c r="AJ291" s="85" t="str">
        <f t="shared" si="234"/>
        <v/>
      </c>
      <c r="AK291" s="86" t="str">
        <f t="shared" si="244"/>
        <v/>
      </c>
      <c r="AL291" s="86" t="str">
        <f t="shared" si="245"/>
        <v/>
      </c>
      <c r="AM291" s="86" t="str">
        <f t="shared" si="246"/>
        <v/>
      </c>
      <c r="AN291" s="86" t="str">
        <f t="shared" si="247"/>
        <v/>
      </c>
      <c r="AO291" s="86" t="str">
        <f t="shared" si="248"/>
        <v/>
      </c>
      <c r="AQ291" s="33" t="str">
        <f t="shared" si="225"/>
        <v/>
      </c>
      <c r="AR291" s="30" t="str">
        <f t="shared" si="226"/>
        <v/>
      </c>
      <c r="AU291" s="20">
        <f t="shared" si="227"/>
        <v>0</v>
      </c>
      <c r="AV291" s="20">
        <f t="shared" si="228"/>
        <v>0</v>
      </c>
      <c r="AW291" s="19">
        <f t="shared" si="235"/>
        <v>0</v>
      </c>
      <c r="AX291" s="19">
        <f t="shared" si="236"/>
        <v>0</v>
      </c>
      <c r="AY291" s="19">
        <f t="shared" si="237"/>
        <v>0</v>
      </c>
      <c r="AZ291" s="19">
        <f t="shared" si="238"/>
        <v>0</v>
      </c>
      <c r="BA291" s="19">
        <f t="shared" si="239"/>
        <v>0</v>
      </c>
      <c r="BB291" s="19">
        <f t="shared" si="240"/>
        <v>0</v>
      </c>
      <c r="BC291" s="19">
        <f t="shared" si="241"/>
        <v>0</v>
      </c>
      <c r="BD291" s="19">
        <f>-IF(CUSTOS!B291="",0,CUSTOS!B291)</f>
        <v>0</v>
      </c>
      <c r="BF291" s="20">
        <f t="shared" si="242"/>
        <v>0</v>
      </c>
      <c r="BG291" s="20">
        <f t="shared" si="243"/>
        <v>0</v>
      </c>
      <c r="BH291" s="116">
        <f t="shared" si="243"/>
        <v>0</v>
      </c>
    </row>
    <row r="292" spans="1:60" ht="15" x14ac:dyDescent="0.25">
      <c r="A292" s="66" t="str">
        <f>IF(LARGE($A$11:A291,1)=$F$2,"",A291+1)</f>
        <v/>
      </c>
      <c r="B292" s="27" t="str">
        <f t="shared" si="202"/>
        <v/>
      </c>
      <c r="C292" s="28" t="str">
        <f t="shared" si="229"/>
        <v/>
      </c>
      <c r="D292" s="28" t="str">
        <f t="shared" si="203"/>
        <v/>
      </c>
      <c r="E292" s="28" t="str">
        <f t="shared" si="204"/>
        <v/>
      </c>
      <c r="F292" s="29" t="str">
        <f t="shared" si="205"/>
        <v/>
      </c>
      <c r="G292" s="29" t="str">
        <f t="shared" si="206"/>
        <v/>
      </c>
      <c r="H292" s="30" t="str">
        <f t="shared" si="207"/>
        <v/>
      </c>
      <c r="I292" s="30" t="str">
        <f t="shared" si="208"/>
        <v/>
      </c>
      <c r="J292" s="30" t="str">
        <f>IF(A292="","",H292+CUSTOS!B292)</f>
        <v/>
      </c>
      <c r="K292" s="30" t="str">
        <f t="shared" si="230"/>
        <v/>
      </c>
      <c r="L292" s="30" t="str">
        <f t="shared" si="231"/>
        <v/>
      </c>
      <c r="M292" s="30" t="str">
        <f t="shared" si="232"/>
        <v/>
      </c>
      <c r="N292" s="30" t="str">
        <f t="shared" si="209"/>
        <v/>
      </c>
      <c r="O292" s="31" t="str">
        <f t="shared" si="233"/>
        <v/>
      </c>
      <c r="P292" s="32"/>
      <c r="Q292" s="33" t="str">
        <f t="shared" si="210"/>
        <v/>
      </c>
      <c r="R292" s="33" t="str">
        <f t="shared" si="211"/>
        <v/>
      </c>
      <c r="S292" s="33" t="str">
        <f t="shared" si="212"/>
        <v/>
      </c>
      <c r="T292" s="33" t="str">
        <f t="shared" si="213"/>
        <v/>
      </c>
      <c r="U292" s="33" t="str">
        <f t="shared" si="214"/>
        <v/>
      </c>
      <c r="V292" s="33" t="str">
        <f t="shared" si="215"/>
        <v/>
      </c>
      <c r="X292" s="33" t="str">
        <f t="shared" si="201"/>
        <v/>
      </c>
      <c r="Y292" s="30" t="str">
        <f t="shared" si="216"/>
        <v/>
      </c>
      <c r="Z292" s="30" t="str">
        <f t="shared" si="217"/>
        <v/>
      </c>
      <c r="AA292" s="30" t="str">
        <f t="shared" si="218"/>
        <v/>
      </c>
      <c r="AB292" s="30" t="str">
        <f t="shared" si="219"/>
        <v/>
      </c>
      <c r="AD292" s="33" t="str">
        <f t="shared" si="220"/>
        <v/>
      </c>
      <c r="AE292" s="30" t="str">
        <f t="shared" si="221"/>
        <v/>
      </c>
      <c r="AF292" s="30" t="str">
        <f t="shared" si="222"/>
        <v/>
      </c>
      <c r="AG292" s="30" t="str">
        <f t="shared" si="223"/>
        <v/>
      </c>
      <c r="AH292" s="30" t="str">
        <f t="shared" si="224"/>
        <v/>
      </c>
      <c r="AJ292" s="85" t="str">
        <f t="shared" si="234"/>
        <v/>
      </c>
      <c r="AK292" s="86" t="str">
        <f t="shared" si="244"/>
        <v/>
      </c>
      <c r="AL292" s="86" t="str">
        <f t="shared" si="245"/>
        <v/>
      </c>
      <c r="AM292" s="86" t="str">
        <f t="shared" si="246"/>
        <v/>
      </c>
      <c r="AN292" s="86" t="str">
        <f t="shared" si="247"/>
        <v/>
      </c>
      <c r="AO292" s="86" t="str">
        <f t="shared" si="248"/>
        <v/>
      </c>
      <c r="AQ292" s="33" t="str">
        <f t="shared" si="225"/>
        <v/>
      </c>
      <c r="AR292" s="30" t="str">
        <f t="shared" si="226"/>
        <v/>
      </c>
      <c r="AU292" s="20">
        <f t="shared" si="227"/>
        <v>0</v>
      </c>
      <c r="AV292" s="20">
        <f t="shared" si="228"/>
        <v>0</v>
      </c>
      <c r="AW292" s="19">
        <f t="shared" si="235"/>
        <v>0</v>
      </c>
      <c r="AX292" s="19">
        <f t="shared" si="236"/>
        <v>0</v>
      </c>
      <c r="AY292" s="19">
        <f t="shared" si="237"/>
        <v>0</v>
      </c>
      <c r="AZ292" s="19">
        <f t="shared" si="238"/>
        <v>0</v>
      </c>
      <c r="BA292" s="19">
        <f t="shared" si="239"/>
        <v>0</v>
      </c>
      <c r="BB292" s="19">
        <f t="shared" si="240"/>
        <v>0</v>
      </c>
      <c r="BC292" s="19">
        <f t="shared" si="241"/>
        <v>0</v>
      </c>
      <c r="BD292" s="19">
        <f>-IF(CUSTOS!B292="",0,CUSTOS!B292)</f>
        <v>0</v>
      </c>
      <c r="BF292" s="20">
        <f t="shared" si="242"/>
        <v>0</v>
      </c>
      <c r="BG292" s="20">
        <f t="shared" si="243"/>
        <v>0</v>
      </c>
      <c r="BH292" s="116">
        <f t="shared" si="243"/>
        <v>0</v>
      </c>
    </row>
    <row r="293" spans="1:60" ht="15" x14ac:dyDescent="0.25">
      <c r="A293" s="66" t="str">
        <f>IF(LARGE($A$11:A292,1)=$F$2,"",A292+1)</f>
        <v/>
      </c>
      <c r="B293" s="27" t="str">
        <f t="shared" si="202"/>
        <v/>
      </c>
      <c r="C293" s="28" t="str">
        <f t="shared" si="229"/>
        <v/>
      </c>
      <c r="D293" s="28" t="str">
        <f t="shared" si="203"/>
        <v/>
      </c>
      <c r="E293" s="28" t="str">
        <f t="shared" si="204"/>
        <v/>
      </c>
      <c r="F293" s="29" t="str">
        <f t="shared" si="205"/>
        <v/>
      </c>
      <c r="G293" s="29" t="str">
        <f t="shared" si="206"/>
        <v/>
      </c>
      <c r="H293" s="30" t="str">
        <f t="shared" si="207"/>
        <v/>
      </c>
      <c r="I293" s="30" t="str">
        <f t="shared" si="208"/>
        <v/>
      </c>
      <c r="J293" s="30" t="str">
        <f>IF(A293="","",H293+CUSTOS!B293)</f>
        <v/>
      </c>
      <c r="K293" s="30" t="str">
        <f t="shared" si="230"/>
        <v/>
      </c>
      <c r="L293" s="30" t="str">
        <f t="shared" si="231"/>
        <v/>
      </c>
      <c r="M293" s="30" t="str">
        <f t="shared" si="232"/>
        <v/>
      </c>
      <c r="N293" s="30" t="str">
        <f t="shared" si="209"/>
        <v/>
      </c>
      <c r="O293" s="31" t="str">
        <f t="shared" si="233"/>
        <v/>
      </c>
      <c r="P293" s="32"/>
      <c r="Q293" s="33" t="str">
        <f t="shared" si="210"/>
        <v/>
      </c>
      <c r="R293" s="33" t="str">
        <f t="shared" si="211"/>
        <v/>
      </c>
      <c r="S293" s="33" t="str">
        <f t="shared" si="212"/>
        <v/>
      </c>
      <c r="T293" s="33" t="str">
        <f t="shared" si="213"/>
        <v/>
      </c>
      <c r="U293" s="33" t="str">
        <f t="shared" si="214"/>
        <v/>
      </c>
      <c r="V293" s="33" t="str">
        <f t="shared" si="215"/>
        <v/>
      </c>
      <c r="X293" s="33" t="str">
        <f t="shared" si="201"/>
        <v/>
      </c>
      <c r="Y293" s="30" t="str">
        <f t="shared" si="216"/>
        <v/>
      </c>
      <c r="Z293" s="30" t="str">
        <f t="shared" si="217"/>
        <v/>
      </c>
      <c r="AA293" s="30" t="str">
        <f t="shared" si="218"/>
        <v/>
      </c>
      <c r="AB293" s="30" t="str">
        <f t="shared" si="219"/>
        <v/>
      </c>
      <c r="AD293" s="33" t="str">
        <f t="shared" si="220"/>
        <v/>
      </c>
      <c r="AE293" s="30" t="str">
        <f t="shared" si="221"/>
        <v/>
      </c>
      <c r="AF293" s="30" t="str">
        <f t="shared" si="222"/>
        <v/>
      </c>
      <c r="AG293" s="30" t="str">
        <f t="shared" si="223"/>
        <v/>
      </c>
      <c r="AH293" s="30" t="str">
        <f t="shared" si="224"/>
        <v/>
      </c>
      <c r="AJ293" s="85" t="str">
        <f t="shared" si="234"/>
        <v/>
      </c>
      <c r="AK293" s="86" t="str">
        <f t="shared" si="244"/>
        <v/>
      </c>
      <c r="AL293" s="86" t="str">
        <f t="shared" si="245"/>
        <v/>
      </c>
      <c r="AM293" s="86" t="str">
        <f t="shared" si="246"/>
        <v/>
      </c>
      <c r="AN293" s="86" t="str">
        <f t="shared" si="247"/>
        <v/>
      </c>
      <c r="AO293" s="86" t="str">
        <f t="shared" si="248"/>
        <v/>
      </c>
      <c r="AQ293" s="33" t="str">
        <f t="shared" si="225"/>
        <v/>
      </c>
      <c r="AR293" s="30" t="str">
        <f t="shared" si="226"/>
        <v/>
      </c>
      <c r="AU293" s="20">
        <f t="shared" si="227"/>
        <v>0</v>
      </c>
      <c r="AV293" s="20">
        <f t="shared" si="228"/>
        <v>0</v>
      </c>
      <c r="AW293" s="19">
        <f t="shared" si="235"/>
        <v>0</v>
      </c>
      <c r="AX293" s="19">
        <f t="shared" si="236"/>
        <v>0</v>
      </c>
      <c r="AY293" s="19">
        <f t="shared" si="237"/>
        <v>0</v>
      </c>
      <c r="AZ293" s="19">
        <f t="shared" si="238"/>
        <v>0</v>
      </c>
      <c r="BA293" s="19">
        <f t="shared" si="239"/>
        <v>0</v>
      </c>
      <c r="BB293" s="19">
        <f t="shared" si="240"/>
        <v>0</v>
      </c>
      <c r="BC293" s="19">
        <f t="shared" si="241"/>
        <v>0</v>
      </c>
      <c r="BD293" s="19">
        <f>-IF(CUSTOS!B293="",0,CUSTOS!B293)</f>
        <v>0</v>
      </c>
      <c r="BF293" s="20">
        <f t="shared" si="242"/>
        <v>0</v>
      </c>
      <c r="BG293" s="20">
        <f t="shared" si="243"/>
        <v>0</v>
      </c>
      <c r="BH293" s="116">
        <f t="shared" si="243"/>
        <v>0</v>
      </c>
    </row>
    <row r="294" spans="1:60" ht="15" x14ac:dyDescent="0.25">
      <c r="A294" s="66" t="str">
        <f>IF(LARGE($A$11:A293,1)=$F$2,"",A293+1)</f>
        <v/>
      </c>
      <c r="B294" s="27" t="str">
        <f t="shared" si="202"/>
        <v/>
      </c>
      <c r="C294" s="28" t="str">
        <f t="shared" si="229"/>
        <v/>
      </c>
      <c r="D294" s="28" t="str">
        <f t="shared" si="203"/>
        <v/>
      </c>
      <c r="E294" s="28" t="str">
        <f t="shared" si="204"/>
        <v/>
      </c>
      <c r="F294" s="29" t="str">
        <f t="shared" si="205"/>
        <v/>
      </c>
      <c r="G294" s="29" t="str">
        <f t="shared" si="206"/>
        <v/>
      </c>
      <c r="H294" s="30" t="str">
        <f t="shared" si="207"/>
        <v/>
      </c>
      <c r="I294" s="30" t="str">
        <f t="shared" si="208"/>
        <v/>
      </c>
      <c r="J294" s="30" t="str">
        <f>IF(A294="","",H294+CUSTOS!B294)</f>
        <v/>
      </c>
      <c r="K294" s="30" t="str">
        <f t="shared" si="230"/>
        <v/>
      </c>
      <c r="L294" s="30" t="str">
        <f t="shared" si="231"/>
        <v/>
      </c>
      <c r="M294" s="30" t="str">
        <f t="shared" si="232"/>
        <v/>
      </c>
      <c r="N294" s="30" t="str">
        <f t="shared" si="209"/>
        <v/>
      </c>
      <c r="O294" s="31" t="str">
        <f t="shared" si="233"/>
        <v/>
      </c>
      <c r="P294" s="32"/>
      <c r="Q294" s="33" t="str">
        <f t="shared" si="210"/>
        <v/>
      </c>
      <c r="R294" s="33" t="str">
        <f t="shared" si="211"/>
        <v/>
      </c>
      <c r="S294" s="33" t="str">
        <f t="shared" si="212"/>
        <v/>
      </c>
      <c r="T294" s="33" t="str">
        <f t="shared" si="213"/>
        <v/>
      </c>
      <c r="U294" s="33" t="str">
        <f t="shared" si="214"/>
        <v/>
      </c>
      <c r="V294" s="33" t="str">
        <f t="shared" si="215"/>
        <v/>
      </c>
      <c r="X294" s="33" t="str">
        <f t="shared" si="201"/>
        <v/>
      </c>
      <c r="Y294" s="30" t="str">
        <f t="shared" si="216"/>
        <v/>
      </c>
      <c r="Z294" s="30" t="str">
        <f t="shared" si="217"/>
        <v/>
      </c>
      <c r="AA294" s="30" t="str">
        <f t="shared" si="218"/>
        <v/>
      </c>
      <c r="AB294" s="30" t="str">
        <f t="shared" si="219"/>
        <v/>
      </c>
      <c r="AD294" s="33" t="str">
        <f t="shared" si="220"/>
        <v/>
      </c>
      <c r="AE294" s="30" t="str">
        <f t="shared" si="221"/>
        <v/>
      </c>
      <c r="AF294" s="30" t="str">
        <f t="shared" si="222"/>
        <v/>
      </c>
      <c r="AG294" s="30" t="str">
        <f t="shared" si="223"/>
        <v/>
      </c>
      <c r="AH294" s="30" t="str">
        <f t="shared" si="224"/>
        <v/>
      </c>
      <c r="AJ294" s="85" t="str">
        <f t="shared" si="234"/>
        <v/>
      </c>
      <c r="AK294" s="86" t="str">
        <f t="shared" si="244"/>
        <v/>
      </c>
      <c r="AL294" s="86" t="str">
        <f t="shared" si="245"/>
        <v/>
      </c>
      <c r="AM294" s="86" t="str">
        <f t="shared" si="246"/>
        <v/>
      </c>
      <c r="AN294" s="86" t="str">
        <f t="shared" si="247"/>
        <v/>
      </c>
      <c r="AO294" s="86" t="str">
        <f t="shared" si="248"/>
        <v/>
      </c>
      <c r="AQ294" s="33" t="str">
        <f t="shared" si="225"/>
        <v/>
      </c>
      <c r="AR294" s="30" t="str">
        <f t="shared" si="226"/>
        <v/>
      </c>
      <c r="AU294" s="20">
        <f t="shared" si="227"/>
        <v>0</v>
      </c>
      <c r="AV294" s="20">
        <f t="shared" si="228"/>
        <v>0</v>
      </c>
      <c r="AW294" s="19">
        <f t="shared" si="235"/>
        <v>0</v>
      </c>
      <c r="AX294" s="19">
        <f t="shared" si="236"/>
        <v>0</v>
      </c>
      <c r="AY294" s="19">
        <f t="shared" si="237"/>
        <v>0</v>
      </c>
      <c r="AZ294" s="19">
        <f t="shared" si="238"/>
        <v>0</v>
      </c>
      <c r="BA294" s="19">
        <f t="shared" si="239"/>
        <v>0</v>
      </c>
      <c r="BB294" s="19">
        <f t="shared" si="240"/>
        <v>0</v>
      </c>
      <c r="BC294" s="19">
        <f t="shared" si="241"/>
        <v>0</v>
      </c>
      <c r="BD294" s="19">
        <f>-IF(CUSTOS!B294="",0,CUSTOS!B294)</f>
        <v>0</v>
      </c>
      <c r="BF294" s="20">
        <f t="shared" si="242"/>
        <v>0</v>
      </c>
      <c r="BG294" s="20">
        <f t="shared" si="243"/>
        <v>0</v>
      </c>
      <c r="BH294" s="116">
        <f t="shared" si="243"/>
        <v>0</v>
      </c>
    </row>
    <row r="295" spans="1:60" ht="15" x14ac:dyDescent="0.25">
      <c r="A295" s="66" t="str">
        <f>IF(LARGE($A$11:A294,1)=$F$2,"",A294+1)</f>
        <v/>
      </c>
      <c r="B295" s="27" t="str">
        <f t="shared" si="202"/>
        <v/>
      </c>
      <c r="C295" s="28" t="str">
        <f t="shared" si="229"/>
        <v/>
      </c>
      <c r="D295" s="28" t="str">
        <f t="shared" si="203"/>
        <v/>
      </c>
      <c r="E295" s="28" t="str">
        <f t="shared" si="204"/>
        <v/>
      </c>
      <c r="F295" s="29" t="str">
        <f t="shared" si="205"/>
        <v/>
      </c>
      <c r="G295" s="29" t="str">
        <f t="shared" si="206"/>
        <v/>
      </c>
      <c r="H295" s="30" t="str">
        <f t="shared" si="207"/>
        <v/>
      </c>
      <c r="I295" s="30" t="str">
        <f t="shared" si="208"/>
        <v/>
      </c>
      <c r="J295" s="30" t="str">
        <f>IF(A295="","",H295+CUSTOS!B295)</f>
        <v/>
      </c>
      <c r="K295" s="30" t="str">
        <f t="shared" si="230"/>
        <v/>
      </c>
      <c r="L295" s="30" t="str">
        <f t="shared" si="231"/>
        <v/>
      </c>
      <c r="M295" s="30" t="str">
        <f t="shared" si="232"/>
        <v/>
      </c>
      <c r="N295" s="30" t="str">
        <f t="shared" si="209"/>
        <v/>
      </c>
      <c r="O295" s="31" t="str">
        <f t="shared" si="233"/>
        <v/>
      </c>
      <c r="P295" s="32"/>
      <c r="Q295" s="33" t="str">
        <f t="shared" si="210"/>
        <v/>
      </c>
      <c r="R295" s="33" t="str">
        <f t="shared" si="211"/>
        <v/>
      </c>
      <c r="S295" s="33" t="str">
        <f t="shared" si="212"/>
        <v/>
      </c>
      <c r="T295" s="33" t="str">
        <f t="shared" si="213"/>
        <v/>
      </c>
      <c r="U295" s="33" t="str">
        <f t="shared" si="214"/>
        <v/>
      </c>
      <c r="V295" s="33" t="str">
        <f t="shared" si="215"/>
        <v/>
      </c>
      <c r="X295" s="33" t="str">
        <f t="shared" si="201"/>
        <v/>
      </c>
      <c r="Y295" s="30" t="str">
        <f t="shared" si="216"/>
        <v/>
      </c>
      <c r="Z295" s="30" t="str">
        <f t="shared" si="217"/>
        <v/>
      </c>
      <c r="AA295" s="30" t="str">
        <f t="shared" si="218"/>
        <v/>
      </c>
      <c r="AB295" s="30" t="str">
        <f t="shared" si="219"/>
        <v/>
      </c>
      <c r="AD295" s="33" t="str">
        <f t="shared" si="220"/>
        <v/>
      </c>
      <c r="AE295" s="30" t="str">
        <f t="shared" si="221"/>
        <v/>
      </c>
      <c r="AF295" s="30" t="str">
        <f t="shared" si="222"/>
        <v/>
      </c>
      <c r="AG295" s="30" t="str">
        <f t="shared" si="223"/>
        <v/>
      </c>
      <c r="AH295" s="30" t="str">
        <f t="shared" si="224"/>
        <v/>
      </c>
      <c r="AJ295" s="85" t="str">
        <f t="shared" si="234"/>
        <v/>
      </c>
      <c r="AK295" s="86" t="str">
        <f t="shared" si="244"/>
        <v/>
      </c>
      <c r="AL295" s="86" t="str">
        <f t="shared" si="245"/>
        <v/>
      </c>
      <c r="AM295" s="86" t="str">
        <f t="shared" si="246"/>
        <v/>
      </c>
      <c r="AN295" s="86" t="str">
        <f t="shared" si="247"/>
        <v/>
      </c>
      <c r="AO295" s="86" t="str">
        <f t="shared" si="248"/>
        <v/>
      </c>
      <c r="AQ295" s="33" t="str">
        <f t="shared" si="225"/>
        <v/>
      </c>
      <c r="AR295" s="30" t="str">
        <f t="shared" si="226"/>
        <v/>
      </c>
      <c r="AU295" s="20">
        <f t="shared" si="227"/>
        <v>0</v>
      </c>
      <c r="AV295" s="20">
        <f t="shared" si="228"/>
        <v>0</v>
      </c>
      <c r="AW295" s="19">
        <f t="shared" si="235"/>
        <v>0</v>
      </c>
      <c r="AX295" s="19">
        <f t="shared" si="236"/>
        <v>0</v>
      </c>
      <c r="AY295" s="19">
        <f t="shared" si="237"/>
        <v>0</v>
      </c>
      <c r="AZ295" s="19">
        <f t="shared" si="238"/>
        <v>0</v>
      </c>
      <c r="BA295" s="19">
        <f t="shared" si="239"/>
        <v>0</v>
      </c>
      <c r="BB295" s="19">
        <f t="shared" si="240"/>
        <v>0</v>
      </c>
      <c r="BC295" s="19">
        <f t="shared" si="241"/>
        <v>0</v>
      </c>
      <c r="BD295" s="19">
        <f>-IF(CUSTOS!B295="",0,CUSTOS!B295)</f>
        <v>0</v>
      </c>
      <c r="BF295" s="20">
        <f t="shared" si="242"/>
        <v>0</v>
      </c>
      <c r="BG295" s="20">
        <f t="shared" si="243"/>
        <v>0</v>
      </c>
      <c r="BH295" s="116">
        <f t="shared" si="243"/>
        <v>0</v>
      </c>
    </row>
    <row r="296" spans="1:60" ht="15" x14ac:dyDescent="0.25">
      <c r="A296" s="66" t="str">
        <f>IF(LARGE($A$11:A295,1)=$F$2,"",A295+1)</f>
        <v/>
      </c>
      <c r="B296" s="27" t="str">
        <f t="shared" si="202"/>
        <v/>
      </c>
      <c r="C296" s="28" t="str">
        <f t="shared" si="229"/>
        <v/>
      </c>
      <c r="D296" s="28" t="str">
        <f t="shared" si="203"/>
        <v/>
      </c>
      <c r="E296" s="28" t="str">
        <f t="shared" si="204"/>
        <v/>
      </c>
      <c r="F296" s="29" t="str">
        <f t="shared" si="205"/>
        <v/>
      </c>
      <c r="G296" s="29" t="str">
        <f t="shared" si="206"/>
        <v/>
      </c>
      <c r="H296" s="30" t="str">
        <f t="shared" si="207"/>
        <v/>
      </c>
      <c r="I296" s="30" t="str">
        <f t="shared" si="208"/>
        <v/>
      </c>
      <c r="J296" s="30" t="str">
        <f>IF(A296="","",H296+CUSTOS!B296)</f>
        <v/>
      </c>
      <c r="K296" s="30" t="str">
        <f t="shared" si="230"/>
        <v/>
      </c>
      <c r="L296" s="30" t="str">
        <f t="shared" si="231"/>
        <v/>
      </c>
      <c r="M296" s="30" t="str">
        <f t="shared" si="232"/>
        <v/>
      </c>
      <c r="N296" s="30" t="str">
        <f t="shared" si="209"/>
        <v/>
      </c>
      <c r="O296" s="31" t="str">
        <f t="shared" si="233"/>
        <v/>
      </c>
      <c r="P296" s="32"/>
      <c r="Q296" s="33" t="str">
        <f t="shared" si="210"/>
        <v/>
      </c>
      <c r="R296" s="33" t="str">
        <f t="shared" si="211"/>
        <v/>
      </c>
      <c r="S296" s="33" t="str">
        <f t="shared" si="212"/>
        <v/>
      </c>
      <c r="T296" s="33" t="str">
        <f t="shared" si="213"/>
        <v/>
      </c>
      <c r="U296" s="33" t="str">
        <f t="shared" si="214"/>
        <v/>
      </c>
      <c r="V296" s="33" t="str">
        <f t="shared" si="215"/>
        <v/>
      </c>
      <c r="X296" s="33" t="str">
        <f t="shared" si="201"/>
        <v/>
      </c>
      <c r="Y296" s="30" t="str">
        <f t="shared" si="216"/>
        <v/>
      </c>
      <c r="Z296" s="30" t="str">
        <f t="shared" si="217"/>
        <v/>
      </c>
      <c r="AA296" s="30" t="str">
        <f t="shared" si="218"/>
        <v/>
      </c>
      <c r="AB296" s="30" t="str">
        <f t="shared" si="219"/>
        <v/>
      </c>
      <c r="AD296" s="33" t="str">
        <f t="shared" si="220"/>
        <v/>
      </c>
      <c r="AE296" s="30" t="str">
        <f t="shared" si="221"/>
        <v/>
      </c>
      <c r="AF296" s="30" t="str">
        <f t="shared" si="222"/>
        <v/>
      </c>
      <c r="AG296" s="30" t="str">
        <f t="shared" si="223"/>
        <v/>
      </c>
      <c r="AH296" s="30" t="str">
        <f t="shared" si="224"/>
        <v/>
      </c>
      <c r="AJ296" s="85" t="str">
        <f t="shared" si="234"/>
        <v/>
      </c>
      <c r="AK296" s="86" t="str">
        <f t="shared" si="244"/>
        <v/>
      </c>
      <c r="AL296" s="86" t="str">
        <f t="shared" si="245"/>
        <v/>
      </c>
      <c r="AM296" s="86" t="str">
        <f t="shared" si="246"/>
        <v/>
      </c>
      <c r="AN296" s="86" t="str">
        <f t="shared" si="247"/>
        <v/>
      </c>
      <c r="AO296" s="86" t="str">
        <f t="shared" si="248"/>
        <v/>
      </c>
      <c r="AQ296" s="33" t="str">
        <f t="shared" si="225"/>
        <v/>
      </c>
      <c r="AR296" s="30" t="str">
        <f t="shared" si="226"/>
        <v/>
      </c>
      <c r="AU296" s="20">
        <f t="shared" si="227"/>
        <v>0</v>
      </c>
      <c r="AV296" s="20">
        <f t="shared" si="228"/>
        <v>0</v>
      </c>
      <c r="AW296" s="19">
        <f t="shared" si="235"/>
        <v>0</v>
      </c>
      <c r="AX296" s="19">
        <f t="shared" si="236"/>
        <v>0</v>
      </c>
      <c r="AY296" s="19">
        <f t="shared" si="237"/>
        <v>0</v>
      </c>
      <c r="AZ296" s="19">
        <f t="shared" si="238"/>
        <v>0</v>
      </c>
      <c r="BA296" s="19">
        <f t="shared" si="239"/>
        <v>0</v>
      </c>
      <c r="BB296" s="19">
        <f t="shared" si="240"/>
        <v>0</v>
      </c>
      <c r="BC296" s="19">
        <f t="shared" si="241"/>
        <v>0</v>
      </c>
      <c r="BD296" s="19">
        <f>-IF(CUSTOS!B296="",0,CUSTOS!B296)</f>
        <v>0</v>
      </c>
      <c r="BF296" s="20">
        <f t="shared" si="242"/>
        <v>0</v>
      </c>
      <c r="BG296" s="20">
        <f t="shared" si="243"/>
        <v>0</v>
      </c>
      <c r="BH296" s="116">
        <f t="shared" si="243"/>
        <v>0</v>
      </c>
    </row>
    <row r="297" spans="1:60" ht="15" x14ac:dyDescent="0.25">
      <c r="A297" s="66" t="str">
        <f>IF(LARGE($A$11:A296,1)=$F$2,"",A296+1)</f>
        <v/>
      </c>
      <c r="B297" s="27" t="str">
        <f t="shared" si="202"/>
        <v/>
      </c>
      <c r="C297" s="28" t="str">
        <f t="shared" si="229"/>
        <v/>
      </c>
      <c r="D297" s="28" t="str">
        <f t="shared" si="203"/>
        <v/>
      </c>
      <c r="E297" s="28" t="str">
        <f t="shared" si="204"/>
        <v/>
      </c>
      <c r="F297" s="29" t="str">
        <f t="shared" si="205"/>
        <v/>
      </c>
      <c r="G297" s="29" t="str">
        <f t="shared" si="206"/>
        <v/>
      </c>
      <c r="H297" s="30" t="str">
        <f t="shared" si="207"/>
        <v/>
      </c>
      <c r="I297" s="30" t="str">
        <f t="shared" si="208"/>
        <v/>
      </c>
      <c r="J297" s="30" t="str">
        <f>IF(A297="","",H297+CUSTOS!B297)</f>
        <v/>
      </c>
      <c r="K297" s="30" t="str">
        <f t="shared" si="230"/>
        <v/>
      </c>
      <c r="L297" s="30" t="str">
        <f t="shared" si="231"/>
        <v/>
      </c>
      <c r="M297" s="30" t="str">
        <f t="shared" si="232"/>
        <v/>
      </c>
      <c r="N297" s="30" t="str">
        <f t="shared" si="209"/>
        <v/>
      </c>
      <c r="O297" s="31" t="str">
        <f t="shared" si="233"/>
        <v/>
      </c>
      <c r="P297" s="32"/>
      <c r="Q297" s="33" t="str">
        <f t="shared" si="210"/>
        <v/>
      </c>
      <c r="R297" s="33" t="str">
        <f t="shared" si="211"/>
        <v/>
      </c>
      <c r="S297" s="33" t="str">
        <f t="shared" si="212"/>
        <v/>
      </c>
      <c r="T297" s="33" t="str">
        <f t="shared" si="213"/>
        <v/>
      </c>
      <c r="U297" s="33" t="str">
        <f t="shared" si="214"/>
        <v/>
      </c>
      <c r="V297" s="33" t="str">
        <f t="shared" si="215"/>
        <v/>
      </c>
      <c r="X297" s="33" t="str">
        <f t="shared" si="201"/>
        <v/>
      </c>
      <c r="Y297" s="30" t="str">
        <f t="shared" si="216"/>
        <v/>
      </c>
      <c r="Z297" s="30" t="str">
        <f t="shared" si="217"/>
        <v/>
      </c>
      <c r="AA297" s="30" t="str">
        <f t="shared" si="218"/>
        <v/>
      </c>
      <c r="AB297" s="30" t="str">
        <f t="shared" si="219"/>
        <v/>
      </c>
      <c r="AD297" s="33" t="str">
        <f t="shared" si="220"/>
        <v/>
      </c>
      <c r="AE297" s="30" t="str">
        <f t="shared" si="221"/>
        <v/>
      </c>
      <c r="AF297" s="30" t="str">
        <f t="shared" si="222"/>
        <v/>
      </c>
      <c r="AG297" s="30" t="str">
        <f t="shared" si="223"/>
        <v/>
      </c>
      <c r="AH297" s="30" t="str">
        <f t="shared" si="224"/>
        <v/>
      </c>
      <c r="AJ297" s="85" t="str">
        <f t="shared" si="234"/>
        <v/>
      </c>
      <c r="AK297" s="86" t="str">
        <f t="shared" si="244"/>
        <v/>
      </c>
      <c r="AL297" s="86" t="str">
        <f t="shared" si="245"/>
        <v/>
      </c>
      <c r="AM297" s="86" t="str">
        <f t="shared" si="246"/>
        <v/>
      </c>
      <c r="AN297" s="86" t="str">
        <f t="shared" si="247"/>
        <v/>
      </c>
      <c r="AO297" s="86" t="str">
        <f t="shared" si="248"/>
        <v/>
      </c>
      <c r="AQ297" s="33" t="str">
        <f t="shared" si="225"/>
        <v/>
      </c>
      <c r="AR297" s="30" t="str">
        <f t="shared" si="226"/>
        <v/>
      </c>
      <c r="AU297" s="20">
        <f t="shared" si="227"/>
        <v>0</v>
      </c>
      <c r="AV297" s="20">
        <f t="shared" si="228"/>
        <v>0</v>
      </c>
      <c r="AW297" s="19">
        <f t="shared" si="235"/>
        <v>0</v>
      </c>
      <c r="AX297" s="19">
        <f t="shared" si="236"/>
        <v>0</v>
      </c>
      <c r="AY297" s="19">
        <f t="shared" si="237"/>
        <v>0</v>
      </c>
      <c r="AZ297" s="19">
        <f t="shared" si="238"/>
        <v>0</v>
      </c>
      <c r="BA297" s="19">
        <f t="shared" si="239"/>
        <v>0</v>
      </c>
      <c r="BB297" s="19">
        <f t="shared" si="240"/>
        <v>0</v>
      </c>
      <c r="BC297" s="19">
        <f t="shared" si="241"/>
        <v>0</v>
      </c>
      <c r="BD297" s="19">
        <f>-IF(CUSTOS!B297="",0,CUSTOS!B297)</f>
        <v>0</v>
      </c>
      <c r="BF297" s="20">
        <f t="shared" si="242"/>
        <v>0</v>
      </c>
      <c r="BG297" s="20">
        <f t="shared" si="243"/>
        <v>0</v>
      </c>
      <c r="BH297" s="116">
        <f t="shared" si="243"/>
        <v>0</v>
      </c>
    </row>
    <row r="298" spans="1:60" ht="15" x14ac:dyDescent="0.25">
      <c r="A298" s="66" t="str">
        <f>IF(LARGE($A$11:A297,1)=$F$2,"",A297+1)</f>
        <v/>
      </c>
      <c r="B298" s="27" t="str">
        <f t="shared" si="202"/>
        <v/>
      </c>
      <c r="C298" s="28" t="str">
        <f t="shared" si="229"/>
        <v/>
      </c>
      <c r="D298" s="28" t="str">
        <f t="shared" si="203"/>
        <v/>
      </c>
      <c r="E298" s="28" t="str">
        <f t="shared" si="204"/>
        <v/>
      </c>
      <c r="F298" s="29" t="str">
        <f t="shared" si="205"/>
        <v/>
      </c>
      <c r="G298" s="29" t="str">
        <f t="shared" si="206"/>
        <v/>
      </c>
      <c r="H298" s="30" t="str">
        <f t="shared" si="207"/>
        <v/>
      </c>
      <c r="I298" s="30" t="str">
        <f t="shared" si="208"/>
        <v/>
      </c>
      <c r="J298" s="30" t="str">
        <f>IF(A298="","",H298+CUSTOS!B298)</f>
        <v/>
      </c>
      <c r="K298" s="30" t="str">
        <f t="shared" si="230"/>
        <v/>
      </c>
      <c r="L298" s="30" t="str">
        <f t="shared" si="231"/>
        <v/>
      </c>
      <c r="M298" s="30" t="str">
        <f t="shared" si="232"/>
        <v/>
      </c>
      <c r="N298" s="30" t="str">
        <f t="shared" si="209"/>
        <v/>
      </c>
      <c r="O298" s="31" t="str">
        <f t="shared" si="233"/>
        <v/>
      </c>
      <c r="P298" s="32"/>
      <c r="Q298" s="33" t="str">
        <f t="shared" si="210"/>
        <v/>
      </c>
      <c r="R298" s="33" t="str">
        <f t="shared" si="211"/>
        <v/>
      </c>
      <c r="S298" s="33" t="str">
        <f t="shared" si="212"/>
        <v/>
      </c>
      <c r="T298" s="33" t="str">
        <f t="shared" si="213"/>
        <v/>
      </c>
      <c r="U298" s="33" t="str">
        <f t="shared" si="214"/>
        <v/>
      </c>
      <c r="V298" s="33" t="str">
        <f t="shared" si="215"/>
        <v/>
      </c>
      <c r="X298" s="33" t="str">
        <f t="shared" si="201"/>
        <v/>
      </c>
      <c r="Y298" s="30" t="str">
        <f t="shared" si="216"/>
        <v/>
      </c>
      <c r="Z298" s="30" t="str">
        <f t="shared" si="217"/>
        <v/>
      </c>
      <c r="AA298" s="30" t="str">
        <f t="shared" si="218"/>
        <v/>
      </c>
      <c r="AB298" s="30" t="str">
        <f t="shared" si="219"/>
        <v/>
      </c>
      <c r="AD298" s="33" t="str">
        <f t="shared" si="220"/>
        <v/>
      </c>
      <c r="AE298" s="30" t="str">
        <f t="shared" si="221"/>
        <v/>
      </c>
      <c r="AF298" s="30" t="str">
        <f t="shared" si="222"/>
        <v/>
      </c>
      <c r="AG298" s="30" t="str">
        <f t="shared" si="223"/>
        <v/>
      </c>
      <c r="AH298" s="30" t="str">
        <f t="shared" si="224"/>
        <v/>
      </c>
      <c r="AJ298" s="85" t="str">
        <f t="shared" si="234"/>
        <v/>
      </c>
      <c r="AK298" s="86" t="str">
        <f t="shared" si="244"/>
        <v/>
      </c>
      <c r="AL298" s="86" t="str">
        <f t="shared" si="245"/>
        <v/>
      </c>
      <c r="AM298" s="86" t="str">
        <f t="shared" si="246"/>
        <v/>
      </c>
      <c r="AN298" s="86" t="str">
        <f t="shared" si="247"/>
        <v/>
      </c>
      <c r="AO298" s="86" t="str">
        <f t="shared" si="248"/>
        <v/>
      </c>
      <c r="AQ298" s="33" t="str">
        <f t="shared" si="225"/>
        <v/>
      </c>
      <c r="AR298" s="30" t="str">
        <f t="shared" si="226"/>
        <v/>
      </c>
      <c r="AU298" s="20">
        <f t="shared" si="227"/>
        <v>0</v>
      </c>
      <c r="AV298" s="20">
        <f t="shared" si="228"/>
        <v>0</v>
      </c>
      <c r="AW298" s="19">
        <f t="shared" si="235"/>
        <v>0</v>
      </c>
      <c r="AX298" s="19">
        <f t="shared" si="236"/>
        <v>0</v>
      </c>
      <c r="AY298" s="19">
        <f t="shared" si="237"/>
        <v>0</v>
      </c>
      <c r="AZ298" s="19">
        <f t="shared" si="238"/>
        <v>0</v>
      </c>
      <c r="BA298" s="19">
        <f t="shared" si="239"/>
        <v>0</v>
      </c>
      <c r="BB298" s="19">
        <f t="shared" si="240"/>
        <v>0</v>
      </c>
      <c r="BC298" s="19">
        <f t="shared" si="241"/>
        <v>0</v>
      </c>
      <c r="BD298" s="19">
        <f>-IF(CUSTOS!B298="",0,CUSTOS!B298)</f>
        <v>0</v>
      </c>
      <c r="BF298" s="20">
        <f t="shared" si="242"/>
        <v>0</v>
      </c>
      <c r="BG298" s="20">
        <f t="shared" si="243"/>
        <v>0</v>
      </c>
      <c r="BH298" s="116">
        <f t="shared" si="243"/>
        <v>0</v>
      </c>
    </row>
    <row r="299" spans="1:60" ht="15" x14ac:dyDescent="0.25">
      <c r="A299" s="66" t="str">
        <f>IF(LARGE($A$11:A298,1)=$F$2,"",A298+1)</f>
        <v/>
      </c>
      <c r="B299" s="27" t="str">
        <f t="shared" si="202"/>
        <v/>
      </c>
      <c r="C299" s="28" t="str">
        <f t="shared" si="229"/>
        <v/>
      </c>
      <c r="D299" s="28" t="str">
        <f t="shared" si="203"/>
        <v/>
      </c>
      <c r="E299" s="28" t="str">
        <f t="shared" si="204"/>
        <v/>
      </c>
      <c r="F299" s="29" t="str">
        <f t="shared" si="205"/>
        <v/>
      </c>
      <c r="G299" s="29" t="str">
        <f t="shared" si="206"/>
        <v/>
      </c>
      <c r="H299" s="30" t="str">
        <f t="shared" si="207"/>
        <v/>
      </c>
      <c r="I299" s="30" t="str">
        <f t="shared" si="208"/>
        <v/>
      </c>
      <c r="J299" s="30" t="str">
        <f>IF(A299="","",H299+CUSTOS!B299)</f>
        <v/>
      </c>
      <c r="K299" s="30" t="str">
        <f t="shared" si="230"/>
        <v/>
      </c>
      <c r="L299" s="30" t="str">
        <f t="shared" si="231"/>
        <v/>
      </c>
      <c r="M299" s="30" t="str">
        <f t="shared" si="232"/>
        <v/>
      </c>
      <c r="N299" s="30" t="str">
        <f t="shared" si="209"/>
        <v/>
      </c>
      <c r="O299" s="31" t="str">
        <f t="shared" si="233"/>
        <v/>
      </c>
      <c r="P299" s="32"/>
      <c r="Q299" s="33" t="str">
        <f t="shared" si="210"/>
        <v/>
      </c>
      <c r="R299" s="33" t="str">
        <f t="shared" si="211"/>
        <v/>
      </c>
      <c r="S299" s="33" t="str">
        <f t="shared" si="212"/>
        <v/>
      </c>
      <c r="T299" s="33" t="str">
        <f t="shared" si="213"/>
        <v/>
      </c>
      <c r="U299" s="33" t="str">
        <f t="shared" si="214"/>
        <v/>
      </c>
      <c r="V299" s="33" t="str">
        <f t="shared" si="215"/>
        <v/>
      </c>
      <c r="X299" s="33" t="str">
        <f t="shared" si="201"/>
        <v/>
      </c>
      <c r="Y299" s="30" t="str">
        <f t="shared" si="216"/>
        <v/>
      </c>
      <c r="Z299" s="30" t="str">
        <f t="shared" si="217"/>
        <v/>
      </c>
      <c r="AA299" s="30" t="str">
        <f t="shared" si="218"/>
        <v/>
      </c>
      <c r="AB299" s="30" t="str">
        <f t="shared" si="219"/>
        <v/>
      </c>
      <c r="AD299" s="33" t="str">
        <f t="shared" si="220"/>
        <v/>
      </c>
      <c r="AE299" s="30" t="str">
        <f t="shared" si="221"/>
        <v/>
      </c>
      <c r="AF299" s="30" t="str">
        <f t="shared" si="222"/>
        <v/>
      </c>
      <c r="AG299" s="30" t="str">
        <f t="shared" si="223"/>
        <v/>
      </c>
      <c r="AH299" s="30" t="str">
        <f t="shared" si="224"/>
        <v/>
      </c>
      <c r="AJ299" s="85" t="str">
        <f t="shared" si="234"/>
        <v/>
      </c>
      <c r="AK299" s="86" t="str">
        <f t="shared" si="244"/>
        <v/>
      </c>
      <c r="AL299" s="86" t="str">
        <f t="shared" si="245"/>
        <v/>
      </c>
      <c r="AM299" s="86" t="str">
        <f t="shared" si="246"/>
        <v/>
      </c>
      <c r="AN299" s="86" t="str">
        <f t="shared" si="247"/>
        <v/>
      </c>
      <c r="AO299" s="86" t="str">
        <f t="shared" si="248"/>
        <v/>
      </c>
      <c r="AQ299" s="33" t="str">
        <f t="shared" si="225"/>
        <v/>
      </c>
      <c r="AR299" s="30" t="str">
        <f t="shared" si="226"/>
        <v/>
      </c>
      <c r="AU299" s="20">
        <f t="shared" si="227"/>
        <v>0</v>
      </c>
      <c r="AV299" s="20">
        <f t="shared" si="228"/>
        <v>0</v>
      </c>
      <c r="AW299" s="19">
        <f t="shared" si="235"/>
        <v>0</v>
      </c>
      <c r="AX299" s="19">
        <f t="shared" si="236"/>
        <v>0</v>
      </c>
      <c r="AY299" s="19">
        <f t="shared" si="237"/>
        <v>0</v>
      </c>
      <c r="AZ299" s="19">
        <f t="shared" si="238"/>
        <v>0</v>
      </c>
      <c r="BA299" s="19">
        <f t="shared" si="239"/>
        <v>0</v>
      </c>
      <c r="BB299" s="19">
        <f t="shared" si="240"/>
        <v>0</v>
      </c>
      <c r="BC299" s="19">
        <f t="shared" si="241"/>
        <v>0</v>
      </c>
      <c r="BD299" s="19">
        <f>-IF(CUSTOS!B299="",0,CUSTOS!B299)</f>
        <v>0</v>
      </c>
      <c r="BF299" s="20">
        <f t="shared" si="242"/>
        <v>0</v>
      </c>
      <c r="BG299" s="20">
        <f t="shared" si="243"/>
        <v>0</v>
      </c>
      <c r="BH299" s="116">
        <f t="shared" si="243"/>
        <v>0</v>
      </c>
    </row>
    <row r="300" spans="1:60" ht="15" x14ac:dyDescent="0.25">
      <c r="A300" s="66" t="str">
        <f>IF(LARGE($A$11:A299,1)=$F$2,"",A299+1)</f>
        <v/>
      </c>
      <c r="B300" s="27" t="str">
        <f t="shared" si="202"/>
        <v/>
      </c>
      <c r="C300" s="28" t="str">
        <f t="shared" si="229"/>
        <v/>
      </c>
      <c r="D300" s="28" t="str">
        <f t="shared" si="203"/>
        <v/>
      </c>
      <c r="E300" s="28" t="str">
        <f t="shared" si="204"/>
        <v/>
      </c>
      <c r="F300" s="29" t="str">
        <f t="shared" si="205"/>
        <v/>
      </c>
      <c r="G300" s="29" t="str">
        <f t="shared" si="206"/>
        <v/>
      </c>
      <c r="H300" s="30" t="str">
        <f t="shared" si="207"/>
        <v/>
      </c>
      <c r="I300" s="30" t="str">
        <f t="shared" si="208"/>
        <v/>
      </c>
      <c r="J300" s="30" t="str">
        <f>IF(A300="","",H300+CUSTOS!B300)</f>
        <v/>
      </c>
      <c r="K300" s="30" t="str">
        <f t="shared" si="230"/>
        <v/>
      </c>
      <c r="L300" s="30" t="str">
        <f t="shared" si="231"/>
        <v/>
      </c>
      <c r="M300" s="30" t="str">
        <f t="shared" si="232"/>
        <v/>
      </c>
      <c r="N300" s="30" t="str">
        <f t="shared" si="209"/>
        <v/>
      </c>
      <c r="O300" s="31" t="str">
        <f t="shared" si="233"/>
        <v/>
      </c>
      <c r="P300" s="32"/>
      <c r="Q300" s="33" t="str">
        <f t="shared" si="210"/>
        <v/>
      </c>
      <c r="R300" s="33" t="str">
        <f t="shared" si="211"/>
        <v/>
      </c>
      <c r="S300" s="33" t="str">
        <f t="shared" si="212"/>
        <v/>
      </c>
      <c r="T300" s="33" t="str">
        <f t="shared" si="213"/>
        <v/>
      </c>
      <c r="U300" s="33" t="str">
        <f t="shared" si="214"/>
        <v/>
      </c>
      <c r="V300" s="33" t="str">
        <f t="shared" si="215"/>
        <v/>
      </c>
      <c r="X300" s="33" t="str">
        <f t="shared" si="201"/>
        <v/>
      </c>
      <c r="Y300" s="30" t="str">
        <f t="shared" si="216"/>
        <v/>
      </c>
      <c r="Z300" s="30" t="str">
        <f t="shared" si="217"/>
        <v/>
      </c>
      <c r="AA300" s="30" t="str">
        <f t="shared" si="218"/>
        <v/>
      </c>
      <c r="AB300" s="30" t="str">
        <f t="shared" si="219"/>
        <v/>
      </c>
      <c r="AD300" s="33" t="str">
        <f t="shared" si="220"/>
        <v/>
      </c>
      <c r="AE300" s="30" t="str">
        <f t="shared" si="221"/>
        <v/>
      </c>
      <c r="AF300" s="30" t="str">
        <f t="shared" si="222"/>
        <v/>
      </c>
      <c r="AG300" s="30" t="str">
        <f t="shared" si="223"/>
        <v/>
      </c>
      <c r="AH300" s="30" t="str">
        <f t="shared" si="224"/>
        <v/>
      </c>
      <c r="AJ300" s="85" t="str">
        <f t="shared" si="234"/>
        <v/>
      </c>
      <c r="AK300" s="86" t="str">
        <f t="shared" si="244"/>
        <v/>
      </c>
      <c r="AL300" s="86" t="str">
        <f t="shared" si="245"/>
        <v/>
      </c>
      <c r="AM300" s="86" t="str">
        <f t="shared" si="246"/>
        <v/>
      </c>
      <c r="AN300" s="86" t="str">
        <f t="shared" si="247"/>
        <v/>
      </c>
      <c r="AO300" s="86" t="str">
        <f t="shared" si="248"/>
        <v/>
      </c>
      <c r="AQ300" s="33" t="str">
        <f t="shared" si="225"/>
        <v/>
      </c>
      <c r="AR300" s="30" t="str">
        <f t="shared" si="226"/>
        <v/>
      </c>
      <c r="AU300" s="20">
        <f t="shared" si="227"/>
        <v>0</v>
      </c>
      <c r="AV300" s="20">
        <f t="shared" si="228"/>
        <v>0</v>
      </c>
      <c r="AW300" s="19">
        <f t="shared" si="235"/>
        <v>0</v>
      </c>
      <c r="AX300" s="19">
        <f t="shared" si="236"/>
        <v>0</v>
      </c>
      <c r="AY300" s="19">
        <f t="shared" si="237"/>
        <v>0</v>
      </c>
      <c r="AZ300" s="19">
        <f t="shared" si="238"/>
        <v>0</v>
      </c>
      <c r="BA300" s="19">
        <f t="shared" si="239"/>
        <v>0</v>
      </c>
      <c r="BB300" s="19">
        <f t="shared" si="240"/>
        <v>0</v>
      </c>
      <c r="BC300" s="19">
        <f t="shared" si="241"/>
        <v>0</v>
      </c>
      <c r="BD300" s="19">
        <f>-IF(CUSTOS!B300="",0,CUSTOS!B300)</f>
        <v>0</v>
      </c>
      <c r="BF300" s="20">
        <f t="shared" si="242"/>
        <v>0</v>
      </c>
      <c r="BG300" s="20">
        <f t="shared" si="243"/>
        <v>0</v>
      </c>
      <c r="BH300" s="116">
        <f t="shared" si="243"/>
        <v>0</v>
      </c>
    </row>
    <row r="301" spans="1:60" ht="15" x14ac:dyDescent="0.25">
      <c r="A301" s="66" t="str">
        <f>IF(LARGE($A$11:A300,1)=$F$2,"",A300+1)</f>
        <v/>
      </c>
      <c r="B301" s="27" t="str">
        <f t="shared" si="202"/>
        <v/>
      </c>
      <c r="C301" s="28" t="str">
        <f t="shared" si="229"/>
        <v/>
      </c>
      <c r="D301" s="28" t="str">
        <f t="shared" si="203"/>
        <v/>
      </c>
      <c r="E301" s="28" t="str">
        <f t="shared" si="204"/>
        <v/>
      </c>
      <c r="F301" s="29" t="str">
        <f t="shared" si="205"/>
        <v/>
      </c>
      <c r="G301" s="29" t="str">
        <f t="shared" si="206"/>
        <v/>
      </c>
      <c r="H301" s="30" t="str">
        <f t="shared" si="207"/>
        <v/>
      </c>
      <c r="I301" s="30" t="str">
        <f t="shared" si="208"/>
        <v/>
      </c>
      <c r="J301" s="30" t="str">
        <f>IF(A301="","",H301+CUSTOS!B301)</f>
        <v/>
      </c>
      <c r="K301" s="30" t="str">
        <f t="shared" si="230"/>
        <v/>
      </c>
      <c r="L301" s="30" t="str">
        <f t="shared" si="231"/>
        <v/>
      </c>
      <c r="M301" s="30" t="str">
        <f t="shared" si="232"/>
        <v/>
      </c>
      <c r="N301" s="30" t="str">
        <f t="shared" si="209"/>
        <v/>
      </c>
      <c r="O301" s="31" t="str">
        <f t="shared" si="233"/>
        <v/>
      </c>
      <c r="P301" s="32"/>
      <c r="Q301" s="33" t="str">
        <f t="shared" si="210"/>
        <v/>
      </c>
      <c r="R301" s="33" t="str">
        <f t="shared" si="211"/>
        <v/>
      </c>
      <c r="S301" s="33" t="str">
        <f t="shared" si="212"/>
        <v/>
      </c>
      <c r="T301" s="33" t="str">
        <f t="shared" si="213"/>
        <v/>
      </c>
      <c r="U301" s="33" t="str">
        <f t="shared" si="214"/>
        <v/>
      </c>
      <c r="V301" s="33" t="str">
        <f t="shared" si="215"/>
        <v/>
      </c>
      <c r="X301" s="33" t="str">
        <f t="shared" si="201"/>
        <v/>
      </c>
      <c r="Y301" s="30" t="str">
        <f t="shared" si="216"/>
        <v/>
      </c>
      <c r="Z301" s="30" t="str">
        <f t="shared" si="217"/>
        <v/>
      </c>
      <c r="AA301" s="30" t="str">
        <f t="shared" si="218"/>
        <v/>
      </c>
      <c r="AB301" s="30" t="str">
        <f t="shared" si="219"/>
        <v/>
      </c>
      <c r="AD301" s="33" t="str">
        <f t="shared" si="220"/>
        <v/>
      </c>
      <c r="AE301" s="30" t="str">
        <f t="shared" si="221"/>
        <v/>
      </c>
      <c r="AF301" s="30" t="str">
        <f t="shared" si="222"/>
        <v/>
      </c>
      <c r="AG301" s="30" t="str">
        <f t="shared" si="223"/>
        <v/>
      </c>
      <c r="AH301" s="30" t="str">
        <f t="shared" si="224"/>
        <v/>
      </c>
      <c r="AJ301" s="85" t="str">
        <f t="shared" si="234"/>
        <v/>
      </c>
      <c r="AK301" s="86" t="str">
        <f t="shared" si="244"/>
        <v/>
      </c>
      <c r="AL301" s="86" t="str">
        <f t="shared" si="245"/>
        <v/>
      </c>
      <c r="AM301" s="86" t="str">
        <f t="shared" si="246"/>
        <v/>
      </c>
      <c r="AN301" s="86" t="str">
        <f t="shared" si="247"/>
        <v/>
      </c>
      <c r="AO301" s="86" t="str">
        <f t="shared" si="248"/>
        <v/>
      </c>
      <c r="AQ301" s="33" t="str">
        <f t="shared" si="225"/>
        <v/>
      </c>
      <c r="AR301" s="30" t="str">
        <f t="shared" si="226"/>
        <v/>
      </c>
      <c r="AU301" s="20">
        <f t="shared" si="227"/>
        <v>0</v>
      </c>
      <c r="AV301" s="20">
        <f t="shared" si="228"/>
        <v>0</v>
      </c>
      <c r="AW301" s="19">
        <f t="shared" si="235"/>
        <v>0</v>
      </c>
      <c r="AX301" s="19">
        <f t="shared" si="236"/>
        <v>0</v>
      </c>
      <c r="AY301" s="19">
        <f t="shared" si="237"/>
        <v>0</v>
      </c>
      <c r="AZ301" s="19">
        <f t="shared" si="238"/>
        <v>0</v>
      </c>
      <c r="BA301" s="19">
        <f t="shared" si="239"/>
        <v>0</v>
      </c>
      <c r="BB301" s="19">
        <f t="shared" si="240"/>
        <v>0</v>
      </c>
      <c r="BC301" s="19">
        <f t="shared" si="241"/>
        <v>0</v>
      </c>
      <c r="BD301" s="19">
        <f>-IF(CUSTOS!B301="",0,CUSTOS!B301)</f>
        <v>0</v>
      </c>
      <c r="BF301" s="20">
        <f t="shared" si="242"/>
        <v>0</v>
      </c>
      <c r="BG301" s="20">
        <f t="shared" si="243"/>
        <v>0</v>
      </c>
      <c r="BH301" s="116">
        <f t="shared" si="243"/>
        <v>0</v>
      </c>
    </row>
    <row r="302" spans="1:60" ht="15" x14ac:dyDescent="0.25">
      <c r="A302" s="66" t="str">
        <f>IF(LARGE($A$11:A301,1)=$F$2,"",A301+1)</f>
        <v/>
      </c>
      <c r="B302" s="27" t="str">
        <f t="shared" si="202"/>
        <v/>
      </c>
      <c r="C302" s="28" t="str">
        <f t="shared" si="229"/>
        <v/>
      </c>
      <c r="D302" s="28" t="str">
        <f t="shared" si="203"/>
        <v/>
      </c>
      <c r="E302" s="28" t="str">
        <f t="shared" si="204"/>
        <v/>
      </c>
      <c r="F302" s="29" t="str">
        <f t="shared" si="205"/>
        <v/>
      </c>
      <c r="G302" s="29" t="str">
        <f t="shared" si="206"/>
        <v/>
      </c>
      <c r="H302" s="30" t="str">
        <f t="shared" si="207"/>
        <v/>
      </c>
      <c r="I302" s="30" t="str">
        <f t="shared" si="208"/>
        <v/>
      </c>
      <c r="J302" s="30" t="str">
        <f>IF(A302="","",H302+CUSTOS!B302)</f>
        <v/>
      </c>
      <c r="K302" s="30" t="str">
        <f t="shared" si="230"/>
        <v/>
      </c>
      <c r="L302" s="30" t="str">
        <f t="shared" si="231"/>
        <v/>
      </c>
      <c r="M302" s="30" t="str">
        <f t="shared" si="232"/>
        <v/>
      </c>
      <c r="N302" s="30" t="str">
        <f t="shared" si="209"/>
        <v/>
      </c>
      <c r="O302" s="31" t="str">
        <f t="shared" si="233"/>
        <v/>
      </c>
      <c r="P302" s="32"/>
      <c r="Q302" s="33" t="str">
        <f t="shared" si="210"/>
        <v/>
      </c>
      <c r="R302" s="33" t="str">
        <f t="shared" si="211"/>
        <v/>
      </c>
      <c r="S302" s="33" t="str">
        <f t="shared" si="212"/>
        <v/>
      </c>
      <c r="T302" s="33" t="str">
        <f t="shared" si="213"/>
        <v/>
      </c>
      <c r="U302" s="33" t="str">
        <f t="shared" si="214"/>
        <v/>
      </c>
      <c r="V302" s="33" t="str">
        <f t="shared" si="215"/>
        <v/>
      </c>
      <c r="X302" s="33" t="str">
        <f t="shared" si="201"/>
        <v/>
      </c>
      <c r="Y302" s="30" t="str">
        <f t="shared" si="216"/>
        <v/>
      </c>
      <c r="Z302" s="30" t="str">
        <f t="shared" si="217"/>
        <v/>
      </c>
      <c r="AA302" s="30" t="str">
        <f t="shared" si="218"/>
        <v/>
      </c>
      <c r="AB302" s="30" t="str">
        <f t="shared" si="219"/>
        <v/>
      </c>
      <c r="AD302" s="33" t="str">
        <f t="shared" si="220"/>
        <v/>
      </c>
      <c r="AE302" s="30" t="str">
        <f t="shared" si="221"/>
        <v/>
      </c>
      <c r="AF302" s="30" t="str">
        <f t="shared" si="222"/>
        <v/>
      </c>
      <c r="AG302" s="30" t="str">
        <f t="shared" si="223"/>
        <v/>
      </c>
      <c r="AH302" s="30" t="str">
        <f t="shared" si="224"/>
        <v/>
      </c>
      <c r="AJ302" s="85" t="str">
        <f t="shared" si="234"/>
        <v/>
      </c>
      <c r="AK302" s="86" t="str">
        <f t="shared" si="244"/>
        <v/>
      </c>
      <c r="AL302" s="86" t="str">
        <f t="shared" si="245"/>
        <v/>
      </c>
      <c r="AM302" s="86" t="str">
        <f t="shared" si="246"/>
        <v/>
      </c>
      <c r="AN302" s="86" t="str">
        <f t="shared" si="247"/>
        <v/>
      </c>
      <c r="AO302" s="86" t="str">
        <f t="shared" si="248"/>
        <v/>
      </c>
      <c r="AQ302" s="33" t="str">
        <f t="shared" si="225"/>
        <v/>
      </c>
      <c r="AR302" s="30" t="str">
        <f t="shared" si="226"/>
        <v/>
      </c>
      <c r="AU302" s="20">
        <f t="shared" si="227"/>
        <v>0</v>
      </c>
      <c r="AV302" s="20">
        <f t="shared" si="228"/>
        <v>0</v>
      </c>
      <c r="AW302" s="19">
        <f t="shared" si="235"/>
        <v>0</v>
      </c>
      <c r="AX302" s="19">
        <f t="shared" si="236"/>
        <v>0</v>
      </c>
      <c r="AY302" s="19">
        <f t="shared" si="237"/>
        <v>0</v>
      </c>
      <c r="AZ302" s="19">
        <f t="shared" si="238"/>
        <v>0</v>
      </c>
      <c r="BA302" s="19">
        <f t="shared" si="239"/>
        <v>0</v>
      </c>
      <c r="BB302" s="19">
        <f t="shared" si="240"/>
        <v>0</v>
      </c>
      <c r="BC302" s="19">
        <f t="shared" si="241"/>
        <v>0</v>
      </c>
      <c r="BD302" s="19">
        <f>-IF(CUSTOS!B302="",0,CUSTOS!B302)</f>
        <v>0</v>
      </c>
      <c r="BF302" s="20">
        <f t="shared" si="242"/>
        <v>0</v>
      </c>
      <c r="BG302" s="20">
        <f t="shared" si="243"/>
        <v>0</v>
      </c>
      <c r="BH302" s="116">
        <f t="shared" si="243"/>
        <v>0</v>
      </c>
    </row>
    <row r="303" spans="1:60" ht="15" x14ac:dyDescent="0.25">
      <c r="A303" s="66" t="str">
        <f>IF(LARGE($A$11:A302,1)=$F$2,"",A302+1)</f>
        <v/>
      </c>
      <c r="B303" s="27" t="str">
        <f t="shared" si="202"/>
        <v/>
      </c>
      <c r="C303" s="28" t="str">
        <f t="shared" si="229"/>
        <v/>
      </c>
      <c r="D303" s="28" t="str">
        <f t="shared" si="203"/>
        <v/>
      </c>
      <c r="E303" s="28" t="str">
        <f t="shared" si="204"/>
        <v/>
      </c>
      <c r="F303" s="29" t="str">
        <f t="shared" si="205"/>
        <v/>
      </c>
      <c r="G303" s="29" t="str">
        <f t="shared" si="206"/>
        <v/>
      </c>
      <c r="H303" s="30" t="str">
        <f t="shared" si="207"/>
        <v/>
      </c>
      <c r="I303" s="30" t="str">
        <f t="shared" si="208"/>
        <v/>
      </c>
      <c r="J303" s="30" t="str">
        <f>IF(A303="","",H303+CUSTOS!B303)</f>
        <v/>
      </c>
      <c r="K303" s="30" t="str">
        <f t="shared" si="230"/>
        <v/>
      </c>
      <c r="L303" s="30" t="str">
        <f t="shared" si="231"/>
        <v/>
      </c>
      <c r="M303" s="30" t="str">
        <f t="shared" si="232"/>
        <v/>
      </c>
      <c r="N303" s="30" t="str">
        <f t="shared" si="209"/>
        <v/>
      </c>
      <c r="O303" s="31" t="str">
        <f t="shared" si="233"/>
        <v/>
      </c>
      <c r="P303" s="32"/>
      <c r="Q303" s="33" t="str">
        <f t="shared" si="210"/>
        <v/>
      </c>
      <c r="R303" s="33" t="str">
        <f t="shared" si="211"/>
        <v/>
      </c>
      <c r="S303" s="33" t="str">
        <f t="shared" si="212"/>
        <v/>
      </c>
      <c r="T303" s="33" t="str">
        <f t="shared" si="213"/>
        <v/>
      </c>
      <c r="U303" s="33" t="str">
        <f t="shared" si="214"/>
        <v/>
      </c>
      <c r="V303" s="33" t="str">
        <f t="shared" si="215"/>
        <v/>
      </c>
      <c r="X303" s="33" t="str">
        <f t="shared" si="201"/>
        <v/>
      </c>
      <c r="Y303" s="30" t="str">
        <f t="shared" si="216"/>
        <v/>
      </c>
      <c r="Z303" s="30" t="str">
        <f t="shared" si="217"/>
        <v/>
      </c>
      <c r="AA303" s="30" t="str">
        <f t="shared" si="218"/>
        <v/>
      </c>
      <c r="AB303" s="30" t="str">
        <f t="shared" si="219"/>
        <v/>
      </c>
      <c r="AD303" s="33" t="str">
        <f t="shared" si="220"/>
        <v/>
      </c>
      <c r="AE303" s="30" t="str">
        <f t="shared" si="221"/>
        <v/>
      </c>
      <c r="AF303" s="30" t="str">
        <f t="shared" si="222"/>
        <v/>
      </c>
      <c r="AG303" s="30" t="str">
        <f t="shared" si="223"/>
        <v/>
      </c>
      <c r="AH303" s="30" t="str">
        <f t="shared" si="224"/>
        <v/>
      </c>
      <c r="AJ303" s="85" t="str">
        <f t="shared" si="234"/>
        <v/>
      </c>
      <c r="AK303" s="86" t="str">
        <f t="shared" si="244"/>
        <v/>
      </c>
      <c r="AL303" s="86" t="str">
        <f t="shared" si="245"/>
        <v/>
      </c>
      <c r="AM303" s="86" t="str">
        <f t="shared" si="246"/>
        <v/>
      </c>
      <c r="AN303" s="86" t="str">
        <f t="shared" si="247"/>
        <v/>
      </c>
      <c r="AO303" s="86" t="str">
        <f t="shared" si="248"/>
        <v/>
      </c>
      <c r="AQ303" s="33" t="str">
        <f t="shared" si="225"/>
        <v/>
      </c>
      <c r="AR303" s="30" t="str">
        <f t="shared" si="226"/>
        <v/>
      </c>
      <c r="AU303" s="20">
        <f t="shared" si="227"/>
        <v>0</v>
      </c>
      <c r="AV303" s="20">
        <f t="shared" si="228"/>
        <v>0</v>
      </c>
      <c r="AW303" s="19">
        <f t="shared" si="235"/>
        <v>0</v>
      </c>
      <c r="AX303" s="19">
        <f t="shared" si="236"/>
        <v>0</v>
      </c>
      <c r="AY303" s="19">
        <f t="shared" si="237"/>
        <v>0</v>
      </c>
      <c r="AZ303" s="19">
        <f t="shared" si="238"/>
        <v>0</v>
      </c>
      <c r="BA303" s="19">
        <f t="shared" si="239"/>
        <v>0</v>
      </c>
      <c r="BB303" s="19">
        <f t="shared" si="240"/>
        <v>0</v>
      </c>
      <c r="BC303" s="19">
        <f t="shared" si="241"/>
        <v>0</v>
      </c>
      <c r="BD303" s="19">
        <f>-IF(CUSTOS!B303="",0,CUSTOS!B303)</f>
        <v>0</v>
      </c>
      <c r="BF303" s="20">
        <f t="shared" si="242"/>
        <v>0</v>
      </c>
      <c r="BG303" s="20">
        <f t="shared" si="243"/>
        <v>0</v>
      </c>
      <c r="BH303" s="116">
        <f t="shared" si="243"/>
        <v>0</v>
      </c>
    </row>
    <row r="304" spans="1:60" ht="15" x14ac:dyDescent="0.25">
      <c r="A304" s="66" t="str">
        <f>IF(LARGE($A$11:A303,1)=$F$2,"",A303+1)</f>
        <v/>
      </c>
      <c r="B304" s="27" t="str">
        <f t="shared" si="202"/>
        <v/>
      </c>
      <c r="C304" s="28" t="str">
        <f t="shared" si="229"/>
        <v/>
      </c>
      <c r="D304" s="28" t="str">
        <f t="shared" si="203"/>
        <v/>
      </c>
      <c r="E304" s="28" t="str">
        <f t="shared" si="204"/>
        <v/>
      </c>
      <c r="F304" s="29" t="str">
        <f t="shared" si="205"/>
        <v/>
      </c>
      <c r="G304" s="29" t="str">
        <f t="shared" si="206"/>
        <v/>
      </c>
      <c r="H304" s="30" t="str">
        <f t="shared" si="207"/>
        <v/>
      </c>
      <c r="I304" s="30" t="str">
        <f t="shared" si="208"/>
        <v/>
      </c>
      <c r="J304" s="30" t="str">
        <f>IF(A304="","",H304+CUSTOS!B304)</f>
        <v/>
      </c>
      <c r="K304" s="30" t="str">
        <f t="shared" si="230"/>
        <v/>
      </c>
      <c r="L304" s="30" t="str">
        <f t="shared" si="231"/>
        <v/>
      </c>
      <c r="M304" s="30" t="str">
        <f t="shared" si="232"/>
        <v/>
      </c>
      <c r="N304" s="30" t="str">
        <f t="shared" si="209"/>
        <v/>
      </c>
      <c r="O304" s="31" t="str">
        <f t="shared" si="233"/>
        <v/>
      </c>
      <c r="P304" s="32"/>
      <c r="Q304" s="33" t="str">
        <f t="shared" si="210"/>
        <v/>
      </c>
      <c r="R304" s="33" t="str">
        <f t="shared" si="211"/>
        <v/>
      </c>
      <c r="S304" s="33" t="str">
        <f t="shared" si="212"/>
        <v/>
      </c>
      <c r="T304" s="33" t="str">
        <f t="shared" si="213"/>
        <v/>
      </c>
      <c r="U304" s="33" t="str">
        <f t="shared" si="214"/>
        <v/>
      </c>
      <c r="V304" s="33" t="str">
        <f t="shared" si="215"/>
        <v/>
      </c>
      <c r="X304" s="33" t="str">
        <f t="shared" si="201"/>
        <v/>
      </c>
      <c r="Y304" s="30" t="str">
        <f t="shared" si="216"/>
        <v/>
      </c>
      <c r="Z304" s="30" t="str">
        <f t="shared" si="217"/>
        <v/>
      </c>
      <c r="AA304" s="30" t="str">
        <f t="shared" si="218"/>
        <v/>
      </c>
      <c r="AB304" s="30" t="str">
        <f t="shared" si="219"/>
        <v/>
      </c>
      <c r="AD304" s="33" t="str">
        <f t="shared" si="220"/>
        <v/>
      </c>
      <c r="AE304" s="30" t="str">
        <f t="shared" si="221"/>
        <v/>
      </c>
      <c r="AF304" s="30" t="str">
        <f t="shared" si="222"/>
        <v/>
      </c>
      <c r="AG304" s="30" t="str">
        <f t="shared" si="223"/>
        <v/>
      </c>
      <c r="AH304" s="30" t="str">
        <f t="shared" si="224"/>
        <v/>
      </c>
      <c r="AJ304" s="85" t="str">
        <f t="shared" si="234"/>
        <v/>
      </c>
      <c r="AK304" s="86" t="str">
        <f t="shared" si="244"/>
        <v/>
      </c>
      <c r="AL304" s="86" t="str">
        <f t="shared" si="245"/>
        <v/>
      </c>
      <c r="AM304" s="86" t="str">
        <f t="shared" si="246"/>
        <v/>
      </c>
      <c r="AN304" s="86" t="str">
        <f t="shared" si="247"/>
        <v/>
      </c>
      <c r="AO304" s="86" t="str">
        <f t="shared" si="248"/>
        <v/>
      </c>
      <c r="AQ304" s="33" t="str">
        <f t="shared" si="225"/>
        <v/>
      </c>
      <c r="AR304" s="30" t="str">
        <f t="shared" si="226"/>
        <v/>
      </c>
      <c r="AU304" s="20">
        <f t="shared" si="227"/>
        <v>0</v>
      </c>
      <c r="AV304" s="20">
        <f t="shared" si="228"/>
        <v>0</v>
      </c>
      <c r="AW304" s="19">
        <f t="shared" si="235"/>
        <v>0</v>
      </c>
      <c r="AX304" s="19">
        <f t="shared" si="236"/>
        <v>0</v>
      </c>
      <c r="AY304" s="19">
        <f t="shared" si="237"/>
        <v>0</v>
      </c>
      <c r="AZ304" s="19">
        <f t="shared" si="238"/>
        <v>0</v>
      </c>
      <c r="BA304" s="19">
        <f t="shared" si="239"/>
        <v>0</v>
      </c>
      <c r="BB304" s="19">
        <f t="shared" si="240"/>
        <v>0</v>
      </c>
      <c r="BC304" s="19">
        <f t="shared" si="241"/>
        <v>0</v>
      </c>
      <c r="BD304" s="19">
        <f>-IF(CUSTOS!B304="",0,CUSTOS!B304)</f>
        <v>0</v>
      </c>
      <c r="BF304" s="20">
        <f t="shared" si="242"/>
        <v>0</v>
      </c>
      <c r="BG304" s="20">
        <f t="shared" si="243"/>
        <v>0</v>
      </c>
      <c r="BH304" s="116">
        <f t="shared" si="243"/>
        <v>0</v>
      </c>
    </row>
    <row r="305" spans="1:60" ht="15" x14ac:dyDescent="0.25">
      <c r="A305" s="66" t="str">
        <f>IF(LARGE($A$11:A304,1)=$F$2,"",A304+1)</f>
        <v/>
      </c>
      <c r="B305" s="27" t="str">
        <f t="shared" si="202"/>
        <v/>
      </c>
      <c r="C305" s="28" t="str">
        <f t="shared" si="229"/>
        <v/>
      </c>
      <c r="D305" s="28" t="str">
        <f t="shared" si="203"/>
        <v/>
      </c>
      <c r="E305" s="28" t="str">
        <f t="shared" si="204"/>
        <v/>
      </c>
      <c r="F305" s="29" t="str">
        <f t="shared" si="205"/>
        <v/>
      </c>
      <c r="G305" s="29" t="str">
        <f t="shared" si="206"/>
        <v/>
      </c>
      <c r="H305" s="30" t="str">
        <f t="shared" si="207"/>
        <v/>
      </c>
      <c r="I305" s="30" t="str">
        <f t="shared" si="208"/>
        <v/>
      </c>
      <c r="J305" s="30" t="str">
        <f>IF(A305="","",H305+CUSTOS!B305)</f>
        <v/>
      </c>
      <c r="K305" s="30" t="str">
        <f t="shared" si="230"/>
        <v/>
      </c>
      <c r="L305" s="30" t="str">
        <f t="shared" si="231"/>
        <v/>
      </c>
      <c r="M305" s="30" t="str">
        <f t="shared" si="232"/>
        <v/>
      </c>
      <c r="N305" s="30" t="str">
        <f t="shared" si="209"/>
        <v/>
      </c>
      <c r="O305" s="31" t="str">
        <f t="shared" si="233"/>
        <v/>
      </c>
      <c r="P305" s="32"/>
      <c r="Q305" s="33" t="str">
        <f t="shared" si="210"/>
        <v/>
      </c>
      <c r="R305" s="33" t="str">
        <f t="shared" si="211"/>
        <v/>
      </c>
      <c r="S305" s="33" t="str">
        <f t="shared" si="212"/>
        <v/>
      </c>
      <c r="T305" s="33" t="str">
        <f t="shared" si="213"/>
        <v/>
      </c>
      <c r="U305" s="33" t="str">
        <f t="shared" si="214"/>
        <v/>
      </c>
      <c r="V305" s="33" t="str">
        <f t="shared" si="215"/>
        <v/>
      </c>
      <c r="X305" s="33" t="str">
        <f t="shared" si="201"/>
        <v/>
      </c>
      <c r="Y305" s="30" t="str">
        <f t="shared" si="216"/>
        <v/>
      </c>
      <c r="Z305" s="30" t="str">
        <f t="shared" si="217"/>
        <v/>
      </c>
      <c r="AA305" s="30" t="str">
        <f t="shared" si="218"/>
        <v/>
      </c>
      <c r="AB305" s="30" t="str">
        <f t="shared" si="219"/>
        <v/>
      </c>
      <c r="AD305" s="33" t="str">
        <f t="shared" si="220"/>
        <v/>
      </c>
      <c r="AE305" s="30" t="str">
        <f t="shared" si="221"/>
        <v/>
      </c>
      <c r="AF305" s="30" t="str">
        <f t="shared" si="222"/>
        <v/>
      </c>
      <c r="AG305" s="30" t="str">
        <f t="shared" si="223"/>
        <v/>
      </c>
      <c r="AH305" s="30" t="str">
        <f t="shared" si="224"/>
        <v/>
      </c>
      <c r="AJ305" s="85" t="str">
        <f t="shared" si="234"/>
        <v/>
      </c>
      <c r="AK305" s="86" t="str">
        <f t="shared" si="244"/>
        <v/>
      </c>
      <c r="AL305" s="86" t="str">
        <f t="shared" si="245"/>
        <v/>
      </c>
      <c r="AM305" s="86" t="str">
        <f t="shared" si="246"/>
        <v/>
      </c>
      <c r="AN305" s="86" t="str">
        <f t="shared" si="247"/>
        <v/>
      </c>
      <c r="AO305" s="86" t="str">
        <f t="shared" si="248"/>
        <v/>
      </c>
      <c r="AQ305" s="33" t="str">
        <f t="shared" si="225"/>
        <v/>
      </c>
      <c r="AR305" s="30" t="str">
        <f t="shared" si="226"/>
        <v/>
      </c>
      <c r="AU305" s="20">
        <f t="shared" si="227"/>
        <v>0</v>
      </c>
      <c r="AV305" s="20">
        <f t="shared" si="228"/>
        <v>0</v>
      </c>
      <c r="AW305" s="19">
        <f t="shared" si="235"/>
        <v>0</v>
      </c>
      <c r="AX305" s="19">
        <f t="shared" si="236"/>
        <v>0</v>
      </c>
      <c r="AY305" s="19">
        <f t="shared" si="237"/>
        <v>0</v>
      </c>
      <c r="AZ305" s="19">
        <f t="shared" si="238"/>
        <v>0</v>
      </c>
      <c r="BA305" s="19">
        <f t="shared" si="239"/>
        <v>0</v>
      </c>
      <c r="BB305" s="19">
        <f t="shared" si="240"/>
        <v>0</v>
      </c>
      <c r="BC305" s="19">
        <f t="shared" si="241"/>
        <v>0</v>
      </c>
      <c r="BD305" s="19">
        <f>-IF(CUSTOS!B305="",0,CUSTOS!B305)</f>
        <v>0</v>
      </c>
      <c r="BF305" s="20">
        <f t="shared" si="242"/>
        <v>0</v>
      </c>
      <c r="BG305" s="20">
        <f t="shared" si="243"/>
        <v>0</v>
      </c>
      <c r="BH305" s="116">
        <f t="shared" si="243"/>
        <v>0</v>
      </c>
    </row>
    <row r="306" spans="1:60" ht="15" x14ac:dyDescent="0.25">
      <c r="A306" s="66" t="str">
        <f>IF(LARGE($A$11:A305,1)=$F$2,"",A305+1)</f>
        <v/>
      </c>
      <c r="B306" s="27" t="str">
        <f t="shared" si="202"/>
        <v/>
      </c>
      <c r="C306" s="28" t="str">
        <f t="shared" si="229"/>
        <v/>
      </c>
      <c r="D306" s="28" t="str">
        <f t="shared" si="203"/>
        <v/>
      </c>
      <c r="E306" s="28" t="str">
        <f t="shared" si="204"/>
        <v/>
      </c>
      <c r="F306" s="29" t="str">
        <f t="shared" si="205"/>
        <v/>
      </c>
      <c r="G306" s="29" t="str">
        <f t="shared" si="206"/>
        <v/>
      </c>
      <c r="H306" s="30" t="str">
        <f t="shared" si="207"/>
        <v/>
      </c>
      <c r="I306" s="30" t="str">
        <f t="shared" si="208"/>
        <v/>
      </c>
      <c r="J306" s="30" t="str">
        <f>IF(A306="","",H306+CUSTOS!B306)</f>
        <v/>
      </c>
      <c r="K306" s="30" t="str">
        <f t="shared" si="230"/>
        <v/>
      </c>
      <c r="L306" s="30" t="str">
        <f t="shared" si="231"/>
        <v/>
      </c>
      <c r="M306" s="30" t="str">
        <f t="shared" si="232"/>
        <v/>
      </c>
      <c r="N306" s="30" t="str">
        <f t="shared" si="209"/>
        <v/>
      </c>
      <c r="O306" s="31" t="str">
        <f t="shared" si="233"/>
        <v/>
      </c>
      <c r="P306" s="32"/>
      <c r="Q306" s="33" t="str">
        <f t="shared" si="210"/>
        <v/>
      </c>
      <c r="R306" s="33" t="str">
        <f t="shared" si="211"/>
        <v/>
      </c>
      <c r="S306" s="33" t="str">
        <f t="shared" si="212"/>
        <v/>
      </c>
      <c r="T306" s="33" t="str">
        <f t="shared" si="213"/>
        <v/>
      </c>
      <c r="U306" s="33" t="str">
        <f t="shared" si="214"/>
        <v/>
      </c>
      <c r="V306" s="33" t="str">
        <f t="shared" si="215"/>
        <v/>
      </c>
      <c r="X306" s="33" t="str">
        <f t="shared" si="201"/>
        <v/>
      </c>
      <c r="Y306" s="30" t="str">
        <f t="shared" si="216"/>
        <v/>
      </c>
      <c r="Z306" s="30" t="str">
        <f t="shared" si="217"/>
        <v/>
      </c>
      <c r="AA306" s="30" t="str">
        <f t="shared" si="218"/>
        <v/>
      </c>
      <c r="AB306" s="30" t="str">
        <f t="shared" si="219"/>
        <v/>
      </c>
      <c r="AD306" s="33" t="str">
        <f t="shared" si="220"/>
        <v/>
      </c>
      <c r="AE306" s="30" t="str">
        <f t="shared" si="221"/>
        <v/>
      </c>
      <c r="AF306" s="30" t="str">
        <f t="shared" si="222"/>
        <v/>
      </c>
      <c r="AG306" s="30" t="str">
        <f t="shared" si="223"/>
        <v/>
      </c>
      <c r="AH306" s="30" t="str">
        <f t="shared" si="224"/>
        <v/>
      </c>
      <c r="AJ306" s="85" t="str">
        <f t="shared" si="234"/>
        <v/>
      </c>
      <c r="AK306" s="86" t="str">
        <f t="shared" si="244"/>
        <v/>
      </c>
      <c r="AL306" s="86" t="str">
        <f t="shared" si="245"/>
        <v/>
      </c>
      <c r="AM306" s="86" t="str">
        <f t="shared" si="246"/>
        <v/>
      </c>
      <c r="AN306" s="86" t="str">
        <f t="shared" si="247"/>
        <v/>
      </c>
      <c r="AO306" s="86" t="str">
        <f t="shared" si="248"/>
        <v/>
      </c>
      <c r="AQ306" s="33" t="str">
        <f t="shared" si="225"/>
        <v/>
      </c>
      <c r="AR306" s="30" t="str">
        <f t="shared" si="226"/>
        <v/>
      </c>
      <c r="AU306" s="20">
        <f t="shared" si="227"/>
        <v>0</v>
      </c>
      <c r="AV306" s="20">
        <f t="shared" si="228"/>
        <v>0</v>
      </c>
      <c r="AW306" s="19">
        <f t="shared" si="235"/>
        <v>0</v>
      </c>
      <c r="AX306" s="19">
        <f t="shared" si="236"/>
        <v>0</v>
      </c>
      <c r="AY306" s="19">
        <f t="shared" si="237"/>
        <v>0</v>
      </c>
      <c r="AZ306" s="19">
        <f t="shared" si="238"/>
        <v>0</v>
      </c>
      <c r="BA306" s="19">
        <f t="shared" si="239"/>
        <v>0</v>
      </c>
      <c r="BB306" s="19">
        <f t="shared" si="240"/>
        <v>0</v>
      </c>
      <c r="BC306" s="19">
        <f t="shared" si="241"/>
        <v>0</v>
      </c>
      <c r="BD306" s="19">
        <f>-IF(CUSTOS!B306="",0,CUSTOS!B306)</f>
        <v>0</v>
      </c>
      <c r="BF306" s="20">
        <f t="shared" si="242"/>
        <v>0</v>
      </c>
      <c r="BG306" s="20">
        <f t="shared" si="243"/>
        <v>0</v>
      </c>
      <c r="BH306" s="116">
        <f t="shared" si="243"/>
        <v>0</v>
      </c>
    </row>
    <row r="307" spans="1:60" ht="15" x14ac:dyDescent="0.25">
      <c r="A307" s="66" t="str">
        <f>IF(LARGE($A$11:A306,1)=$F$2,"",A306+1)</f>
        <v/>
      </c>
      <c r="B307" s="27" t="str">
        <f t="shared" si="202"/>
        <v/>
      </c>
      <c r="C307" s="28" t="str">
        <f t="shared" si="229"/>
        <v/>
      </c>
      <c r="D307" s="28" t="str">
        <f t="shared" si="203"/>
        <v/>
      </c>
      <c r="E307" s="28" t="str">
        <f t="shared" si="204"/>
        <v/>
      </c>
      <c r="F307" s="29" t="str">
        <f t="shared" si="205"/>
        <v/>
      </c>
      <c r="G307" s="29" t="str">
        <f t="shared" si="206"/>
        <v/>
      </c>
      <c r="H307" s="30" t="str">
        <f t="shared" si="207"/>
        <v/>
      </c>
      <c r="I307" s="30" t="str">
        <f t="shared" si="208"/>
        <v/>
      </c>
      <c r="J307" s="30" t="str">
        <f>IF(A307="","",H307+CUSTOS!B307)</f>
        <v/>
      </c>
      <c r="K307" s="30" t="str">
        <f t="shared" si="230"/>
        <v/>
      </c>
      <c r="L307" s="30" t="str">
        <f t="shared" si="231"/>
        <v/>
      </c>
      <c r="M307" s="30" t="str">
        <f t="shared" si="232"/>
        <v/>
      </c>
      <c r="N307" s="30" t="str">
        <f t="shared" si="209"/>
        <v/>
      </c>
      <c r="O307" s="31" t="str">
        <f t="shared" si="233"/>
        <v/>
      </c>
      <c r="P307" s="32"/>
      <c r="Q307" s="33" t="str">
        <f t="shared" si="210"/>
        <v/>
      </c>
      <c r="R307" s="33" t="str">
        <f t="shared" si="211"/>
        <v/>
      </c>
      <c r="S307" s="33" t="str">
        <f t="shared" si="212"/>
        <v/>
      </c>
      <c r="T307" s="33" t="str">
        <f t="shared" si="213"/>
        <v/>
      </c>
      <c r="U307" s="33" t="str">
        <f t="shared" si="214"/>
        <v/>
      </c>
      <c r="V307" s="33" t="str">
        <f t="shared" si="215"/>
        <v/>
      </c>
      <c r="X307" s="33" t="str">
        <f t="shared" si="201"/>
        <v/>
      </c>
      <c r="Y307" s="30" t="str">
        <f t="shared" si="216"/>
        <v/>
      </c>
      <c r="Z307" s="30" t="str">
        <f t="shared" si="217"/>
        <v/>
      </c>
      <c r="AA307" s="30" t="str">
        <f t="shared" si="218"/>
        <v/>
      </c>
      <c r="AB307" s="30" t="str">
        <f t="shared" si="219"/>
        <v/>
      </c>
      <c r="AD307" s="33" t="str">
        <f t="shared" si="220"/>
        <v/>
      </c>
      <c r="AE307" s="30" t="str">
        <f t="shared" si="221"/>
        <v/>
      </c>
      <c r="AF307" s="30" t="str">
        <f t="shared" si="222"/>
        <v/>
      </c>
      <c r="AG307" s="30" t="str">
        <f t="shared" si="223"/>
        <v/>
      </c>
      <c r="AH307" s="30" t="str">
        <f t="shared" si="224"/>
        <v/>
      </c>
      <c r="AJ307" s="85" t="str">
        <f t="shared" si="234"/>
        <v/>
      </c>
      <c r="AK307" s="86" t="str">
        <f t="shared" si="244"/>
        <v/>
      </c>
      <c r="AL307" s="86" t="str">
        <f t="shared" si="245"/>
        <v/>
      </c>
      <c r="AM307" s="86" t="str">
        <f t="shared" si="246"/>
        <v/>
      </c>
      <c r="AN307" s="86" t="str">
        <f t="shared" si="247"/>
        <v/>
      </c>
      <c r="AO307" s="86" t="str">
        <f t="shared" si="248"/>
        <v/>
      </c>
      <c r="AQ307" s="33" t="str">
        <f t="shared" si="225"/>
        <v/>
      </c>
      <c r="AR307" s="30" t="str">
        <f t="shared" si="226"/>
        <v/>
      </c>
      <c r="AU307" s="20">
        <f t="shared" si="227"/>
        <v>0</v>
      </c>
      <c r="AV307" s="20">
        <f t="shared" si="228"/>
        <v>0</v>
      </c>
      <c r="AW307" s="19">
        <f t="shared" si="235"/>
        <v>0</v>
      </c>
      <c r="AX307" s="19">
        <f t="shared" si="236"/>
        <v>0</v>
      </c>
      <c r="AY307" s="19">
        <f t="shared" si="237"/>
        <v>0</v>
      </c>
      <c r="AZ307" s="19">
        <f t="shared" si="238"/>
        <v>0</v>
      </c>
      <c r="BA307" s="19">
        <f t="shared" si="239"/>
        <v>0</v>
      </c>
      <c r="BB307" s="19">
        <f t="shared" si="240"/>
        <v>0</v>
      </c>
      <c r="BC307" s="19">
        <f t="shared" si="241"/>
        <v>0</v>
      </c>
      <c r="BD307" s="19">
        <f>-IF(CUSTOS!B307="",0,CUSTOS!B307)</f>
        <v>0</v>
      </c>
      <c r="BF307" s="20">
        <f t="shared" si="242"/>
        <v>0</v>
      </c>
      <c r="BG307" s="20">
        <f t="shared" si="243"/>
        <v>0</v>
      </c>
      <c r="BH307" s="116">
        <f t="shared" si="243"/>
        <v>0</v>
      </c>
    </row>
    <row r="308" spans="1:60" ht="15" x14ac:dyDescent="0.25">
      <c r="A308" s="66" t="str">
        <f>IF(LARGE($A$11:A307,1)=$F$2,"",A307+1)</f>
        <v/>
      </c>
      <c r="B308" s="27" t="str">
        <f t="shared" si="202"/>
        <v/>
      </c>
      <c r="C308" s="28" t="str">
        <f t="shared" si="229"/>
        <v/>
      </c>
      <c r="D308" s="28" t="str">
        <f t="shared" si="203"/>
        <v/>
      </c>
      <c r="E308" s="28" t="str">
        <f t="shared" si="204"/>
        <v/>
      </c>
      <c r="F308" s="29" t="str">
        <f t="shared" si="205"/>
        <v/>
      </c>
      <c r="G308" s="29" t="str">
        <f t="shared" si="206"/>
        <v/>
      </c>
      <c r="H308" s="30" t="str">
        <f t="shared" si="207"/>
        <v/>
      </c>
      <c r="I308" s="30" t="str">
        <f t="shared" si="208"/>
        <v/>
      </c>
      <c r="J308" s="30" t="str">
        <f>IF(A308="","",H308+CUSTOS!B308)</f>
        <v/>
      </c>
      <c r="K308" s="30" t="str">
        <f t="shared" si="230"/>
        <v/>
      </c>
      <c r="L308" s="30" t="str">
        <f t="shared" si="231"/>
        <v/>
      </c>
      <c r="M308" s="30" t="str">
        <f t="shared" si="232"/>
        <v/>
      </c>
      <c r="N308" s="30" t="str">
        <f t="shared" si="209"/>
        <v/>
      </c>
      <c r="O308" s="31" t="str">
        <f t="shared" si="233"/>
        <v/>
      </c>
      <c r="P308" s="32"/>
      <c r="Q308" s="33" t="str">
        <f t="shared" si="210"/>
        <v/>
      </c>
      <c r="R308" s="33" t="str">
        <f t="shared" si="211"/>
        <v/>
      </c>
      <c r="S308" s="33" t="str">
        <f t="shared" si="212"/>
        <v/>
      </c>
      <c r="T308" s="33" t="str">
        <f t="shared" si="213"/>
        <v/>
      </c>
      <c r="U308" s="33" t="str">
        <f t="shared" si="214"/>
        <v/>
      </c>
      <c r="V308" s="33" t="str">
        <f t="shared" si="215"/>
        <v/>
      </c>
      <c r="X308" s="33" t="str">
        <f t="shared" si="201"/>
        <v/>
      </c>
      <c r="Y308" s="30" t="str">
        <f t="shared" si="216"/>
        <v/>
      </c>
      <c r="Z308" s="30" t="str">
        <f t="shared" si="217"/>
        <v/>
      </c>
      <c r="AA308" s="30" t="str">
        <f t="shared" si="218"/>
        <v/>
      </c>
      <c r="AB308" s="30" t="str">
        <f t="shared" si="219"/>
        <v/>
      </c>
      <c r="AD308" s="33" t="str">
        <f t="shared" si="220"/>
        <v/>
      </c>
      <c r="AE308" s="30" t="str">
        <f t="shared" si="221"/>
        <v/>
      </c>
      <c r="AF308" s="30" t="str">
        <f t="shared" si="222"/>
        <v/>
      </c>
      <c r="AG308" s="30" t="str">
        <f t="shared" si="223"/>
        <v/>
      </c>
      <c r="AH308" s="30" t="str">
        <f t="shared" si="224"/>
        <v/>
      </c>
      <c r="AJ308" s="85" t="str">
        <f t="shared" si="234"/>
        <v/>
      </c>
      <c r="AK308" s="86" t="str">
        <f t="shared" si="244"/>
        <v/>
      </c>
      <c r="AL308" s="86" t="str">
        <f t="shared" si="245"/>
        <v/>
      </c>
      <c r="AM308" s="86" t="str">
        <f t="shared" si="246"/>
        <v/>
      </c>
      <c r="AN308" s="86" t="str">
        <f t="shared" si="247"/>
        <v/>
      </c>
      <c r="AO308" s="86" t="str">
        <f t="shared" si="248"/>
        <v/>
      </c>
      <c r="AQ308" s="33" t="str">
        <f t="shared" si="225"/>
        <v/>
      </c>
      <c r="AR308" s="30" t="str">
        <f t="shared" si="226"/>
        <v/>
      </c>
      <c r="AU308" s="20">
        <f t="shared" si="227"/>
        <v>0</v>
      </c>
      <c r="AV308" s="20">
        <f t="shared" si="228"/>
        <v>0</v>
      </c>
      <c r="AW308" s="19">
        <f t="shared" si="235"/>
        <v>0</v>
      </c>
      <c r="AX308" s="19">
        <f t="shared" si="236"/>
        <v>0</v>
      </c>
      <c r="AY308" s="19">
        <f t="shared" si="237"/>
        <v>0</v>
      </c>
      <c r="AZ308" s="19">
        <f t="shared" si="238"/>
        <v>0</v>
      </c>
      <c r="BA308" s="19">
        <f t="shared" si="239"/>
        <v>0</v>
      </c>
      <c r="BB308" s="19">
        <f t="shared" si="240"/>
        <v>0</v>
      </c>
      <c r="BC308" s="19">
        <f t="shared" si="241"/>
        <v>0</v>
      </c>
      <c r="BD308" s="19">
        <f>-IF(CUSTOS!B308="",0,CUSTOS!B308)</f>
        <v>0</v>
      </c>
      <c r="BF308" s="20">
        <f t="shared" si="242"/>
        <v>0</v>
      </c>
      <c r="BG308" s="20">
        <f t="shared" si="243"/>
        <v>0</v>
      </c>
      <c r="BH308" s="116">
        <f t="shared" si="243"/>
        <v>0</v>
      </c>
    </row>
    <row r="309" spans="1:60" ht="15" x14ac:dyDescent="0.25">
      <c r="A309" s="66" t="str">
        <f>IF(LARGE($A$11:A308,1)=$F$2,"",A308+1)</f>
        <v/>
      </c>
      <c r="B309" s="27" t="str">
        <f t="shared" si="202"/>
        <v/>
      </c>
      <c r="C309" s="28" t="str">
        <f t="shared" si="229"/>
        <v/>
      </c>
      <c r="D309" s="28" t="str">
        <f t="shared" si="203"/>
        <v/>
      </c>
      <c r="E309" s="28" t="str">
        <f t="shared" si="204"/>
        <v/>
      </c>
      <c r="F309" s="29" t="str">
        <f t="shared" si="205"/>
        <v/>
      </c>
      <c r="G309" s="29" t="str">
        <f t="shared" si="206"/>
        <v/>
      </c>
      <c r="H309" s="30" t="str">
        <f t="shared" si="207"/>
        <v/>
      </c>
      <c r="I309" s="30" t="str">
        <f t="shared" si="208"/>
        <v/>
      </c>
      <c r="J309" s="30" t="str">
        <f>IF(A309="","",H309+CUSTOS!B309)</f>
        <v/>
      </c>
      <c r="K309" s="30" t="str">
        <f t="shared" si="230"/>
        <v/>
      </c>
      <c r="L309" s="30" t="str">
        <f t="shared" si="231"/>
        <v/>
      </c>
      <c r="M309" s="30" t="str">
        <f t="shared" si="232"/>
        <v/>
      </c>
      <c r="N309" s="30" t="str">
        <f t="shared" si="209"/>
        <v/>
      </c>
      <c r="O309" s="31" t="str">
        <f t="shared" si="233"/>
        <v/>
      </c>
      <c r="P309" s="32"/>
      <c r="Q309" s="33" t="str">
        <f t="shared" si="210"/>
        <v/>
      </c>
      <c r="R309" s="33" t="str">
        <f t="shared" si="211"/>
        <v/>
      </c>
      <c r="S309" s="33" t="str">
        <f t="shared" si="212"/>
        <v/>
      </c>
      <c r="T309" s="33" t="str">
        <f t="shared" si="213"/>
        <v/>
      </c>
      <c r="U309" s="33" t="str">
        <f t="shared" si="214"/>
        <v/>
      </c>
      <c r="V309" s="33" t="str">
        <f t="shared" si="215"/>
        <v/>
      </c>
      <c r="X309" s="33" t="str">
        <f t="shared" si="201"/>
        <v/>
      </c>
      <c r="Y309" s="30" t="str">
        <f t="shared" si="216"/>
        <v/>
      </c>
      <c r="Z309" s="30" t="str">
        <f t="shared" si="217"/>
        <v/>
      </c>
      <c r="AA309" s="30" t="str">
        <f t="shared" si="218"/>
        <v/>
      </c>
      <c r="AB309" s="30" t="str">
        <f t="shared" si="219"/>
        <v/>
      </c>
      <c r="AD309" s="33" t="str">
        <f t="shared" si="220"/>
        <v/>
      </c>
      <c r="AE309" s="30" t="str">
        <f t="shared" si="221"/>
        <v/>
      </c>
      <c r="AF309" s="30" t="str">
        <f t="shared" si="222"/>
        <v/>
      </c>
      <c r="AG309" s="30" t="str">
        <f t="shared" si="223"/>
        <v/>
      </c>
      <c r="AH309" s="30" t="str">
        <f t="shared" si="224"/>
        <v/>
      </c>
      <c r="AJ309" s="85" t="str">
        <f t="shared" si="234"/>
        <v/>
      </c>
      <c r="AK309" s="86" t="str">
        <f t="shared" si="244"/>
        <v/>
      </c>
      <c r="AL309" s="86" t="str">
        <f t="shared" si="245"/>
        <v/>
      </c>
      <c r="AM309" s="86" t="str">
        <f t="shared" si="246"/>
        <v/>
      </c>
      <c r="AN309" s="86" t="str">
        <f t="shared" si="247"/>
        <v/>
      </c>
      <c r="AO309" s="86" t="str">
        <f t="shared" si="248"/>
        <v/>
      </c>
      <c r="AQ309" s="33" t="str">
        <f t="shared" si="225"/>
        <v/>
      </c>
      <c r="AR309" s="30" t="str">
        <f t="shared" si="226"/>
        <v/>
      </c>
      <c r="AU309" s="20">
        <f t="shared" si="227"/>
        <v>0</v>
      </c>
      <c r="AV309" s="20">
        <f t="shared" si="228"/>
        <v>0</v>
      </c>
      <c r="AW309" s="19">
        <f t="shared" si="235"/>
        <v>0</v>
      </c>
      <c r="AX309" s="19">
        <f t="shared" si="236"/>
        <v>0</v>
      </c>
      <c r="AY309" s="19">
        <f t="shared" si="237"/>
        <v>0</v>
      </c>
      <c r="AZ309" s="19">
        <f t="shared" si="238"/>
        <v>0</v>
      </c>
      <c r="BA309" s="19">
        <f t="shared" si="239"/>
        <v>0</v>
      </c>
      <c r="BB309" s="19">
        <f t="shared" si="240"/>
        <v>0</v>
      </c>
      <c r="BC309" s="19">
        <f t="shared" si="241"/>
        <v>0</v>
      </c>
      <c r="BD309" s="19">
        <f>-IF(CUSTOS!B309="",0,CUSTOS!B309)</f>
        <v>0</v>
      </c>
      <c r="BF309" s="20">
        <f t="shared" si="242"/>
        <v>0</v>
      </c>
      <c r="BG309" s="20">
        <f t="shared" si="243"/>
        <v>0</v>
      </c>
      <c r="BH309" s="116">
        <f t="shared" si="243"/>
        <v>0</v>
      </c>
    </row>
    <row r="310" spans="1:60" ht="15" x14ac:dyDescent="0.25">
      <c r="A310" s="66" t="str">
        <f>IF(LARGE($A$11:A309,1)=$F$2,"",A309+1)</f>
        <v/>
      </c>
      <c r="B310" s="27" t="str">
        <f t="shared" si="202"/>
        <v/>
      </c>
      <c r="C310" s="28" t="str">
        <f t="shared" si="229"/>
        <v/>
      </c>
      <c r="D310" s="28" t="str">
        <f t="shared" si="203"/>
        <v/>
      </c>
      <c r="E310" s="28" t="str">
        <f t="shared" si="204"/>
        <v/>
      </c>
      <c r="F310" s="29" t="str">
        <f t="shared" si="205"/>
        <v/>
      </c>
      <c r="G310" s="29" t="str">
        <f t="shared" si="206"/>
        <v/>
      </c>
      <c r="H310" s="30" t="str">
        <f t="shared" si="207"/>
        <v/>
      </c>
      <c r="I310" s="30" t="str">
        <f t="shared" si="208"/>
        <v/>
      </c>
      <c r="J310" s="30" t="str">
        <f>IF(A310="","",H310+CUSTOS!B310)</f>
        <v/>
      </c>
      <c r="K310" s="30" t="str">
        <f t="shared" si="230"/>
        <v/>
      </c>
      <c r="L310" s="30" t="str">
        <f t="shared" si="231"/>
        <v/>
      </c>
      <c r="M310" s="30" t="str">
        <f t="shared" si="232"/>
        <v/>
      </c>
      <c r="N310" s="30" t="str">
        <f t="shared" si="209"/>
        <v/>
      </c>
      <c r="O310" s="31" t="str">
        <f t="shared" si="233"/>
        <v/>
      </c>
      <c r="P310" s="32"/>
      <c r="Q310" s="33" t="str">
        <f t="shared" si="210"/>
        <v/>
      </c>
      <c r="R310" s="33" t="str">
        <f t="shared" si="211"/>
        <v/>
      </c>
      <c r="S310" s="33" t="str">
        <f t="shared" si="212"/>
        <v/>
      </c>
      <c r="T310" s="33" t="str">
        <f t="shared" si="213"/>
        <v/>
      </c>
      <c r="U310" s="33" t="str">
        <f t="shared" si="214"/>
        <v/>
      </c>
      <c r="V310" s="33" t="str">
        <f t="shared" si="215"/>
        <v/>
      </c>
      <c r="X310" s="33" t="str">
        <f t="shared" si="201"/>
        <v/>
      </c>
      <c r="Y310" s="30" t="str">
        <f t="shared" si="216"/>
        <v/>
      </c>
      <c r="Z310" s="30" t="str">
        <f t="shared" si="217"/>
        <v/>
      </c>
      <c r="AA310" s="30" t="str">
        <f t="shared" si="218"/>
        <v/>
      </c>
      <c r="AB310" s="30" t="str">
        <f t="shared" si="219"/>
        <v/>
      </c>
      <c r="AD310" s="33" t="str">
        <f t="shared" si="220"/>
        <v/>
      </c>
      <c r="AE310" s="30" t="str">
        <f t="shared" si="221"/>
        <v/>
      </c>
      <c r="AF310" s="30" t="str">
        <f t="shared" si="222"/>
        <v/>
      </c>
      <c r="AG310" s="30" t="str">
        <f t="shared" si="223"/>
        <v/>
      </c>
      <c r="AH310" s="30" t="str">
        <f t="shared" si="224"/>
        <v/>
      </c>
      <c r="AJ310" s="85" t="str">
        <f t="shared" si="234"/>
        <v/>
      </c>
      <c r="AK310" s="86" t="str">
        <f t="shared" si="244"/>
        <v/>
      </c>
      <c r="AL310" s="86" t="str">
        <f t="shared" si="245"/>
        <v/>
      </c>
      <c r="AM310" s="86" t="str">
        <f t="shared" si="246"/>
        <v/>
      </c>
      <c r="AN310" s="86" t="str">
        <f t="shared" si="247"/>
        <v/>
      </c>
      <c r="AO310" s="86" t="str">
        <f t="shared" si="248"/>
        <v/>
      </c>
      <c r="AQ310" s="33" t="str">
        <f t="shared" si="225"/>
        <v/>
      </c>
      <c r="AR310" s="30" t="str">
        <f t="shared" si="226"/>
        <v/>
      </c>
      <c r="AU310" s="20">
        <f t="shared" si="227"/>
        <v>0</v>
      </c>
      <c r="AV310" s="20">
        <f t="shared" si="228"/>
        <v>0</v>
      </c>
      <c r="AW310" s="19">
        <f t="shared" si="235"/>
        <v>0</v>
      </c>
      <c r="AX310" s="19">
        <f t="shared" si="236"/>
        <v>0</v>
      </c>
      <c r="AY310" s="19">
        <f t="shared" si="237"/>
        <v>0</v>
      </c>
      <c r="AZ310" s="19">
        <f t="shared" si="238"/>
        <v>0</v>
      </c>
      <c r="BA310" s="19">
        <f t="shared" si="239"/>
        <v>0</v>
      </c>
      <c r="BB310" s="19">
        <f t="shared" si="240"/>
        <v>0</v>
      </c>
      <c r="BC310" s="19">
        <f t="shared" si="241"/>
        <v>0</v>
      </c>
      <c r="BD310" s="19">
        <f>-IF(CUSTOS!B310="",0,CUSTOS!B310)</f>
        <v>0</v>
      </c>
      <c r="BF310" s="20">
        <f t="shared" si="242"/>
        <v>0</v>
      </c>
      <c r="BG310" s="20">
        <f t="shared" si="243"/>
        <v>0</v>
      </c>
      <c r="BH310" s="116">
        <f t="shared" si="243"/>
        <v>0</v>
      </c>
    </row>
    <row r="311" spans="1:60" ht="15" x14ac:dyDescent="0.25">
      <c r="A311" s="66" t="str">
        <f>IF(LARGE($A$11:A310,1)=$F$2,"",A310+1)</f>
        <v/>
      </c>
      <c r="B311" s="27" t="str">
        <f t="shared" si="202"/>
        <v/>
      </c>
      <c r="C311" s="28" t="str">
        <f t="shared" si="229"/>
        <v/>
      </c>
      <c r="D311" s="28" t="str">
        <f t="shared" si="203"/>
        <v/>
      </c>
      <c r="E311" s="28" t="str">
        <f t="shared" si="204"/>
        <v/>
      </c>
      <c r="F311" s="29" t="str">
        <f t="shared" si="205"/>
        <v/>
      </c>
      <c r="G311" s="29" t="str">
        <f t="shared" si="206"/>
        <v/>
      </c>
      <c r="H311" s="30" t="str">
        <f t="shared" si="207"/>
        <v/>
      </c>
      <c r="I311" s="30" t="str">
        <f t="shared" si="208"/>
        <v/>
      </c>
      <c r="J311" s="30" t="str">
        <f>IF(A311="","",H311+CUSTOS!B311)</f>
        <v/>
      </c>
      <c r="K311" s="30" t="str">
        <f t="shared" si="230"/>
        <v/>
      </c>
      <c r="L311" s="30" t="str">
        <f t="shared" si="231"/>
        <v/>
      </c>
      <c r="M311" s="30" t="str">
        <f t="shared" si="232"/>
        <v/>
      </c>
      <c r="N311" s="30" t="str">
        <f t="shared" si="209"/>
        <v/>
      </c>
      <c r="O311" s="31" t="str">
        <f t="shared" si="233"/>
        <v/>
      </c>
      <c r="P311" s="32"/>
      <c r="Q311" s="33" t="str">
        <f t="shared" si="210"/>
        <v/>
      </c>
      <c r="R311" s="33" t="str">
        <f t="shared" si="211"/>
        <v/>
      </c>
      <c r="S311" s="33" t="str">
        <f t="shared" si="212"/>
        <v/>
      </c>
      <c r="T311" s="33" t="str">
        <f t="shared" si="213"/>
        <v/>
      </c>
      <c r="U311" s="33" t="str">
        <f t="shared" si="214"/>
        <v/>
      </c>
      <c r="V311" s="33" t="str">
        <f t="shared" si="215"/>
        <v/>
      </c>
      <c r="X311" s="33" t="str">
        <f t="shared" si="201"/>
        <v/>
      </c>
      <c r="Y311" s="30" t="str">
        <f t="shared" si="216"/>
        <v/>
      </c>
      <c r="Z311" s="30" t="str">
        <f t="shared" si="217"/>
        <v/>
      </c>
      <c r="AA311" s="30" t="str">
        <f t="shared" si="218"/>
        <v/>
      </c>
      <c r="AB311" s="30" t="str">
        <f t="shared" si="219"/>
        <v/>
      </c>
      <c r="AD311" s="33" t="str">
        <f t="shared" si="220"/>
        <v/>
      </c>
      <c r="AE311" s="30" t="str">
        <f t="shared" si="221"/>
        <v/>
      </c>
      <c r="AF311" s="30" t="str">
        <f t="shared" si="222"/>
        <v/>
      </c>
      <c r="AG311" s="30" t="str">
        <f t="shared" si="223"/>
        <v/>
      </c>
      <c r="AH311" s="30" t="str">
        <f t="shared" si="224"/>
        <v/>
      </c>
      <c r="AJ311" s="85" t="str">
        <f t="shared" si="234"/>
        <v/>
      </c>
      <c r="AK311" s="86" t="str">
        <f t="shared" si="244"/>
        <v/>
      </c>
      <c r="AL311" s="86" t="str">
        <f t="shared" si="245"/>
        <v/>
      </c>
      <c r="AM311" s="86" t="str">
        <f t="shared" si="246"/>
        <v/>
      </c>
      <c r="AN311" s="86" t="str">
        <f t="shared" si="247"/>
        <v/>
      </c>
      <c r="AO311" s="86" t="str">
        <f t="shared" si="248"/>
        <v/>
      </c>
      <c r="AQ311" s="33" t="str">
        <f t="shared" si="225"/>
        <v/>
      </c>
      <c r="AR311" s="30" t="str">
        <f t="shared" si="226"/>
        <v/>
      </c>
      <c r="AU311" s="20">
        <f t="shared" si="227"/>
        <v>0</v>
      </c>
      <c r="AV311" s="20">
        <f t="shared" si="228"/>
        <v>0</v>
      </c>
      <c r="AW311" s="19">
        <f t="shared" si="235"/>
        <v>0</v>
      </c>
      <c r="AX311" s="19">
        <f t="shared" si="236"/>
        <v>0</v>
      </c>
      <c r="AY311" s="19">
        <f t="shared" si="237"/>
        <v>0</v>
      </c>
      <c r="AZ311" s="19">
        <f t="shared" si="238"/>
        <v>0</v>
      </c>
      <c r="BA311" s="19">
        <f t="shared" si="239"/>
        <v>0</v>
      </c>
      <c r="BB311" s="19">
        <f t="shared" si="240"/>
        <v>0</v>
      </c>
      <c r="BC311" s="19">
        <f t="shared" si="241"/>
        <v>0</v>
      </c>
      <c r="BD311" s="19">
        <f>-IF(CUSTOS!B311="",0,CUSTOS!B311)</f>
        <v>0</v>
      </c>
      <c r="BF311" s="20">
        <f t="shared" si="242"/>
        <v>0</v>
      </c>
      <c r="BG311" s="20">
        <f t="shared" si="243"/>
        <v>0</v>
      </c>
      <c r="BH311" s="116">
        <f t="shared" si="243"/>
        <v>0</v>
      </c>
    </row>
    <row r="312" spans="1:60" ht="15" x14ac:dyDescent="0.25">
      <c r="A312" s="66" t="str">
        <f>IF(LARGE($A$11:A311,1)=$F$2,"",A311+1)</f>
        <v/>
      </c>
      <c r="B312" s="27" t="str">
        <f t="shared" si="202"/>
        <v/>
      </c>
      <c r="C312" s="28" t="str">
        <f t="shared" si="229"/>
        <v/>
      </c>
      <c r="D312" s="28" t="str">
        <f t="shared" si="203"/>
        <v/>
      </c>
      <c r="E312" s="28" t="str">
        <f t="shared" si="204"/>
        <v/>
      </c>
      <c r="F312" s="29" t="str">
        <f t="shared" si="205"/>
        <v/>
      </c>
      <c r="G312" s="29" t="str">
        <f t="shared" si="206"/>
        <v/>
      </c>
      <c r="H312" s="30" t="str">
        <f t="shared" si="207"/>
        <v/>
      </c>
      <c r="I312" s="30" t="str">
        <f t="shared" si="208"/>
        <v/>
      </c>
      <c r="J312" s="30" t="str">
        <f>IF(A312="","",H312+CUSTOS!B312)</f>
        <v/>
      </c>
      <c r="K312" s="30" t="str">
        <f t="shared" si="230"/>
        <v/>
      </c>
      <c r="L312" s="30" t="str">
        <f t="shared" si="231"/>
        <v/>
      </c>
      <c r="M312" s="30" t="str">
        <f t="shared" si="232"/>
        <v/>
      </c>
      <c r="N312" s="30" t="str">
        <f t="shared" si="209"/>
        <v/>
      </c>
      <c r="O312" s="31" t="str">
        <f t="shared" si="233"/>
        <v/>
      </c>
      <c r="P312" s="32"/>
      <c r="Q312" s="33" t="str">
        <f t="shared" si="210"/>
        <v/>
      </c>
      <c r="R312" s="33" t="str">
        <f t="shared" si="211"/>
        <v/>
      </c>
      <c r="S312" s="33" t="str">
        <f t="shared" si="212"/>
        <v/>
      </c>
      <c r="T312" s="33" t="str">
        <f t="shared" si="213"/>
        <v/>
      </c>
      <c r="U312" s="33" t="str">
        <f t="shared" si="214"/>
        <v/>
      </c>
      <c r="V312" s="33" t="str">
        <f t="shared" si="215"/>
        <v/>
      </c>
      <c r="X312" s="33" t="str">
        <f t="shared" si="201"/>
        <v/>
      </c>
      <c r="Y312" s="30" t="str">
        <f t="shared" si="216"/>
        <v/>
      </c>
      <c r="Z312" s="30" t="str">
        <f t="shared" si="217"/>
        <v/>
      </c>
      <c r="AA312" s="30" t="str">
        <f t="shared" si="218"/>
        <v/>
      </c>
      <c r="AB312" s="30" t="str">
        <f t="shared" si="219"/>
        <v/>
      </c>
      <c r="AD312" s="33" t="str">
        <f t="shared" si="220"/>
        <v/>
      </c>
      <c r="AE312" s="30" t="str">
        <f t="shared" si="221"/>
        <v/>
      </c>
      <c r="AF312" s="30" t="str">
        <f t="shared" si="222"/>
        <v/>
      </c>
      <c r="AG312" s="30" t="str">
        <f t="shared" si="223"/>
        <v/>
      </c>
      <c r="AH312" s="30" t="str">
        <f t="shared" si="224"/>
        <v/>
      </c>
      <c r="AJ312" s="85" t="str">
        <f t="shared" si="234"/>
        <v/>
      </c>
      <c r="AK312" s="86" t="str">
        <f t="shared" si="244"/>
        <v/>
      </c>
      <c r="AL312" s="86" t="str">
        <f t="shared" si="245"/>
        <v/>
      </c>
      <c r="AM312" s="86" t="str">
        <f t="shared" si="246"/>
        <v/>
      </c>
      <c r="AN312" s="86" t="str">
        <f t="shared" si="247"/>
        <v/>
      </c>
      <c r="AO312" s="86" t="str">
        <f t="shared" si="248"/>
        <v/>
      </c>
      <c r="AQ312" s="33" t="str">
        <f t="shared" si="225"/>
        <v/>
      </c>
      <c r="AR312" s="30" t="str">
        <f t="shared" si="226"/>
        <v/>
      </c>
      <c r="AU312" s="20">
        <f t="shared" si="227"/>
        <v>0</v>
      </c>
      <c r="AV312" s="20">
        <f t="shared" si="228"/>
        <v>0</v>
      </c>
      <c r="AW312" s="19">
        <f t="shared" si="235"/>
        <v>0</v>
      </c>
      <c r="AX312" s="19">
        <f t="shared" si="236"/>
        <v>0</v>
      </c>
      <c r="AY312" s="19">
        <f t="shared" si="237"/>
        <v>0</v>
      </c>
      <c r="AZ312" s="19">
        <f t="shared" si="238"/>
        <v>0</v>
      </c>
      <c r="BA312" s="19">
        <f t="shared" si="239"/>
        <v>0</v>
      </c>
      <c r="BB312" s="19">
        <f t="shared" si="240"/>
        <v>0</v>
      </c>
      <c r="BC312" s="19">
        <f t="shared" si="241"/>
        <v>0</v>
      </c>
      <c r="BD312" s="19">
        <f>-IF(CUSTOS!B312="",0,CUSTOS!B312)</f>
        <v>0</v>
      </c>
      <c r="BF312" s="20">
        <f t="shared" si="242"/>
        <v>0</v>
      </c>
      <c r="BG312" s="20">
        <f t="shared" si="243"/>
        <v>0</v>
      </c>
      <c r="BH312" s="116">
        <f t="shared" si="243"/>
        <v>0</v>
      </c>
    </row>
    <row r="313" spans="1:60" ht="15" x14ac:dyDescent="0.25">
      <c r="A313" s="66" t="str">
        <f>IF(LARGE($A$11:A312,1)=$F$2,"",A312+1)</f>
        <v/>
      </c>
      <c r="B313" s="27" t="str">
        <f t="shared" si="202"/>
        <v/>
      </c>
      <c r="C313" s="28" t="str">
        <f t="shared" si="229"/>
        <v/>
      </c>
      <c r="D313" s="28" t="str">
        <f t="shared" si="203"/>
        <v/>
      </c>
      <c r="E313" s="28" t="str">
        <f t="shared" si="204"/>
        <v/>
      </c>
      <c r="F313" s="29" t="str">
        <f t="shared" si="205"/>
        <v/>
      </c>
      <c r="G313" s="29" t="str">
        <f t="shared" si="206"/>
        <v/>
      </c>
      <c r="H313" s="30" t="str">
        <f t="shared" si="207"/>
        <v/>
      </c>
      <c r="I313" s="30" t="str">
        <f t="shared" si="208"/>
        <v/>
      </c>
      <c r="J313" s="30" t="str">
        <f>IF(A313="","",H313+CUSTOS!B313)</f>
        <v/>
      </c>
      <c r="K313" s="30" t="str">
        <f t="shared" si="230"/>
        <v/>
      </c>
      <c r="L313" s="30" t="str">
        <f t="shared" si="231"/>
        <v/>
      </c>
      <c r="M313" s="30" t="str">
        <f t="shared" si="232"/>
        <v/>
      </c>
      <c r="N313" s="30" t="str">
        <f t="shared" si="209"/>
        <v/>
      </c>
      <c r="O313" s="31" t="str">
        <f t="shared" si="233"/>
        <v/>
      </c>
      <c r="P313" s="32"/>
      <c r="Q313" s="33" t="str">
        <f t="shared" si="210"/>
        <v/>
      </c>
      <c r="R313" s="33" t="str">
        <f t="shared" si="211"/>
        <v/>
      </c>
      <c r="S313" s="33" t="str">
        <f t="shared" si="212"/>
        <v/>
      </c>
      <c r="T313" s="33" t="str">
        <f t="shared" si="213"/>
        <v/>
      </c>
      <c r="U313" s="33" t="str">
        <f t="shared" si="214"/>
        <v/>
      </c>
      <c r="V313" s="33" t="str">
        <f t="shared" si="215"/>
        <v/>
      </c>
      <c r="X313" s="33" t="str">
        <f t="shared" si="201"/>
        <v/>
      </c>
      <c r="Y313" s="30" t="str">
        <f t="shared" si="216"/>
        <v/>
      </c>
      <c r="Z313" s="30" t="str">
        <f t="shared" si="217"/>
        <v/>
      </c>
      <c r="AA313" s="30" t="str">
        <f t="shared" si="218"/>
        <v/>
      </c>
      <c r="AB313" s="30" t="str">
        <f t="shared" si="219"/>
        <v/>
      </c>
      <c r="AD313" s="33" t="str">
        <f t="shared" si="220"/>
        <v/>
      </c>
      <c r="AE313" s="30" t="str">
        <f t="shared" si="221"/>
        <v/>
      </c>
      <c r="AF313" s="30" t="str">
        <f t="shared" si="222"/>
        <v/>
      </c>
      <c r="AG313" s="30" t="str">
        <f t="shared" si="223"/>
        <v/>
      </c>
      <c r="AH313" s="30" t="str">
        <f t="shared" si="224"/>
        <v/>
      </c>
      <c r="AJ313" s="85" t="str">
        <f t="shared" si="234"/>
        <v/>
      </c>
      <c r="AK313" s="86" t="str">
        <f t="shared" si="244"/>
        <v/>
      </c>
      <c r="AL313" s="86" t="str">
        <f t="shared" si="245"/>
        <v/>
      </c>
      <c r="AM313" s="86" t="str">
        <f t="shared" si="246"/>
        <v/>
      </c>
      <c r="AN313" s="86" t="str">
        <f t="shared" si="247"/>
        <v/>
      </c>
      <c r="AO313" s="86" t="str">
        <f t="shared" si="248"/>
        <v/>
      </c>
      <c r="AQ313" s="33" t="str">
        <f t="shared" si="225"/>
        <v/>
      </c>
      <c r="AR313" s="30" t="str">
        <f t="shared" si="226"/>
        <v/>
      </c>
      <c r="AU313" s="20">
        <f t="shared" si="227"/>
        <v>0</v>
      </c>
      <c r="AV313" s="20">
        <f t="shared" si="228"/>
        <v>0</v>
      </c>
      <c r="AW313" s="19">
        <f t="shared" si="235"/>
        <v>0</v>
      </c>
      <c r="AX313" s="19">
        <f t="shared" si="236"/>
        <v>0</v>
      </c>
      <c r="AY313" s="19">
        <f t="shared" si="237"/>
        <v>0</v>
      </c>
      <c r="AZ313" s="19">
        <f t="shared" si="238"/>
        <v>0</v>
      </c>
      <c r="BA313" s="19">
        <f t="shared" si="239"/>
        <v>0</v>
      </c>
      <c r="BB313" s="19">
        <f t="shared" si="240"/>
        <v>0</v>
      </c>
      <c r="BC313" s="19">
        <f t="shared" si="241"/>
        <v>0</v>
      </c>
      <c r="BD313" s="19">
        <f>-IF(CUSTOS!B313="",0,CUSTOS!B313)</f>
        <v>0</v>
      </c>
      <c r="BF313" s="20">
        <f t="shared" si="242"/>
        <v>0</v>
      </c>
      <c r="BG313" s="20">
        <f t="shared" si="243"/>
        <v>0</v>
      </c>
      <c r="BH313" s="116">
        <f t="shared" si="243"/>
        <v>0</v>
      </c>
    </row>
    <row r="314" spans="1:60" ht="15" x14ac:dyDescent="0.25">
      <c r="A314" s="66" t="str">
        <f>IF(LARGE($A$11:A313,1)=$F$2,"",A313+1)</f>
        <v/>
      </c>
      <c r="B314" s="27" t="str">
        <f t="shared" si="202"/>
        <v/>
      </c>
      <c r="C314" s="28" t="str">
        <f t="shared" si="229"/>
        <v/>
      </c>
      <c r="D314" s="28" t="str">
        <f t="shared" si="203"/>
        <v/>
      </c>
      <c r="E314" s="28" t="str">
        <f t="shared" si="204"/>
        <v/>
      </c>
      <c r="F314" s="29" t="str">
        <f t="shared" si="205"/>
        <v/>
      </c>
      <c r="G314" s="29" t="str">
        <f t="shared" si="206"/>
        <v/>
      </c>
      <c r="H314" s="30" t="str">
        <f t="shared" si="207"/>
        <v/>
      </c>
      <c r="I314" s="30" t="str">
        <f t="shared" si="208"/>
        <v/>
      </c>
      <c r="J314" s="30" t="str">
        <f>IF(A314="","",H314+CUSTOS!B314)</f>
        <v/>
      </c>
      <c r="K314" s="30" t="str">
        <f t="shared" si="230"/>
        <v/>
      </c>
      <c r="L314" s="30" t="str">
        <f t="shared" si="231"/>
        <v/>
      </c>
      <c r="M314" s="30" t="str">
        <f t="shared" si="232"/>
        <v/>
      </c>
      <c r="N314" s="30" t="str">
        <f t="shared" si="209"/>
        <v/>
      </c>
      <c r="O314" s="31" t="str">
        <f t="shared" si="233"/>
        <v/>
      </c>
      <c r="P314" s="32"/>
      <c r="Q314" s="33" t="str">
        <f t="shared" si="210"/>
        <v/>
      </c>
      <c r="R314" s="33" t="str">
        <f t="shared" si="211"/>
        <v/>
      </c>
      <c r="S314" s="33" t="str">
        <f t="shared" si="212"/>
        <v/>
      </c>
      <c r="T314" s="33" t="str">
        <f t="shared" si="213"/>
        <v/>
      </c>
      <c r="U314" s="33" t="str">
        <f t="shared" si="214"/>
        <v/>
      </c>
      <c r="V314" s="33" t="str">
        <f t="shared" si="215"/>
        <v/>
      </c>
      <c r="X314" s="33" t="str">
        <f t="shared" si="201"/>
        <v/>
      </c>
      <c r="Y314" s="30" t="str">
        <f t="shared" si="216"/>
        <v/>
      </c>
      <c r="Z314" s="30" t="str">
        <f t="shared" si="217"/>
        <v/>
      </c>
      <c r="AA314" s="30" t="str">
        <f t="shared" si="218"/>
        <v/>
      </c>
      <c r="AB314" s="30" t="str">
        <f t="shared" si="219"/>
        <v/>
      </c>
      <c r="AD314" s="33" t="str">
        <f t="shared" si="220"/>
        <v/>
      </c>
      <c r="AE314" s="30" t="str">
        <f t="shared" si="221"/>
        <v/>
      </c>
      <c r="AF314" s="30" t="str">
        <f t="shared" si="222"/>
        <v/>
      </c>
      <c r="AG314" s="30" t="str">
        <f t="shared" si="223"/>
        <v/>
      </c>
      <c r="AH314" s="30" t="str">
        <f t="shared" si="224"/>
        <v/>
      </c>
      <c r="AJ314" s="85" t="str">
        <f t="shared" si="234"/>
        <v/>
      </c>
      <c r="AK314" s="86" t="str">
        <f t="shared" si="244"/>
        <v/>
      </c>
      <c r="AL314" s="86" t="str">
        <f t="shared" si="245"/>
        <v/>
      </c>
      <c r="AM314" s="86" t="str">
        <f t="shared" si="246"/>
        <v/>
      </c>
      <c r="AN314" s="86" t="str">
        <f t="shared" si="247"/>
        <v/>
      </c>
      <c r="AO314" s="86" t="str">
        <f t="shared" si="248"/>
        <v/>
      </c>
      <c r="AQ314" s="33" t="str">
        <f t="shared" si="225"/>
        <v/>
      </c>
      <c r="AR314" s="30" t="str">
        <f t="shared" si="226"/>
        <v/>
      </c>
      <c r="AU314" s="20">
        <f t="shared" si="227"/>
        <v>0</v>
      </c>
      <c r="AV314" s="20">
        <f t="shared" si="228"/>
        <v>0</v>
      </c>
      <c r="AW314" s="19">
        <f t="shared" si="235"/>
        <v>0</v>
      </c>
      <c r="AX314" s="19">
        <f t="shared" si="236"/>
        <v>0</v>
      </c>
      <c r="AY314" s="19">
        <f t="shared" si="237"/>
        <v>0</v>
      </c>
      <c r="AZ314" s="19">
        <f t="shared" si="238"/>
        <v>0</v>
      </c>
      <c r="BA314" s="19">
        <f t="shared" si="239"/>
        <v>0</v>
      </c>
      <c r="BB314" s="19">
        <f t="shared" si="240"/>
        <v>0</v>
      </c>
      <c r="BC314" s="19">
        <f t="shared" si="241"/>
        <v>0</v>
      </c>
      <c r="BD314" s="19">
        <f>-IF(CUSTOS!B314="",0,CUSTOS!B314)</f>
        <v>0</v>
      </c>
      <c r="BF314" s="20">
        <f t="shared" si="242"/>
        <v>0</v>
      </c>
      <c r="BG314" s="20">
        <f t="shared" si="243"/>
        <v>0</v>
      </c>
      <c r="BH314" s="116">
        <f t="shared" si="243"/>
        <v>0</v>
      </c>
    </row>
    <row r="315" spans="1:60" ht="15" x14ac:dyDescent="0.25">
      <c r="A315" s="66" t="str">
        <f>IF(LARGE($A$11:A314,1)=$F$2,"",A314+1)</f>
        <v/>
      </c>
      <c r="B315" s="27" t="str">
        <f t="shared" si="202"/>
        <v/>
      </c>
      <c r="C315" s="28" t="str">
        <f t="shared" si="229"/>
        <v/>
      </c>
      <c r="D315" s="28" t="str">
        <f t="shared" si="203"/>
        <v/>
      </c>
      <c r="E315" s="28" t="str">
        <f t="shared" si="204"/>
        <v/>
      </c>
      <c r="F315" s="29" t="str">
        <f t="shared" si="205"/>
        <v/>
      </c>
      <c r="G315" s="29" t="str">
        <f t="shared" si="206"/>
        <v/>
      </c>
      <c r="H315" s="30" t="str">
        <f t="shared" si="207"/>
        <v/>
      </c>
      <c r="I315" s="30" t="str">
        <f t="shared" si="208"/>
        <v/>
      </c>
      <c r="J315" s="30" t="str">
        <f>IF(A315="","",H315+CUSTOS!B315)</f>
        <v/>
      </c>
      <c r="K315" s="30" t="str">
        <f t="shared" si="230"/>
        <v/>
      </c>
      <c r="L315" s="30" t="str">
        <f t="shared" si="231"/>
        <v/>
      </c>
      <c r="M315" s="30" t="str">
        <f t="shared" si="232"/>
        <v/>
      </c>
      <c r="N315" s="30" t="str">
        <f t="shared" si="209"/>
        <v/>
      </c>
      <c r="O315" s="31" t="str">
        <f t="shared" si="233"/>
        <v/>
      </c>
      <c r="P315" s="32"/>
      <c r="Q315" s="33" t="str">
        <f t="shared" si="210"/>
        <v/>
      </c>
      <c r="R315" s="33" t="str">
        <f t="shared" si="211"/>
        <v/>
      </c>
      <c r="S315" s="33" t="str">
        <f t="shared" si="212"/>
        <v/>
      </c>
      <c r="T315" s="33" t="str">
        <f t="shared" si="213"/>
        <v/>
      </c>
      <c r="U315" s="33" t="str">
        <f t="shared" si="214"/>
        <v/>
      </c>
      <c r="V315" s="33" t="str">
        <f t="shared" si="215"/>
        <v/>
      </c>
      <c r="X315" s="33" t="str">
        <f t="shared" si="201"/>
        <v/>
      </c>
      <c r="Y315" s="30" t="str">
        <f t="shared" si="216"/>
        <v/>
      </c>
      <c r="Z315" s="30" t="str">
        <f t="shared" si="217"/>
        <v/>
      </c>
      <c r="AA315" s="30" t="str">
        <f t="shared" si="218"/>
        <v/>
      </c>
      <c r="AB315" s="30" t="str">
        <f t="shared" si="219"/>
        <v/>
      </c>
      <c r="AD315" s="33" t="str">
        <f t="shared" si="220"/>
        <v/>
      </c>
      <c r="AE315" s="30" t="str">
        <f t="shared" si="221"/>
        <v/>
      </c>
      <c r="AF315" s="30" t="str">
        <f t="shared" si="222"/>
        <v/>
      </c>
      <c r="AG315" s="30" t="str">
        <f t="shared" si="223"/>
        <v/>
      </c>
      <c r="AH315" s="30" t="str">
        <f t="shared" si="224"/>
        <v/>
      </c>
      <c r="AJ315" s="85" t="str">
        <f t="shared" si="234"/>
        <v/>
      </c>
      <c r="AK315" s="86" t="str">
        <f t="shared" si="244"/>
        <v/>
      </c>
      <c r="AL315" s="86" t="str">
        <f t="shared" si="245"/>
        <v/>
      </c>
      <c r="AM315" s="86" t="str">
        <f t="shared" si="246"/>
        <v/>
      </c>
      <c r="AN315" s="86" t="str">
        <f t="shared" si="247"/>
        <v/>
      </c>
      <c r="AO315" s="86" t="str">
        <f t="shared" si="248"/>
        <v/>
      </c>
      <c r="AQ315" s="33" t="str">
        <f t="shared" si="225"/>
        <v/>
      </c>
      <c r="AR315" s="30" t="str">
        <f t="shared" si="226"/>
        <v/>
      </c>
      <c r="AU315" s="20">
        <f t="shared" si="227"/>
        <v>0</v>
      </c>
      <c r="AV315" s="20">
        <f t="shared" si="228"/>
        <v>0</v>
      </c>
      <c r="AW315" s="19">
        <f t="shared" si="235"/>
        <v>0</v>
      </c>
      <c r="AX315" s="19">
        <f t="shared" si="236"/>
        <v>0</v>
      </c>
      <c r="AY315" s="19">
        <f t="shared" si="237"/>
        <v>0</v>
      </c>
      <c r="AZ315" s="19">
        <f t="shared" si="238"/>
        <v>0</v>
      </c>
      <c r="BA315" s="19">
        <f t="shared" si="239"/>
        <v>0</v>
      </c>
      <c r="BB315" s="19">
        <f t="shared" si="240"/>
        <v>0</v>
      </c>
      <c r="BC315" s="19">
        <f t="shared" si="241"/>
        <v>0</v>
      </c>
      <c r="BD315" s="19">
        <f>-IF(CUSTOS!B315="",0,CUSTOS!B315)</f>
        <v>0</v>
      </c>
      <c r="BF315" s="20">
        <f t="shared" si="242"/>
        <v>0</v>
      </c>
      <c r="BG315" s="20">
        <f t="shared" si="243"/>
        <v>0</v>
      </c>
      <c r="BH315" s="116">
        <f t="shared" si="243"/>
        <v>0</v>
      </c>
    </row>
    <row r="316" spans="1:60" ht="15" x14ac:dyDescent="0.25">
      <c r="A316" s="66" t="str">
        <f>IF(LARGE($A$11:A315,1)=$F$2,"",A315+1)</f>
        <v/>
      </c>
      <c r="B316" s="27" t="str">
        <f t="shared" si="202"/>
        <v/>
      </c>
      <c r="C316" s="28" t="str">
        <f t="shared" si="229"/>
        <v/>
      </c>
      <c r="D316" s="28" t="str">
        <f t="shared" si="203"/>
        <v/>
      </c>
      <c r="E316" s="28" t="str">
        <f t="shared" si="204"/>
        <v/>
      </c>
      <c r="F316" s="29" t="str">
        <f t="shared" si="205"/>
        <v/>
      </c>
      <c r="G316" s="29" t="str">
        <f t="shared" si="206"/>
        <v/>
      </c>
      <c r="H316" s="30" t="str">
        <f t="shared" si="207"/>
        <v/>
      </c>
      <c r="I316" s="30" t="str">
        <f t="shared" si="208"/>
        <v/>
      </c>
      <c r="J316" s="30" t="str">
        <f>IF(A316="","",H316+CUSTOS!B316)</f>
        <v/>
      </c>
      <c r="K316" s="30" t="str">
        <f t="shared" si="230"/>
        <v/>
      </c>
      <c r="L316" s="30" t="str">
        <f t="shared" si="231"/>
        <v/>
      </c>
      <c r="M316" s="30" t="str">
        <f t="shared" si="232"/>
        <v/>
      </c>
      <c r="N316" s="30" t="str">
        <f t="shared" si="209"/>
        <v/>
      </c>
      <c r="O316" s="31" t="str">
        <f t="shared" si="233"/>
        <v/>
      </c>
      <c r="P316" s="32"/>
      <c r="Q316" s="33" t="str">
        <f t="shared" si="210"/>
        <v/>
      </c>
      <c r="R316" s="33" t="str">
        <f t="shared" si="211"/>
        <v/>
      </c>
      <c r="S316" s="33" t="str">
        <f t="shared" si="212"/>
        <v/>
      </c>
      <c r="T316" s="33" t="str">
        <f t="shared" si="213"/>
        <v/>
      </c>
      <c r="U316" s="33" t="str">
        <f t="shared" si="214"/>
        <v/>
      </c>
      <c r="V316" s="33" t="str">
        <f t="shared" si="215"/>
        <v/>
      </c>
      <c r="X316" s="33" t="str">
        <f t="shared" si="201"/>
        <v/>
      </c>
      <c r="Y316" s="30" t="str">
        <f t="shared" si="216"/>
        <v/>
      </c>
      <c r="Z316" s="30" t="str">
        <f t="shared" si="217"/>
        <v/>
      </c>
      <c r="AA316" s="30" t="str">
        <f t="shared" si="218"/>
        <v/>
      </c>
      <c r="AB316" s="30" t="str">
        <f t="shared" si="219"/>
        <v/>
      </c>
      <c r="AD316" s="33" t="str">
        <f t="shared" si="220"/>
        <v/>
      </c>
      <c r="AE316" s="30" t="str">
        <f t="shared" si="221"/>
        <v/>
      </c>
      <c r="AF316" s="30" t="str">
        <f t="shared" si="222"/>
        <v/>
      </c>
      <c r="AG316" s="30" t="str">
        <f t="shared" si="223"/>
        <v/>
      </c>
      <c r="AH316" s="30" t="str">
        <f t="shared" si="224"/>
        <v/>
      </c>
      <c r="AJ316" s="85" t="str">
        <f t="shared" si="234"/>
        <v/>
      </c>
      <c r="AK316" s="86" t="str">
        <f t="shared" si="244"/>
        <v/>
      </c>
      <c r="AL316" s="86" t="str">
        <f t="shared" si="245"/>
        <v/>
      </c>
      <c r="AM316" s="86" t="str">
        <f t="shared" si="246"/>
        <v/>
      </c>
      <c r="AN316" s="86" t="str">
        <f t="shared" si="247"/>
        <v/>
      </c>
      <c r="AO316" s="86" t="str">
        <f t="shared" si="248"/>
        <v/>
      </c>
      <c r="AQ316" s="33" t="str">
        <f t="shared" si="225"/>
        <v/>
      </c>
      <c r="AR316" s="30" t="str">
        <f t="shared" si="226"/>
        <v/>
      </c>
      <c r="AU316" s="20">
        <f t="shared" si="227"/>
        <v>0</v>
      </c>
      <c r="AV316" s="20">
        <f t="shared" si="228"/>
        <v>0</v>
      </c>
      <c r="AW316" s="19">
        <f t="shared" si="235"/>
        <v>0</v>
      </c>
      <c r="AX316" s="19">
        <f t="shared" si="236"/>
        <v>0</v>
      </c>
      <c r="AY316" s="19">
        <f t="shared" si="237"/>
        <v>0</v>
      </c>
      <c r="AZ316" s="19">
        <f t="shared" si="238"/>
        <v>0</v>
      </c>
      <c r="BA316" s="19">
        <f t="shared" si="239"/>
        <v>0</v>
      </c>
      <c r="BB316" s="19">
        <f t="shared" si="240"/>
        <v>0</v>
      </c>
      <c r="BC316" s="19">
        <f t="shared" si="241"/>
        <v>0</v>
      </c>
      <c r="BD316" s="19">
        <f>-IF(CUSTOS!B316="",0,CUSTOS!B316)</f>
        <v>0</v>
      </c>
      <c r="BF316" s="20">
        <f t="shared" si="242"/>
        <v>0</v>
      </c>
      <c r="BG316" s="20">
        <f t="shared" si="243"/>
        <v>0</v>
      </c>
      <c r="BH316" s="116">
        <f t="shared" si="243"/>
        <v>0</v>
      </c>
    </row>
    <row r="317" spans="1:60" ht="15" x14ac:dyDescent="0.25">
      <c r="A317" s="66" t="str">
        <f>IF(LARGE($A$11:A316,1)=$F$2,"",A316+1)</f>
        <v/>
      </c>
      <c r="B317" s="27" t="str">
        <f t="shared" si="202"/>
        <v/>
      </c>
      <c r="C317" s="28" t="str">
        <f t="shared" si="229"/>
        <v/>
      </c>
      <c r="D317" s="28" t="str">
        <f t="shared" si="203"/>
        <v/>
      </c>
      <c r="E317" s="28" t="str">
        <f t="shared" si="204"/>
        <v/>
      </c>
      <c r="F317" s="29" t="str">
        <f t="shared" si="205"/>
        <v/>
      </c>
      <c r="G317" s="29" t="str">
        <f t="shared" si="206"/>
        <v/>
      </c>
      <c r="H317" s="30" t="str">
        <f t="shared" si="207"/>
        <v/>
      </c>
      <c r="I317" s="30" t="str">
        <f t="shared" si="208"/>
        <v/>
      </c>
      <c r="J317" s="30" t="str">
        <f>IF(A317="","",H317+CUSTOS!B317)</f>
        <v/>
      </c>
      <c r="K317" s="30" t="str">
        <f t="shared" si="230"/>
        <v/>
      </c>
      <c r="L317" s="30" t="str">
        <f t="shared" si="231"/>
        <v/>
      </c>
      <c r="M317" s="30" t="str">
        <f t="shared" si="232"/>
        <v/>
      </c>
      <c r="N317" s="30" t="str">
        <f t="shared" si="209"/>
        <v/>
      </c>
      <c r="O317" s="31" t="str">
        <f t="shared" si="233"/>
        <v/>
      </c>
      <c r="P317" s="32"/>
      <c r="Q317" s="33" t="str">
        <f t="shared" si="210"/>
        <v/>
      </c>
      <c r="R317" s="33" t="str">
        <f t="shared" si="211"/>
        <v/>
      </c>
      <c r="S317" s="33" t="str">
        <f t="shared" si="212"/>
        <v/>
      </c>
      <c r="T317" s="33" t="str">
        <f t="shared" si="213"/>
        <v/>
      </c>
      <c r="U317" s="33" t="str">
        <f t="shared" si="214"/>
        <v/>
      </c>
      <c r="V317" s="33" t="str">
        <f t="shared" si="215"/>
        <v/>
      </c>
      <c r="X317" s="33" t="str">
        <f t="shared" si="201"/>
        <v/>
      </c>
      <c r="Y317" s="30" t="str">
        <f t="shared" si="216"/>
        <v/>
      </c>
      <c r="Z317" s="30" t="str">
        <f t="shared" si="217"/>
        <v/>
      </c>
      <c r="AA317" s="30" t="str">
        <f t="shared" si="218"/>
        <v/>
      </c>
      <c r="AB317" s="30" t="str">
        <f t="shared" si="219"/>
        <v/>
      </c>
      <c r="AD317" s="33" t="str">
        <f t="shared" si="220"/>
        <v/>
      </c>
      <c r="AE317" s="30" t="str">
        <f t="shared" si="221"/>
        <v/>
      </c>
      <c r="AF317" s="30" t="str">
        <f t="shared" si="222"/>
        <v/>
      </c>
      <c r="AG317" s="30" t="str">
        <f t="shared" si="223"/>
        <v/>
      </c>
      <c r="AH317" s="30" t="str">
        <f t="shared" si="224"/>
        <v/>
      </c>
      <c r="AJ317" s="85" t="str">
        <f t="shared" si="234"/>
        <v/>
      </c>
      <c r="AK317" s="86" t="str">
        <f t="shared" si="244"/>
        <v/>
      </c>
      <c r="AL317" s="86" t="str">
        <f t="shared" si="245"/>
        <v/>
      </c>
      <c r="AM317" s="86" t="str">
        <f t="shared" si="246"/>
        <v/>
      </c>
      <c r="AN317" s="86" t="str">
        <f t="shared" si="247"/>
        <v/>
      </c>
      <c r="AO317" s="86" t="str">
        <f t="shared" si="248"/>
        <v/>
      </c>
      <c r="AQ317" s="33" t="str">
        <f t="shared" si="225"/>
        <v/>
      </c>
      <c r="AR317" s="30" t="str">
        <f t="shared" si="226"/>
        <v/>
      </c>
      <c r="AU317" s="20">
        <f t="shared" si="227"/>
        <v>0</v>
      </c>
      <c r="AV317" s="20">
        <f t="shared" si="228"/>
        <v>0</v>
      </c>
      <c r="AW317" s="19">
        <f t="shared" si="235"/>
        <v>0</v>
      </c>
      <c r="AX317" s="19">
        <f t="shared" si="236"/>
        <v>0</v>
      </c>
      <c r="AY317" s="19">
        <f t="shared" si="237"/>
        <v>0</v>
      </c>
      <c r="AZ317" s="19">
        <f t="shared" si="238"/>
        <v>0</v>
      </c>
      <c r="BA317" s="19">
        <f t="shared" si="239"/>
        <v>0</v>
      </c>
      <c r="BB317" s="19">
        <f t="shared" si="240"/>
        <v>0</v>
      </c>
      <c r="BC317" s="19">
        <f t="shared" si="241"/>
        <v>0</v>
      </c>
      <c r="BD317" s="19">
        <f>-IF(CUSTOS!B317="",0,CUSTOS!B317)</f>
        <v>0</v>
      </c>
      <c r="BF317" s="20">
        <f t="shared" si="242"/>
        <v>0</v>
      </c>
      <c r="BG317" s="20">
        <f t="shared" si="243"/>
        <v>0</v>
      </c>
      <c r="BH317" s="116">
        <f t="shared" si="243"/>
        <v>0</v>
      </c>
    </row>
    <row r="318" spans="1:60" ht="15" x14ac:dyDescent="0.25">
      <c r="A318" s="66" t="str">
        <f>IF(LARGE($A$11:A317,1)=$F$2,"",A317+1)</f>
        <v/>
      </c>
      <c r="B318" s="27" t="str">
        <f t="shared" si="202"/>
        <v/>
      </c>
      <c r="C318" s="28" t="str">
        <f t="shared" si="229"/>
        <v/>
      </c>
      <c r="D318" s="28" t="str">
        <f t="shared" si="203"/>
        <v/>
      </c>
      <c r="E318" s="28" t="str">
        <f t="shared" si="204"/>
        <v/>
      </c>
      <c r="F318" s="29" t="str">
        <f t="shared" si="205"/>
        <v/>
      </c>
      <c r="G318" s="29" t="str">
        <f t="shared" si="206"/>
        <v/>
      </c>
      <c r="H318" s="30" t="str">
        <f t="shared" si="207"/>
        <v/>
      </c>
      <c r="I318" s="30" t="str">
        <f t="shared" si="208"/>
        <v/>
      </c>
      <c r="J318" s="30" t="str">
        <f>IF(A318="","",H318+CUSTOS!B318)</f>
        <v/>
      </c>
      <c r="K318" s="30" t="str">
        <f t="shared" si="230"/>
        <v/>
      </c>
      <c r="L318" s="30" t="str">
        <f t="shared" si="231"/>
        <v/>
      </c>
      <c r="M318" s="30" t="str">
        <f t="shared" si="232"/>
        <v/>
      </c>
      <c r="N318" s="30" t="str">
        <f t="shared" si="209"/>
        <v/>
      </c>
      <c r="O318" s="31" t="str">
        <f t="shared" si="233"/>
        <v/>
      </c>
      <c r="P318" s="32"/>
      <c r="Q318" s="33" t="str">
        <f t="shared" si="210"/>
        <v/>
      </c>
      <c r="R318" s="33" t="str">
        <f t="shared" si="211"/>
        <v/>
      </c>
      <c r="S318" s="33" t="str">
        <f t="shared" si="212"/>
        <v/>
      </c>
      <c r="T318" s="33" t="str">
        <f t="shared" si="213"/>
        <v/>
      </c>
      <c r="U318" s="33" t="str">
        <f t="shared" si="214"/>
        <v/>
      </c>
      <c r="V318" s="33" t="str">
        <f t="shared" si="215"/>
        <v/>
      </c>
      <c r="X318" s="33" t="str">
        <f t="shared" si="201"/>
        <v/>
      </c>
      <c r="Y318" s="30" t="str">
        <f t="shared" si="216"/>
        <v/>
      </c>
      <c r="Z318" s="30" t="str">
        <f t="shared" si="217"/>
        <v/>
      </c>
      <c r="AA318" s="30" t="str">
        <f t="shared" si="218"/>
        <v/>
      </c>
      <c r="AB318" s="30" t="str">
        <f t="shared" si="219"/>
        <v/>
      </c>
      <c r="AD318" s="33" t="str">
        <f t="shared" si="220"/>
        <v/>
      </c>
      <c r="AE318" s="30" t="str">
        <f t="shared" si="221"/>
        <v/>
      </c>
      <c r="AF318" s="30" t="str">
        <f t="shared" si="222"/>
        <v/>
      </c>
      <c r="AG318" s="30" t="str">
        <f t="shared" si="223"/>
        <v/>
      </c>
      <c r="AH318" s="30" t="str">
        <f t="shared" si="224"/>
        <v/>
      </c>
      <c r="AJ318" s="85" t="str">
        <f t="shared" si="234"/>
        <v/>
      </c>
      <c r="AK318" s="86" t="str">
        <f t="shared" si="244"/>
        <v/>
      </c>
      <c r="AL318" s="86" t="str">
        <f t="shared" si="245"/>
        <v/>
      </c>
      <c r="AM318" s="86" t="str">
        <f t="shared" si="246"/>
        <v/>
      </c>
      <c r="AN318" s="86" t="str">
        <f t="shared" si="247"/>
        <v/>
      </c>
      <c r="AO318" s="86" t="str">
        <f t="shared" si="248"/>
        <v/>
      </c>
      <c r="AQ318" s="33" t="str">
        <f t="shared" si="225"/>
        <v/>
      </c>
      <c r="AR318" s="30" t="str">
        <f t="shared" si="226"/>
        <v/>
      </c>
      <c r="AU318" s="20">
        <f t="shared" si="227"/>
        <v>0</v>
      </c>
      <c r="AV318" s="20">
        <f t="shared" si="228"/>
        <v>0</v>
      </c>
      <c r="AW318" s="19">
        <f t="shared" si="235"/>
        <v>0</v>
      </c>
      <c r="AX318" s="19">
        <f t="shared" si="236"/>
        <v>0</v>
      </c>
      <c r="AY318" s="19">
        <f t="shared" si="237"/>
        <v>0</v>
      </c>
      <c r="AZ318" s="19">
        <f t="shared" si="238"/>
        <v>0</v>
      </c>
      <c r="BA318" s="19">
        <f t="shared" si="239"/>
        <v>0</v>
      </c>
      <c r="BB318" s="19">
        <f t="shared" si="240"/>
        <v>0</v>
      </c>
      <c r="BC318" s="19">
        <f t="shared" si="241"/>
        <v>0</v>
      </c>
      <c r="BD318" s="19">
        <f>-IF(CUSTOS!B318="",0,CUSTOS!B318)</f>
        <v>0</v>
      </c>
      <c r="BF318" s="20">
        <f t="shared" si="242"/>
        <v>0</v>
      </c>
      <c r="BG318" s="20">
        <f t="shared" si="243"/>
        <v>0</v>
      </c>
      <c r="BH318" s="116">
        <f t="shared" si="243"/>
        <v>0</v>
      </c>
    </row>
    <row r="319" spans="1:60" ht="15" x14ac:dyDescent="0.25">
      <c r="A319" s="66" t="str">
        <f>IF(LARGE($A$11:A318,1)=$F$2,"",A318+1)</f>
        <v/>
      </c>
      <c r="B319" s="27" t="str">
        <f t="shared" si="202"/>
        <v/>
      </c>
      <c r="C319" s="28" t="str">
        <f t="shared" si="229"/>
        <v/>
      </c>
      <c r="D319" s="28" t="str">
        <f t="shared" si="203"/>
        <v/>
      </c>
      <c r="E319" s="28" t="str">
        <f t="shared" si="204"/>
        <v/>
      </c>
      <c r="F319" s="29" t="str">
        <f t="shared" si="205"/>
        <v/>
      </c>
      <c r="G319" s="29" t="str">
        <f t="shared" si="206"/>
        <v/>
      </c>
      <c r="H319" s="30" t="str">
        <f t="shared" si="207"/>
        <v/>
      </c>
      <c r="I319" s="30" t="str">
        <f t="shared" si="208"/>
        <v/>
      </c>
      <c r="J319" s="30" t="str">
        <f>IF(A319="","",H319+CUSTOS!B319)</f>
        <v/>
      </c>
      <c r="K319" s="30" t="str">
        <f t="shared" si="230"/>
        <v/>
      </c>
      <c r="L319" s="30" t="str">
        <f t="shared" si="231"/>
        <v/>
      </c>
      <c r="M319" s="30" t="str">
        <f t="shared" si="232"/>
        <v/>
      </c>
      <c r="N319" s="30" t="str">
        <f t="shared" si="209"/>
        <v/>
      </c>
      <c r="O319" s="31" t="str">
        <f t="shared" si="233"/>
        <v/>
      </c>
      <c r="P319" s="32"/>
      <c r="Q319" s="33" t="str">
        <f t="shared" si="210"/>
        <v/>
      </c>
      <c r="R319" s="33" t="str">
        <f t="shared" si="211"/>
        <v/>
      </c>
      <c r="S319" s="33" t="str">
        <f t="shared" si="212"/>
        <v/>
      </c>
      <c r="T319" s="33" t="str">
        <f t="shared" si="213"/>
        <v/>
      </c>
      <c r="U319" s="33" t="str">
        <f t="shared" si="214"/>
        <v/>
      </c>
      <c r="V319" s="33" t="str">
        <f t="shared" si="215"/>
        <v/>
      </c>
      <c r="X319" s="33" t="str">
        <f t="shared" si="201"/>
        <v/>
      </c>
      <c r="Y319" s="30" t="str">
        <f t="shared" si="216"/>
        <v/>
      </c>
      <c r="Z319" s="30" t="str">
        <f t="shared" si="217"/>
        <v/>
      </c>
      <c r="AA319" s="30" t="str">
        <f t="shared" si="218"/>
        <v/>
      </c>
      <c r="AB319" s="30" t="str">
        <f t="shared" si="219"/>
        <v/>
      </c>
      <c r="AD319" s="33" t="str">
        <f t="shared" si="220"/>
        <v/>
      </c>
      <c r="AE319" s="30" t="str">
        <f t="shared" si="221"/>
        <v/>
      </c>
      <c r="AF319" s="30" t="str">
        <f t="shared" si="222"/>
        <v/>
      </c>
      <c r="AG319" s="30" t="str">
        <f t="shared" si="223"/>
        <v/>
      </c>
      <c r="AH319" s="30" t="str">
        <f t="shared" si="224"/>
        <v/>
      </c>
      <c r="AJ319" s="85" t="str">
        <f t="shared" si="234"/>
        <v/>
      </c>
      <c r="AK319" s="86" t="str">
        <f t="shared" si="244"/>
        <v/>
      </c>
      <c r="AL319" s="86" t="str">
        <f t="shared" si="245"/>
        <v/>
      </c>
      <c r="AM319" s="86" t="str">
        <f t="shared" si="246"/>
        <v/>
      </c>
      <c r="AN319" s="86" t="str">
        <f t="shared" si="247"/>
        <v/>
      </c>
      <c r="AO319" s="86" t="str">
        <f t="shared" si="248"/>
        <v/>
      </c>
      <c r="AQ319" s="33" t="str">
        <f t="shared" si="225"/>
        <v/>
      </c>
      <c r="AR319" s="30" t="str">
        <f t="shared" si="226"/>
        <v/>
      </c>
      <c r="AU319" s="20">
        <f t="shared" si="227"/>
        <v>0</v>
      </c>
      <c r="AV319" s="20">
        <f t="shared" si="228"/>
        <v>0</v>
      </c>
      <c r="AW319" s="19">
        <f t="shared" si="235"/>
        <v>0</v>
      </c>
      <c r="AX319" s="19">
        <f t="shared" si="236"/>
        <v>0</v>
      </c>
      <c r="AY319" s="19">
        <f t="shared" si="237"/>
        <v>0</v>
      </c>
      <c r="AZ319" s="19">
        <f t="shared" si="238"/>
        <v>0</v>
      </c>
      <c r="BA319" s="19">
        <f t="shared" si="239"/>
        <v>0</v>
      </c>
      <c r="BB319" s="19">
        <f t="shared" si="240"/>
        <v>0</v>
      </c>
      <c r="BC319" s="19">
        <f t="shared" si="241"/>
        <v>0</v>
      </c>
      <c r="BD319" s="19">
        <f>-IF(CUSTOS!B319="",0,CUSTOS!B319)</f>
        <v>0</v>
      </c>
      <c r="BF319" s="20">
        <f t="shared" si="242"/>
        <v>0</v>
      </c>
      <c r="BG319" s="20">
        <f t="shared" si="243"/>
        <v>0</v>
      </c>
      <c r="BH319" s="116">
        <f t="shared" si="243"/>
        <v>0</v>
      </c>
    </row>
    <row r="320" spans="1:60" ht="15" x14ac:dyDescent="0.25">
      <c r="A320" s="66" t="str">
        <f>IF(LARGE($A$11:A319,1)=$F$2,"",A319+1)</f>
        <v/>
      </c>
      <c r="B320" s="27" t="str">
        <f t="shared" si="202"/>
        <v/>
      </c>
      <c r="C320" s="28" t="str">
        <f t="shared" si="229"/>
        <v/>
      </c>
      <c r="D320" s="28" t="str">
        <f t="shared" si="203"/>
        <v/>
      </c>
      <c r="E320" s="28" t="str">
        <f t="shared" si="204"/>
        <v/>
      </c>
      <c r="F320" s="29" t="str">
        <f t="shared" si="205"/>
        <v/>
      </c>
      <c r="G320" s="29" t="str">
        <f t="shared" si="206"/>
        <v/>
      </c>
      <c r="H320" s="30" t="str">
        <f t="shared" si="207"/>
        <v/>
      </c>
      <c r="I320" s="30" t="str">
        <f t="shared" si="208"/>
        <v/>
      </c>
      <c r="J320" s="30" t="str">
        <f>IF(A320="","",H320+CUSTOS!B320)</f>
        <v/>
      </c>
      <c r="K320" s="30" t="str">
        <f t="shared" si="230"/>
        <v/>
      </c>
      <c r="L320" s="30" t="str">
        <f t="shared" si="231"/>
        <v/>
      </c>
      <c r="M320" s="30" t="str">
        <f t="shared" si="232"/>
        <v/>
      </c>
      <c r="N320" s="30" t="str">
        <f t="shared" si="209"/>
        <v/>
      </c>
      <c r="O320" s="31" t="str">
        <f t="shared" si="233"/>
        <v/>
      </c>
      <c r="P320" s="32"/>
      <c r="Q320" s="33" t="str">
        <f t="shared" si="210"/>
        <v/>
      </c>
      <c r="R320" s="33" t="str">
        <f t="shared" si="211"/>
        <v/>
      </c>
      <c r="S320" s="33" t="str">
        <f t="shared" si="212"/>
        <v/>
      </c>
      <c r="T320" s="33" t="str">
        <f t="shared" si="213"/>
        <v/>
      </c>
      <c r="U320" s="33" t="str">
        <f t="shared" si="214"/>
        <v/>
      </c>
      <c r="V320" s="33" t="str">
        <f t="shared" si="215"/>
        <v/>
      </c>
      <c r="X320" s="33" t="str">
        <f t="shared" si="201"/>
        <v/>
      </c>
      <c r="Y320" s="30" t="str">
        <f t="shared" si="216"/>
        <v/>
      </c>
      <c r="Z320" s="30" t="str">
        <f t="shared" si="217"/>
        <v/>
      </c>
      <c r="AA320" s="30" t="str">
        <f t="shared" si="218"/>
        <v/>
      </c>
      <c r="AB320" s="30" t="str">
        <f t="shared" si="219"/>
        <v/>
      </c>
      <c r="AD320" s="33" t="str">
        <f t="shared" si="220"/>
        <v/>
      </c>
      <c r="AE320" s="30" t="str">
        <f t="shared" si="221"/>
        <v/>
      </c>
      <c r="AF320" s="30" t="str">
        <f t="shared" si="222"/>
        <v/>
      </c>
      <c r="AG320" s="30" t="str">
        <f t="shared" si="223"/>
        <v/>
      </c>
      <c r="AH320" s="30" t="str">
        <f t="shared" si="224"/>
        <v/>
      </c>
      <c r="AJ320" s="85" t="str">
        <f t="shared" si="234"/>
        <v/>
      </c>
      <c r="AK320" s="86" t="str">
        <f t="shared" si="244"/>
        <v/>
      </c>
      <c r="AL320" s="86" t="str">
        <f t="shared" si="245"/>
        <v/>
      </c>
      <c r="AM320" s="86" t="str">
        <f t="shared" si="246"/>
        <v/>
      </c>
      <c r="AN320" s="86" t="str">
        <f t="shared" si="247"/>
        <v/>
      </c>
      <c r="AO320" s="86" t="str">
        <f t="shared" si="248"/>
        <v/>
      </c>
      <c r="AQ320" s="33" t="str">
        <f t="shared" si="225"/>
        <v/>
      </c>
      <c r="AR320" s="30" t="str">
        <f t="shared" si="226"/>
        <v/>
      </c>
      <c r="AU320" s="20">
        <f t="shared" si="227"/>
        <v>0</v>
      </c>
      <c r="AV320" s="20">
        <f t="shared" si="228"/>
        <v>0</v>
      </c>
      <c r="AW320" s="19">
        <f t="shared" si="235"/>
        <v>0</v>
      </c>
      <c r="AX320" s="19">
        <f t="shared" si="236"/>
        <v>0</v>
      </c>
      <c r="AY320" s="19">
        <f t="shared" si="237"/>
        <v>0</v>
      </c>
      <c r="AZ320" s="19">
        <f t="shared" si="238"/>
        <v>0</v>
      </c>
      <c r="BA320" s="19">
        <f t="shared" si="239"/>
        <v>0</v>
      </c>
      <c r="BB320" s="19">
        <f t="shared" si="240"/>
        <v>0</v>
      </c>
      <c r="BC320" s="19">
        <f t="shared" si="241"/>
        <v>0</v>
      </c>
      <c r="BD320" s="19">
        <f>-IF(CUSTOS!B320="",0,CUSTOS!B320)</f>
        <v>0</v>
      </c>
      <c r="BF320" s="20">
        <f t="shared" si="242"/>
        <v>0</v>
      </c>
      <c r="BG320" s="20">
        <f t="shared" si="243"/>
        <v>0</v>
      </c>
      <c r="BH320" s="116">
        <f t="shared" si="243"/>
        <v>0</v>
      </c>
    </row>
    <row r="321" spans="1:60" ht="15" x14ac:dyDescent="0.25">
      <c r="A321" s="66" t="str">
        <f>IF(LARGE($A$11:A320,1)=$F$2,"",A320+1)</f>
        <v/>
      </c>
      <c r="B321" s="27" t="str">
        <f t="shared" si="202"/>
        <v/>
      </c>
      <c r="C321" s="28" t="str">
        <f t="shared" si="229"/>
        <v/>
      </c>
      <c r="D321" s="28" t="str">
        <f t="shared" si="203"/>
        <v/>
      </c>
      <c r="E321" s="28" t="str">
        <f t="shared" si="204"/>
        <v/>
      </c>
      <c r="F321" s="29" t="str">
        <f t="shared" si="205"/>
        <v/>
      </c>
      <c r="G321" s="29" t="str">
        <f t="shared" si="206"/>
        <v/>
      </c>
      <c r="H321" s="30" t="str">
        <f t="shared" si="207"/>
        <v/>
      </c>
      <c r="I321" s="30" t="str">
        <f t="shared" si="208"/>
        <v/>
      </c>
      <c r="J321" s="30" t="str">
        <f>IF(A321="","",H321+CUSTOS!B321)</f>
        <v/>
      </c>
      <c r="K321" s="30" t="str">
        <f t="shared" si="230"/>
        <v/>
      </c>
      <c r="L321" s="30" t="str">
        <f t="shared" si="231"/>
        <v/>
      </c>
      <c r="M321" s="30" t="str">
        <f t="shared" si="232"/>
        <v/>
      </c>
      <c r="N321" s="30" t="str">
        <f t="shared" si="209"/>
        <v/>
      </c>
      <c r="O321" s="31" t="str">
        <f t="shared" si="233"/>
        <v/>
      </c>
      <c r="P321" s="32"/>
      <c r="Q321" s="33" t="str">
        <f t="shared" si="210"/>
        <v/>
      </c>
      <c r="R321" s="33" t="str">
        <f t="shared" si="211"/>
        <v/>
      </c>
      <c r="S321" s="33" t="str">
        <f t="shared" si="212"/>
        <v/>
      </c>
      <c r="T321" s="33" t="str">
        <f t="shared" si="213"/>
        <v/>
      </c>
      <c r="U321" s="33" t="str">
        <f t="shared" si="214"/>
        <v/>
      </c>
      <c r="V321" s="33" t="str">
        <f t="shared" si="215"/>
        <v/>
      </c>
      <c r="X321" s="33" t="str">
        <f t="shared" si="201"/>
        <v/>
      </c>
      <c r="Y321" s="30" t="str">
        <f t="shared" si="216"/>
        <v/>
      </c>
      <c r="Z321" s="30" t="str">
        <f t="shared" si="217"/>
        <v/>
      </c>
      <c r="AA321" s="30" t="str">
        <f t="shared" si="218"/>
        <v/>
      </c>
      <c r="AB321" s="30" t="str">
        <f t="shared" si="219"/>
        <v/>
      </c>
      <c r="AD321" s="33" t="str">
        <f t="shared" si="220"/>
        <v/>
      </c>
      <c r="AE321" s="30" t="str">
        <f t="shared" si="221"/>
        <v/>
      </c>
      <c r="AF321" s="30" t="str">
        <f t="shared" si="222"/>
        <v/>
      </c>
      <c r="AG321" s="30" t="str">
        <f t="shared" si="223"/>
        <v/>
      </c>
      <c r="AH321" s="30" t="str">
        <f t="shared" si="224"/>
        <v/>
      </c>
      <c r="AJ321" s="85" t="str">
        <f t="shared" si="234"/>
        <v/>
      </c>
      <c r="AK321" s="86" t="str">
        <f t="shared" si="244"/>
        <v/>
      </c>
      <c r="AL321" s="86" t="str">
        <f t="shared" si="245"/>
        <v/>
      </c>
      <c r="AM321" s="86" t="str">
        <f t="shared" si="246"/>
        <v/>
      </c>
      <c r="AN321" s="86" t="str">
        <f t="shared" si="247"/>
        <v/>
      </c>
      <c r="AO321" s="86" t="str">
        <f t="shared" si="248"/>
        <v/>
      </c>
      <c r="AQ321" s="33" t="str">
        <f t="shared" si="225"/>
        <v/>
      </c>
      <c r="AR321" s="30" t="str">
        <f t="shared" si="226"/>
        <v/>
      </c>
      <c r="AU321" s="20">
        <f t="shared" si="227"/>
        <v>0</v>
      </c>
      <c r="AV321" s="20">
        <f t="shared" si="228"/>
        <v>0</v>
      </c>
      <c r="AW321" s="19">
        <f t="shared" si="235"/>
        <v>0</v>
      </c>
      <c r="AX321" s="19">
        <f t="shared" si="236"/>
        <v>0</v>
      </c>
      <c r="AY321" s="19">
        <f t="shared" si="237"/>
        <v>0</v>
      </c>
      <c r="AZ321" s="19">
        <f t="shared" si="238"/>
        <v>0</v>
      </c>
      <c r="BA321" s="19">
        <f t="shared" si="239"/>
        <v>0</v>
      </c>
      <c r="BB321" s="19">
        <f t="shared" si="240"/>
        <v>0</v>
      </c>
      <c r="BC321" s="19">
        <f t="shared" si="241"/>
        <v>0</v>
      </c>
      <c r="BD321" s="19">
        <f>-IF(CUSTOS!B321="",0,CUSTOS!B321)</f>
        <v>0</v>
      </c>
      <c r="BF321" s="20">
        <f t="shared" si="242"/>
        <v>0</v>
      </c>
      <c r="BG321" s="20">
        <f t="shared" si="243"/>
        <v>0</v>
      </c>
      <c r="BH321" s="116">
        <f t="shared" si="243"/>
        <v>0</v>
      </c>
    </row>
    <row r="322" spans="1:60" ht="15" x14ac:dyDescent="0.25">
      <c r="A322" s="66" t="str">
        <f>IF(LARGE($A$11:A321,1)=$F$2,"",A321+1)</f>
        <v/>
      </c>
      <c r="B322" s="27" t="str">
        <f t="shared" si="202"/>
        <v/>
      </c>
      <c r="C322" s="28" t="str">
        <f t="shared" si="229"/>
        <v/>
      </c>
      <c r="D322" s="28" t="str">
        <f t="shared" si="203"/>
        <v/>
      </c>
      <c r="E322" s="28" t="str">
        <f t="shared" si="204"/>
        <v/>
      </c>
      <c r="F322" s="29" t="str">
        <f t="shared" si="205"/>
        <v/>
      </c>
      <c r="G322" s="29" t="str">
        <f t="shared" si="206"/>
        <v/>
      </c>
      <c r="H322" s="30" t="str">
        <f t="shared" si="207"/>
        <v/>
      </c>
      <c r="I322" s="30" t="str">
        <f t="shared" si="208"/>
        <v/>
      </c>
      <c r="J322" s="30" t="str">
        <f>IF(A322="","",H322+CUSTOS!B322)</f>
        <v/>
      </c>
      <c r="K322" s="30" t="str">
        <f t="shared" si="230"/>
        <v/>
      </c>
      <c r="L322" s="30" t="str">
        <f t="shared" si="231"/>
        <v/>
      </c>
      <c r="M322" s="30" t="str">
        <f t="shared" si="232"/>
        <v/>
      </c>
      <c r="N322" s="30" t="str">
        <f t="shared" si="209"/>
        <v/>
      </c>
      <c r="O322" s="31" t="str">
        <f t="shared" si="233"/>
        <v/>
      </c>
      <c r="P322" s="32"/>
      <c r="Q322" s="33" t="str">
        <f t="shared" si="210"/>
        <v/>
      </c>
      <c r="R322" s="33" t="str">
        <f t="shared" si="211"/>
        <v/>
      </c>
      <c r="S322" s="33" t="str">
        <f t="shared" si="212"/>
        <v/>
      </c>
      <c r="T322" s="33" t="str">
        <f t="shared" si="213"/>
        <v/>
      </c>
      <c r="U322" s="33" t="str">
        <f t="shared" si="214"/>
        <v/>
      </c>
      <c r="V322" s="33" t="str">
        <f t="shared" si="215"/>
        <v/>
      </c>
      <c r="X322" s="33" t="str">
        <f t="shared" si="201"/>
        <v/>
      </c>
      <c r="Y322" s="30" t="str">
        <f t="shared" si="216"/>
        <v/>
      </c>
      <c r="Z322" s="30" t="str">
        <f t="shared" si="217"/>
        <v/>
      </c>
      <c r="AA322" s="30" t="str">
        <f t="shared" si="218"/>
        <v/>
      </c>
      <c r="AB322" s="30" t="str">
        <f t="shared" si="219"/>
        <v/>
      </c>
      <c r="AD322" s="33" t="str">
        <f t="shared" si="220"/>
        <v/>
      </c>
      <c r="AE322" s="30" t="str">
        <f t="shared" si="221"/>
        <v/>
      </c>
      <c r="AF322" s="30" t="str">
        <f t="shared" si="222"/>
        <v/>
      </c>
      <c r="AG322" s="30" t="str">
        <f t="shared" si="223"/>
        <v/>
      </c>
      <c r="AH322" s="30" t="str">
        <f t="shared" si="224"/>
        <v/>
      </c>
      <c r="AJ322" s="85" t="str">
        <f t="shared" si="234"/>
        <v/>
      </c>
      <c r="AK322" s="86" t="str">
        <f t="shared" si="244"/>
        <v/>
      </c>
      <c r="AL322" s="86" t="str">
        <f t="shared" si="245"/>
        <v/>
      </c>
      <c r="AM322" s="86" t="str">
        <f t="shared" si="246"/>
        <v/>
      </c>
      <c r="AN322" s="86" t="str">
        <f t="shared" si="247"/>
        <v/>
      </c>
      <c r="AO322" s="86" t="str">
        <f t="shared" si="248"/>
        <v/>
      </c>
      <c r="AQ322" s="33" t="str">
        <f t="shared" si="225"/>
        <v/>
      </c>
      <c r="AR322" s="30" t="str">
        <f t="shared" si="226"/>
        <v/>
      </c>
      <c r="AU322" s="20">
        <f t="shared" si="227"/>
        <v>0</v>
      </c>
      <c r="AV322" s="20">
        <f t="shared" si="228"/>
        <v>0</v>
      </c>
      <c r="AW322" s="19">
        <f t="shared" si="235"/>
        <v>0</v>
      </c>
      <c r="AX322" s="19">
        <f t="shared" si="236"/>
        <v>0</v>
      </c>
      <c r="AY322" s="19">
        <f t="shared" si="237"/>
        <v>0</v>
      </c>
      <c r="AZ322" s="19">
        <f t="shared" si="238"/>
        <v>0</v>
      </c>
      <c r="BA322" s="19">
        <f t="shared" si="239"/>
        <v>0</v>
      </c>
      <c r="BB322" s="19">
        <f t="shared" si="240"/>
        <v>0</v>
      </c>
      <c r="BC322" s="19">
        <f t="shared" si="241"/>
        <v>0</v>
      </c>
      <c r="BD322" s="19">
        <f>-IF(CUSTOS!B322="",0,CUSTOS!B322)</f>
        <v>0</v>
      </c>
      <c r="BF322" s="20">
        <f t="shared" si="242"/>
        <v>0</v>
      </c>
      <c r="BG322" s="20">
        <f t="shared" si="243"/>
        <v>0</v>
      </c>
      <c r="BH322" s="116">
        <f t="shared" si="243"/>
        <v>0</v>
      </c>
    </row>
    <row r="323" spans="1:60" ht="15" x14ac:dyDescent="0.25">
      <c r="A323" s="66" t="str">
        <f>IF(LARGE($A$11:A322,1)=$F$2,"",A322+1)</f>
        <v/>
      </c>
      <c r="B323" s="27" t="str">
        <f t="shared" si="202"/>
        <v/>
      </c>
      <c r="C323" s="28" t="str">
        <f t="shared" si="229"/>
        <v/>
      </c>
      <c r="D323" s="28" t="str">
        <f t="shared" si="203"/>
        <v/>
      </c>
      <c r="E323" s="28" t="str">
        <f t="shared" si="204"/>
        <v/>
      </c>
      <c r="F323" s="29" t="str">
        <f t="shared" si="205"/>
        <v/>
      </c>
      <c r="G323" s="29" t="str">
        <f t="shared" si="206"/>
        <v/>
      </c>
      <c r="H323" s="30" t="str">
        <f t="shared" si="207"/>
        <v/>
      </c>
      <c r="I323" s="30" t="str">
        <f t="shared" si="208"/>
        <v/>
      </c>
      <c r="J323" s="30" t="str">
        <f>IF(A323="","",H323+CUSTOS!B323)</f>
        <v/>
      </c>
      <c r="K323" s="30" t="str">
        <f t="shared" si="230"/>
        <v/>
      </c>
      <c r="L323" s="30" t="str">
        <f t="shared" si="231"/>
        <v/>
      </c>
      <c r="M323" s="30" t="str">
        <f t="shared" si="232"/>
        <v/>
      </c>
      <c r="N323" s="30" t="str">
        <f t="shared" si="209"/>
        <v/>
      </c>
      <c r="O323" s="31" t="str">
        <f t="shared" si="233"/>
        <v/>
      </c>
      <c r="P323" s="32"/>
      <c r="Q323" s="33" t="str">
        <f t="shared" si="210"/>
        <v/>
      </c>
      <c r="R323" s="33" t="str">
        <f t="shared" si="211"/>
        <v/>
      </c>
      <c r="S323" s="33" t="str">
        <f t="shared" si="212"/>
        <v/>
      </c>
      <c r="T323" s="33" t="str">
        <f t="shared" si="213"/>
        <v/>
      </c>
      <c r="U323" s="33" t="str">
        <f t="shared" si="214"/>
        <v/>
      </c>
      <c r="V323" s="33" t="str">
        <f t="shared" si="215"/>
        <v/>
      </c>
      <c r="X323" s="33" t="str">
        <f t="shared" si="201"/>
        <v/>
      </c>
      <c r="Y323" s="30" t="str">
        <f t="shared" si="216"/>
        <v/>
      </c>
      <c r="Z323" s="30" t="str">
        <f t="shared" si="217"/>
        <v/>
      </c>
      <c r="AA323" s="30" t="str">
        <f t="shared" si="218"/>
        <v/>
      </c>
      <c r="AB323" s="30" t="str">
        <f t="shared" si="219"/>
        <v/>
      </c>
      <c r="AD323" s="33" t="str">
        <f t="shared" si="220"/>
        <v/>
      </c>
      <c r="AE323" s="30" t="str">
        <f t="shared" si="221"/>
        <v/>
      </c>
      <c r="AF323" s="30" t="str">
        <f t="shared" si="222"/>
        <v/>
      </c>
      <c r="AG323" s="30" t="str">
        <f t="shared" si="223"/>
        <v/>
      </c>
      <c r="AH323" s="30" t="str">
        <f t="shared" si="224"/>
        <v/>
      </c>
      <c r="AJ323" s="85" t="str">
        <f t="shared" si="234"/>
        <v/>
      </c>
      <c r="AK323" s="86" t="str">
        <f t="shared" si="244"/>
        <v/>
      </c>
      <c r="AL323" s="86" t="str">
        <f t="shared" si="245"/>
        <v/>
      </c>
      <c r="AM323" s="86" t="str">
        <f t="shared" si="246"/>
        <v/>
      </c>
      <c r="AN323" s="86" t="str">
        <f t="shared" si="247"/>
        <v/>
      </c>
      <c r="AO323" s="86" t="str">
        <f t="shared" si="248"/>
        <v/>
      </c>
      <c r="AQ323" s="33" t="str">
        <f t="shared" si="225"/>
        <v/>
      </c>
      <c r="AR323" s="30" t="str">
        <f t="shared" si="226"/>
        <v/>
      </c>
      <c r="AU323" s="20">
        <f t="shared" si="227"/>
        <v>0</v>
      </c>
      <c r="AV323" s="20">
        <f t="shared" si="228"/>
        <v>0</v>
      </c>
      <c r="AW323" s="19">
        <f t="shared" si="235"/>
        <v>0</v>
      </c>
      <c r="AX323" s="19">
        <f t="shared" si="236"/>
        <v>0</v>
      </c>
      <c r="AY323" s="19">
        <f t="shared" si="237"/>
        <v>0</v>
      </c>
      <c r="AZ323" s="19">
        <f t="shared" si="238"/>
        <v>0</v>
      </c>
      <c r="BA323" s="19">
        <f t="shared" si="239"/>
        <v>0</v>
      </c>
      <c r="BB323" s="19">
        <f t="shared" si="240"/>
        <v>0</v>
      </c>
      <c r="BC323" s="19">
        <f t="shared" si="241"/>
        <v>0</v>
      </c>
      <c r="BD323" s="19">
        <f>-IF(CUSTOS!B323="",0,CUSTOS!B323)</f>
        <v>0</v>
      </c>
      <c r="BF323" s="20">
        <f t="shared" si="242"/>
        <v>0</v>
      </c>
      <c r="BG323" s="20">
        <f t="shared" si="243"/>
        <v>0</v>
      </c>
      <c r="BH323" s="116">
        <f t="shared" si="243"/>
        <v>0</v>
      </c>
    </row>
    <row r="324" spans="1:60" ht="15" x14ac:dyDescent="0.25">
      <c r="A324" s="66" t="str">
        <f>IF(LARGE($A$11:A323,1)=$F$2,"",A323+1)</f>
        <v/>
      </c>
      <c r="B324" s="27" t="str">
        <f t="shared" si="202"/>
        <v/>
      </c>
      <c r="C324" s="28" t="str">
        <f t="shared" si="229"/>
        <v/>
      </c>
      <c r="D324" s="28" t="str">
        <f t="shared" si="203"/>
        <v/>
      </c>
      <c r="E324" s="28" t="str">
        <f t="shared" si="204"/>
        <v/>
      </c>
      <c r="F324" s="29" t="str">
        <f t="shared" si="205"/>
        <v/>
      </c>
      <c r="G324" s="29" t="str">
        <f t="shared" si="206"/>
        <v/>
      </c>
      <c r="H324" s="30" t="str">
        <f t="shared" si="207"/>
        <v/>
      </c>
      <c r="I324" s="30" t="str">
        <f t="shared" si="208"/>
        <v/>
      </c>
      <c r="J324" s="30" t="str">
        <f>IF(A324="","",H324+CUSTOS!B324)</f>
        <v/>
      </c>
      <c r="K324" s="30" t="str">
        <f t="shared" si="230"/>
        <v/>
      </c>
      <c r="L324" s="30" t="str">
        <f t="shared" si="231"/>
        <v/>
      </c>
      <c r="M324" s="30" t="str">
        <f t="shared" si="232"/>
        <v/>
      </c>
      <c r="N324" s="30" t="str">
        <f t="shared" si="209"/>
        <v/>
      </c>
      <c r="O324" s="31" t="str">
        <f t="shared" si="233"/>
        <v/>
      </c>
      <c r="P324" s="32"/>
      <c r="Q324" s="33" t="str">
        <f t="shared" si="210"/>
        <v/>
      </c>
      <c r="R324" s="33" t="str">
        <f t="shared" si="211"/>
        <v/>
      </c>
      <c r="S324" s="33" t="str">
        <f t="shared" si="212"/>
        <v/>
      </c>
      <c r="T324" s="33" t="str">
        <f t="shared" si="213"/>
        <v/>
      </c>
      <c r="U324" s="33" t="str">
        <f t="shared" si="214"/>
        <v/>
      </c>
      <c r="V324" s="33" t="str">
        <f t="shared" si="215"/>
        <v/>
      </c>
      <c r="X324" s="33" t="str">
        <f t="shared" ref="X324:X371" si="249">IF($A324="","",IF($A324&gt;prazo_subp,"",IF($Y$6="PMT [diferença]",J324-IF(Q324="",0,Q324),IF($Y$6="A + J",Y324+Z324,(J324-Q324)*pmt_subp))))</f>
        <v/>
      </c>
      <c r="Y324" s="30" t="str">
        <f t="shared" si="216"/>
        <v/>
      </c>
      <c r="Z324" s="30" t="str">
        <f t="shared" si="217"/>
        <v/>
      </c>
      <c r="AA324" s="30" t="str">
        <f t="shared" si="218"/>
        <v/>
      </c>
      <c r="AB324" s="30" t="str">
        <f t="shared" si="219"/>
        <v/>
      </c>
      <c r="AD324" s="33" t="str">
        <f t="shared" si="220"/>
        <v/>
      </c>
      <c r="AE324" s="30" t="str">
        <f t="shared" si="221"/>
        <v/>
      </c>
      <c r="AF324" s="30" t="str">
        <f t="shared" si="222"/>
        <v/>
      </c>
      <c r="AG324" s="30" t="str">
        <f t="shared" si="223"/>
        <v/>
      </c>
      <c r="AH324" s="30" t="str">
        <f t="shared" si="224"/>
        <v/>
      </c>
      <c r="AJ324" s="85" t="str">
        <f t="shared" si="234"/>
        <v/>
      </c>
      <c r="AK324" s="86" t="str">
        <f t="shared" si="244"/>
        <v/>
      </c>
      <c r="AL324" s="86" t="str">
        <f t="shared" si="245"/>
        <v/>
      </c>
      <c r="AM324" s="86" t="str">
        <f t="shared" si="246"/>
        <v/>
      </c>
      <c r="AN324" s="86" t="str">
        <f t="shared" si="247"/>
        <v/>
      </c>
      <c r="AO324" s="86" t="str">
        <f t="shared" si="248"/>
        <v/>
      </c>
      <c r="AQ324" s="33" t="str">
        <f t="shared" si="225"/>
        <v/>
      </c>
      <c r="AR324" s="30" t="str">
        <f t="shared" si="226"/>
        <v/>
      </c>
      <c r="AU324" s="20">
        <f t="shared" si="227"/>
        <v>0</v>
      </c>
      <c r="AV324" s="20">
        <f t="shared" si="228"/>
        <v>0</v>
      </c>
      <c r="AW324" s="19">
        <f t="shared" si="235"/>
        <v>0</v>
      </c>
      <c r="AX324" s="19">
        <f t="shared" si="236"/>
        <v>0</v>
      </c>
      <c r="AY324" s="19">
        <f t="shared" si="237"/>
        <v>0</v>
      </c>
      <c r="AZ324" s="19">
        <f t="shared" si="238"/>
        <v>0</v>
      </c>
      <c r="BA324" s="19">
        <f t="shared" si="239"/>
        <v>0</v>
      </c>
      <c r="BB324" s="19">
        <f t="shared" si="240"/>
        <v>0</v>
      </c>
      <c r="BC324" s="19">
        <f t="shared" si="241"/>
        <v>0</v>
      </c>
      <c r="BD324" s="19">
        <f>-IF(CUSTOS!B324="",0,CUSTOS!B324)</f>
        <v>0</v>
      </c>
      <c r="BF324" s="20">
        <f t="shared" si="242"/>
        <v>0</v>
      </c>
      <c r="BG324" s="20">
        <f t="shared" si="243"/>
        <v>0</v>
      </c>
      <c r="BH324" s="116">
        <f t="shared" si="243"/>
        <v>0</v>
      </c>
    </row>
    <row r="325" spans="1:60" ht="15" x14ac:dyDescent="0.25">
      <c r="A325" s="66" t="str">
        <f>IF(LARGE($A$11:A324,1)=$F$2,"",A324+1)</f>
        <v/>
      </c>
      <c r="B325" s="27" t="str">
        <f t="shared" si="202"/>
        <v/>
      </c>
      <c r="C325" s="28" t="str">
        <f t="shared" si="229"/>
        <v/>
      </c>
      <c r="D325" s="28" t="str">
        <f t="shared" si="203"/>
        <v/>
      </c>
      <c r="E325" s="28" t="str">
        <f t="shared" si="204"/>
        <v/>
      </c>
      <c r="F325" s="29" t="str">
        <f t="shared" si="205"/>
        <v/>
      </c>
      <c r="G325" s="29" t="str">
        <f t="shared" si="206"/>
        <v/>
      </c>
      <c r="H325" s="30" t="str">
        <f t="shared" si="207"/>
        <v/>
      </c>
      <c r="I325" s="30" t="str">
        <f t="shared" si="208"/>
        <v/>
      </c>
      <c r="J325" s="30" t="str">
        <f>IF(A325="","",H325+CUSTOS!B325)</f>
        <v/>
      </c>
      <c r="K325" s="30" t="str">
        <f t="shared" si="230"/>
        <v/>
      </c>
      <c r="L325" s="30" t="str">
        <f t="shared" si="231"/>
        <v/>
      </c>
      <c r="M325" s="30" t="str">
        <f t="shared" si="232"/>
        <v/>
      </c>
      <c r="N325" s="30" t="str">
        <f t="shared" si="209"/>
        <v/>
      </c>
      <c r="O325" s="31" t="str">
        <f t="shared" si="233"/>
        <v/>
      </c>
      <c r="P325" s="32"/>
      <c r="Q325" s="33" t="str">
        <f t="shared" si="210"/>
        <v/>
      </c>
      <c r="R325" s="33" t="str">
        <f t="shared" si="211"/>
        <v/>
      </c>
      <c r="S325" s="33" t="str">
        <f t="shared" si="212"/>
        <v/>
      </c>
      <c r="T325" s="33" t="str">
        <f t="shared" si="213"/>
        <v/>
      </c>
      <c r="U325" s="33" t="str">
        <f t="shared" si="214"/>
        <v/>
      </c>
      <c r="V325" s="33" t="str">
        <f t="shared" si="215"/>
        <v/>
      </c>
      <c r="X325" s="33" t="str">
        <f t="shared" si="249"/>
        <v/>
      </c>
      <c r="Y325" s="30" t="str">
        <f t="shared" si="216"/>
        <v/>
      </c>
      <c r="Z325" s="30" t="str">
        <f t="shared" si="217"/>
        <v/>
      </c>
      <c r="AA325" s="30" t="str">
        <f t="shared" si="218"/>
        <v/>
      </c>
      <c r="AB325" s="30" t="str">
        <f t="shared" si="219"/>
        <v/>
      </c>
      <c r="AD325" s="33" t="str">
        <f t="shared" si="220"/>
        <v/>
      </c>
      <c r="AE325" s="30" t="str">
        <f t="shared" si="221"/>
        <v/>
      </c>
      <c r="AF325" s="30" t="str">
        <f t="shared" si="222"/>
        <v/>
      </c>
      <c r="AG325" s="30" t="str">
        <f t="shared" si="223"/>
        <v/>
      </c>
      <c r="AH325" s="30" t="str">
        <f t="shared" si="224"/>
        <v/>
      </c>
      <c r="AJ325" s="85" t="str">
        <f t="shared" si="234"/>
        <v/>
      </c>
      <c r="AK325" s="86" t="str">
        <f t="shared" si="244"/>
        <v/>
      </c>
      <c r="AL325" s="86" t="str">
        <f t="shared" si="245"/>
        <v/>
      </c>
      <c r="AM325" s="86" t="str">
        <f t="shared" si="246"/>
        <v/>
      </c>
      <c r="AN325" s="86" t="str">
        <f t="shared" si="247"/>
        <v/>
      </c>
      <c r="AO325" s="86" t="str">
        <f t="shared" si="248"/>
        <v/>
      </c>
      <c r="AQ325" s="33" t="str">
        <f t="shared" si="225"/>
        <v/>
      </c>
      <c r="AR325" s="30" t="str">
        <f t="shared" si="226"/>
        <v/>
      </c>
      <c r="AU325" s="20">
        <f t="shared" si="227"/>
        <v>0</v>
      </c>
      <c r="AV325" s="20">
        <f t="shared" si="228"/>
        <v>0</v>
      </c>
      <c r="AW325" s="19">
        <f t="shared" si="235"/>
        <v>0</v>
      </c>
      <c r="AX325" s="19">
        <f t="shared" si="236"/>
        <v>0</v>
      </c>
      <c r="AY325" s="19">
        <f t="shared" si="237"/>
        <v>0</v>
      </c>
      <c r="AZ325" s="19">
        <f t="shared" si="238"/>
        <v>0</v>
      </c>
      <c r="BA325" s="19">
        <f t="shared" si="239"/>
        <v>0</v>
      </c>
      <c r="BB325" s="19">
        <f t="shared" si="240"/>
        <v>0</v>
      </c>
      <c r="BC325" s="19">
        <f t="shared" si="241"/>
        <v>0</v>
      </c>
      <c r="BD325" s="19">
        <f>-IF(CUSTOS!B325="",0,CUSTOS!B325)</f>
        <v>0</v>
      </c>
      <c r="BF325" s="20">
        <f t="shared" si="242"/>
        <v>0</v>
      </c>
      <c r="BG325" s="20">
        <f t="shared" si="243"/>
        <v>0</v>
      </c>
      <c r="BH325" s="116">
        <f t="shared" si="243"/>
        <v>0</v>
      </c>
    </row>
    <row r="326" spans="1:60" ht="15" x14ac:dyDescent="0.25">
      <c r="A326" s="66" t="str">
        <f>IF(LARGE($A$11:A325,1)=$F$2,"",A325+1)</f>
        <v/>
      </c>
      <c r="B326" s="27" t="str">
        <f t="shared" si="202"/>
        <v/>
      </c>
      <c r="C326" s="28" t="str">
        <f t="shared" si="229"/>
        <v/>
      </c>
      <c r="D326" s="28" t="str">
        <f t="shared" si="203"/>
        <v/>
      </c>
      <c r="E326" s="28" t="str">
        <f t="shared" si="204"/>
        <v/>
      </c>
      <c r="F326" s="29" t="str">
        <f t="shared" si="205"/>
        <v/>
      </c>
      <c r="G326" s="29" t="str">
        <f t="shared" si="206"/>
        <v/>
      </c>
      <c r="H326" s="30" t="str">
        <f t="shared" si="207"/>
        <v/>
      </c>
      <c r="I326" s="30" t="str">
        <f t="shared" si="208"/>
        <v/>
      </c>
      <c r="J326" s="30" t="str">
        <f>IF(A326="","",H326+CUSTOS!B326)</f>
        <v/>
      </c>
      <c r="K326" s="30" t="str">
        <f t="shared" si="230"/>
        <v/>
      </c>
      <c r="L326" s="30" t="str">
        <f t="shared" si="231"/>
        <v/>
      </c>
      <c r="M326" s="30" t="str">
        <f t="shared" si="232"/>
        <v/>
      </c>
      <c r="N326" s="30" t="str">
        <f t="shared" si="209"/>
        <v/>
      </c>
      <c r="O326" s="31" t="str">
        <f t="shared" si="233"/>
        <v/>
      </c>
      <c r="P326" s="32"/>
      <c r="Q326" s="33" t="str">
        <f t="shared" si="210"/>
        <v/>
      </c>
      <c r="R326" s="33" t="str">
        <f t="shared" si="211"/>
        <v/>
      </c>
      <c r="S326" s="33" t="str">
        <f t="shared" si="212"/>
        <v/>
      </c>
      <c r="T326" s="33" t="str">
        <f t="shared" si="213"/>
        <v/>
      </c>
      <c r="U326" s="33" t="str">
        <f t="shared" si="214"/>
        <v/>
      </c>
      <c r="V326" s="33" t="str">
        <f t="shared" si="215"/>
        <v/>
      </c>
      <c r="X326" s="33" t="str">
        <f t="shared" si="249"/>
        <v/>
      </c>
      <c r="Y326" s="30" t="str">
        <f t="shared" si="216"/>
        <v/>
      </c>
      <c r="Z326" s="30" t="str">
        <f t="shared" si="217"/>
        <v/>
      </c>
      <c r="AA326" s="30" t="str">
        <f t="shared" si="218"/>
        <v/>
      </c>
      <c r="AB326" s="30" t="str">
        <f t="shared" si="219"/>
        <v/>
      </c>
      <c r="AD326" s="33" t="str">
        <f t="shared" si="220"/>
        <v/>
      </c>
      <c r="AE326" s="30" t="str">
        <f t="shared" si="221"/>
        <v/>
      </c>
      <c r="AF326" s="30" t="str">
        <f t="shared" si="222"/>
        <v/>
      </c>
      <c r="AG326" s="30" t="str">
        <f t="shared" si="223"/>
        <v/>
      </c>
      <c r="AH326" s="30" t="str">
        <f t="shared" si="224"/>
        <v/>
      </c>
      <c r="AJ326" s="85" t="str">
        <f t="shared" si="234"/>
        <v/>
      </c>
      <c r="AK326" s="86" t="str">
        <f t="shared" si="244"/>
        <v/>
      </c>
      <c r="AL326" s="86" t="str">
        <f t="shared" si="245"/>
        <v/>
      </c>
      <c r="AM326" s="86" t="str">
        <f t="shared" si="246"/>
        <v/>
      </c>
      <c r="AN326" s="86" t="str">
        <f t="shared" si="247"/>
        <v/>
      </c>
      <c r="AO326" s="86" t="str">
        <f t="shared" si="248"/>
        <v/>
      </c>
      <c r="AQ326" s="33" t="str">
        <f t="shared" si="225"/>
        <v/>
      </c>
      <c r="AR326" s="30" t="str">
        <f t="shared" si="226"/>
        <v/>
      </c>
      <c r="AU326" s="20">
        <f t="shared" si="227"/>
        <v>0</v>
      </c>
      <c r="AV326" s="20">
        <f t="shared" si="228"/>
        <v>0</v>
      </c>
      <c r="AW326" s="19">
        <f t="shared" si="235"/>
        <v>0</v>
      </c>
      <c r="AX326" s="19">
        <f t="shared" si="236"/>
        <v>0</v>
      </c>
      <c r="AY326" s="19">
        <f t="shared" si="237"/>
        <v>0</v>
      </c>
      <c r="AZ326" s="19">
        <f t="shared" si="238"/>
        <v>0</v>
      </c>
      <c r="BA326" s="19">
        <f t="shared" si="239"/>
        <v>0</v>
      </c>
      <c r="BB326" s="19">
        <f t="shared" si="240"/>
        <v>0</v>
      </c>
      <c r="BC326" s="19">
        <f t="shared" si="241"/>
        <v>0</v>
      </c>
      <c r="BD326" s="19">
        <f>-IF(CUSTOS!B326="",0,CUSTOS!B326)</f>
        <v>0</v>
      </c>
      <c r="BF326" s="20">
        <f t="shared" si="242"/>
        <v>0</v>
      </c>
      <c r="BG326" s="20">
        <f t="shared" si="243"/>
        <v>0</v>
      </c>
      <c r="BH326" s="116">
        <f t="shared" si="243"/>
        <v>0</v>
      </c>
    </row>
    <row r="327" spans="1:60" ht="15" x14ac:dyDescent="0.25">
      <c r="A327" s="66" t="str">
        <f>IF(LARGE($A$11:A326,1)=$F$2,"",A326+1)</f>
        <v/>
      </c>
      <c r="B327" s="27" t="str">
        <f t="shared" si="202"/>
        <v/>
      </c>
      <c r="C327" s="28" t="str">
        <f t="shared" si="229"/>
        <v/>
      </c>
      <c r="D327" s="28" t="str">
        <f t="shared" si="203"/>
        <v/>
      </c>
      <c r="E327" s="28" t="str">
        <f t="shared" si="204"/>
        <v/>
      </c>
      <c r="F327" s="29" t="str">
        <f t="shared" si="205"/>
        <v/>
      </c>
      <c r="G327" s="29" t="str">
        <f t="shared" si="206"/>
        <v/>
      </c>
      <c r="H327" s="30" t="str">
        <f t="shared" si="207"/>
        <v/>
      </c>
      <c r="I327" s="30" t="str">
        <f t="shared" si="208"/>
        <v/>
      </c>
      <c r="J327" s="30" t="str">
        <f>IF(A327="","",H327+CUSTOS!B327)</f>
        <v/>
      </c>
      <c r="K327" s="30" t="str">
        <f t="shared" si="230"/>
        <v/>
      </c>
      <c r="L327" s="30" t="str">
        <f t="shared" si="231"/>
        <v/>
      </c>
      <c r="M327" s="30" t="str">
        <f t="shared" si="232"/>
        <v/>
      </c>
      <c r="N327" s="30" t="str">
        <f t="shared" si="209"/>
        <v/>
      </c>
      <c r="O327" s="31" t="str">
        <f t="shared" si="233"/>
        <v/>
      </c>
      <c r="P327" s="32"/>
      <c r="Q327" s="33" t="str">
        <f t="shared" si="210"/>
        <v/>
      </c>
      <c r="R327" s="33" t="str">
        <f t="shared" si="211"/>
        <v/>
      </c>
      <c r="S327" s="33" t="str">
        <f t="shared" si="212"/>
        <v/>
      </c>
      <c r="T327" s="33" t="str">
        <f t="shared" si="213"/>
        <v/>
      </c>
      <c r="U327" s="33" t="str">
        <f t="shared" si="214"/>
        <v/>
      </c>
      <c r="V327" s="33" t="str">
        <f t="shared" si="215"/>
        <v/>
      </c>
      <c r="X327" s="33" t="str">
        <f t="shared" si="249"/>
        <v/>
      </c>
      <c r="Y327" s="30" t="str">
        <f t="shared" si="216"/>
        <v/>
      </c>
      <c r="Z327" s="30" t="str">
        <f t="shared" si="217"/>
        <v/>
      </c>
      <c r="AA327" s="30" t="str">
        <f t="shared" si="218"/>
        <v/>
      </c>
      <c r="AB327" s="30" t="str">
        <f t="shared" si="219"/>
        <v/>
      </c>
      <c r="AD327" s="33" t="str">
        <f t="shared" si="220"/>
        <v/>
      </c>
      <c r="AE327" s="30" t="str">
        <f t="shared" si="221"/>
        <v/>
      </c>
      <c r="AF327" s="30" t="str">
        <f t="shared" si="222"/>
        <v/>
      </c>
      <c r="AG327" s="30" t="str">
        <f t="shared" si="223"/>
        <v/>
      </c>
      <c r="AH327" s="30" t="str">
        <f t="shared" si="224"/>
        <v/>
      </c>
      <c r="AJ327" s="85" t="str">
        <f t="shared" si="234"/>
        <v/>
      </c>
      <c r="AK327" s="86" t="str">
        <f t="shared" si="244"/>
        <v/>
      </c>
      <c r="AL327" s="86" t="str">
        <f t="shared" si="245"/>
        <v/>
      </c>
      <c r="AM327" s="86" t="str">
        <f t="shared" si="246"/>
        <v/>
      </c>
      <c r="AN327" s="86" t="str">
        <f t="shared" si="247"/>
        <v/>
      </c>
      <c r="AO327" s="86" t="str">
        <f t="shared" si="248"/>
        <v/>
      </c>
      <c r="AQ327" s="33" t="str">
        <f t="shared" si="225"/>
        <v/>
      </c>
      <c r="AR327" s="30" t="str">
        <f t="shared" si="226"/>
        <v/>
      </c>
      <c r="AU327" s="20">
        <f t="shared" si="227"/>
        <v>0</v>
      </c>
      <c r="AV327" s="20">
        <f t="shared" si="228"/>
        <v>0</v>
      </c>
      <c r="AW327" s="19">
        <f t="shared" si="235"/>
        <v>0</v>
      </c>
      <c r="AX327" s="19">
        <f t="shared" si="236"/>
        <v>0</v>
      </c>
      <c r="AY327" s="19">
        <f t="shared" si="237"/>
        <v>0</v>
      </c>
      <c r="AZ327" s="19">
        <f t="shared" si="238"/>
        <v>0</v>
      </c>
      <c r="BA327" s="19">
        <f t="shared" si="239"/>
        <v>0</v>
      </c>
      <c r="BB327" s="19">
        <f t="shared" si="240"/>
        <v>0</v>
      </c>
      <c r="BC327" s="19">
        <f t="shared" si="241"/>
        <v>0</v>
      </c>
      <c r="BD327" s="19">
        <f>-IF(CUSTOS!B327="",0,CUSTOS!B327)</f>
        <v>0</v>
      </c>
      <c r="BF327" s="20">
        <f t="shared" si="242"/>
        <v>0</v>
      </c>
      <c r="BG327" s="20">
        <f t="shared" si="243"/>
        <v>0</v>
      </c>
      <c r="BH327" s="116">
        <f t="shared" si="243"/>
        <v>0</v>
      </c>
    </row>
    <row r="328" spans="1:60" ht="15" x14ac:dyDescent="0.25">
      <c r="A328" s="66" t="str">
        <f>IF(LARGE($A$11:A327,1)=$F$2,"",A327+1)</f>
        <v/>
      </c>
      <c r="B328" s="27" t="str">
        <f t="shared" si="202"/>
        <v/>
      </c>
      <c r="C328" s="28" t="str">
        <f t="shared" si="229"/>
        <v/>
      </c>
      <c r="D328" s="28" t="str">
        <f t="shared" si="203"/>
        <v/>
      </c>
      <c r="E328" s="28" t="str">
        <f t="shared" si="204"/>
        <v/>
      </c>
      <c r="F328" s="29" t="str">
        <f t="shared" si="205"/>
        <v/>
      </c>
      <c r="G328" s="29" t="str">
        <f t="shared" si="206"/>
        <v/>
      </c>
      <c r="H328" s="30" t="str">
        <f t="shared" si="207"/>
        <v/>
      </c>
      <c r="I328" s="30" t="str">
        <f t="shared" si="208"/>
        <v/>
      </c>
      <c r="J328" s="30" t="str">
        <f>IF(A328="","",H328+CUSTOS!B328)</f>
        <v/>
      </c>
      <c r="K328" s="30" t="str">
        <f t="shared" si="230"/>
        <v/>
      </c>
      <c r="L328" s="30" t="str">
        <f t="shared" si="231"/>
        <v/>
      </c>
      <c r="M328" s="30" t="str">
        <f t="shared" si="232"/>
        <v/>
      </c>
      <c r="N328" s="30" t="str">
        <f t="shared" si="209"/>
        <v/>
      </c>
      <c r="O328" s="31" t="str">
        <f t="shared" si="233"/>
        <v/>
      </c>
      <c r="P328" s="32"/>
      <c r="Q328" s="33" t="str">
        <f t="shared" si="210"/>
        <v/>
      </c>
      <c r="R328" s="33" t="str">
        <f t="shared" si="211"/>
        <v/>
      </c>
      <c r="S328" s="33" t="str">
        <f t="shared" si="212"/>
        <v/>
      </c>
      <c r="T328" s="33" t="str">
        <f t="shared" si="213"/>
        <v/>
      </c>
      <c r="U328" s="33" t="str">
        <f t="shared" si="214"/>
        <v/>
      </c>
      <c r="V328" s="33" t="str">
        <f t="shared" si="215"/>
        <v/>
      </c>
      <c r="X328" s="33" t="str">
        <f t="shared" si="249"/>
        <v/>
      </c>
      <c r="Y328" s="30" t="str">
        <f t="shared" si="216"/>
        <v/>
      </c>
      <c r="Z328" s="30" t="str">
        <f t="shared" si="217"/>
        <v/>
      </c>
      <c r="AA328" s="30" t="str">
        <f t="shared" si="218"/>
        <v/>
      </c>
      <c r="AB328" s="30" t="str">
        <f t="shared" si="219"/>
        <v/>
      </c>
      <c r="AD328" s="33" t="str">
        <f t="shared" si="220"/>
        <v/>
      </c>
      <c r="AE328" s="30" t="str">
        <f t="shared" si="221"/>
        <v/>
      </c>
      <c r="AF328" s="30" t="str">
        <f t="shared" si="222"/>
        <v/>
      </c>
      <c r="AG328" s="30" t="str">
        <f t="shared" si="223"/>
        <v/>
      </c>
      <c r="AH328" s="30" t="str">
        <f t="shared" si="224"/>
        <v/>
      </c>
      <c r="AJ328" s="85" t="str">
        <f t="shared" si="234"/>
        <v/>
      </c>
      <c r="AK328" s="86" t="str">
        <f t="shared" si="244"/>
        <v/>
      </c>
      <c r="AL328" s="86" t="str">
        <f t="shared" si="245"/>
        <v/>
      </c>
      <c r="AM328" s="86" t="str">
        <f t="shared" si="246"/>
        <v/>
      </c>
      <c r="AN328" s="86" t="str">
        <f t="shared" si="247"/>
        <v/>
      </c>
      <c r="AO328" s="86" t="str">
        <f t="shared" si="248"/>
        <v/>
      </c>
      <c r="AQ328" s="33" t="str">
        <f t="shared" si="225"/>
        <v/>
      </c>
      <c r="AR328" s="30" t="str">
        <f t="shared" si="226"/>
        <v/>
      </c>
      <c r="AU328" s="20">
        <f t="shared" si="227"/>
        <v>0</v>
      </c>
      <c r="AV328" s="20">
        <f t="shared" si="228"/>
        <v>0</v>
      </c>
      <c r="AW328" s="19">
        <f t="shared" si="235"/>
        <v>0</v>
      </c>
      <c r="AX328" s="19">
        <f t="shared" si="236"/>
        <v>0</v>
      </c>
      <c r="AY328" s="19">
        <f t="shared" si="237"/>
        <v>0</v>
      </c>
      <c r="AZ328" s="19">
        <f t="shared" si="238"/>
        <v>0</v>
      </c>
      <c r="BA328" s="19">
        <f t="shared" si="239"/>
        <v>0</v>
      </c>
      <c r="BB328" s="19">
        <f t="shared" si="240"/>
        <v>0</v>
      </c>
      <c r="BC328" s="19">
        <f t="shared" si="241"/>
        <v>0</v>
      </c>
      <c r="BD328" s="19">
        <f>-IF(CUSTOS!B328="",0,CUSTOS!B328)</f>
        <v>0</v>
      </c>
      <c r="BF328" s="20">
        <f t="shared" si="242"/>
        <v>0</v>
      </c>
      <c r="BG328" s="20">
        <f t="shared" si="243"/>
        <v>0</v>
      </c>
      <c r="BH328" s="116">
        <f t="shared" si="243"/>
        <v>0</v>
      </c>
    </row>
    <row r="329" spans="1:60" ht="15" x14ac:dyDescent="0.25">
      <c r="A329" s="66" t="str">
        <f>IF(LARGE($A$11:A328,1)=$F$2,"",A328+1)</f>
        <v/>
      </c>
      <c r="B329" s="27" t="str">
        <f t="shared" si="202"/>
        <v/>
      </c>
      <c r="C329" s="28" t="str">
        <f t="shared" si="229"/>
        <v/>
      </c>
      <c r="D329" s="28" t="str">
        <f t="shared" si="203"/>
        <v/>
      </c>
      <c r="E329" s="28" t="str">
        <f t="shared" si="204"/>
        <v/>
      </c>
      <c r="F329" s="29" t="str">
        <f t="shared" si="205"/>
        <v/>
      </c>
      <c r="G329" s="29" t="str">
        <f t="shared" si="206"/>
        <v/>
      </c>
      <c r="H329" s="30" t="str">
        <f t="shared" si="207"/>
        <v/>
      </c>
      <c r="I329" s="30" t="str">
        <f t="shared" si="208"/>
        <v/>
      </c>
      <c r="J329" s="30" t="str">
        <f>IF(A329="","",H329+CUSTOS!B329)</f>
        <v/>
      </c>
      <c r="K329" s="30" t="str">
        <f t="shared" si="230"/>
        <v/>
      </c>
      <c r="L329" s="30" t="str">
        <f t="shared" si="231"/>
        <v/>
      </c>
      <c r="M329" s="30" t="str">
        <f t="shared" si="232"/>
        <v/>
      </c>
      <c r="N329" s="30" t="str">
        <f t="shared" si="209"/>
        <v/>
      </c>
      <c r="O329" s="31" t="str">
        <f t="shared" si="233"/>
        <v/>
      </c>
      <c r="P329" s="32"/>
      <c r="Q329" s="33" t="str">
        <f t="shared" si="210"/>
        <v/>
      </c>
      <c r="R329" s="33" t="str">
        <f t="shared" si="211"/>
        <v/>
      </c>
      <c r="S329" s="33" t="str">
        <f t="shared" si="212"/>
        <v/>
      </c>
      <c r="T329" s="33" t="str">
        <f t="shared" si="213"/>
        <v/>
      </c>
      <c r="U329" s="33" t="str">
        <f t="shared" si="214"/>
        <v/>
      </c>
      <c r="V329" s="33" t="str">
        <f t="shared" si="215"/>
        <v/>
      </c>
      <c r="X329" s="33" t="str">
        <f t="shared" si="249"/>
        <v/>
      </c>
      <c r="Y329" s="30" t="str">
        <f t="shared" si="216"/>
        <v/>
      </c>
      <c r="Z329" s="30" t="str">
        <f t="shared" si="217"/>
        <v/>
      </c>
      <c r="AA329" s="30" t="str">
        <f t="shared" si="218"/>
        <v/>
      </c>
      <c r="AB329" s="30" t="str">
        <f t="shared" si="219"/>
        <v/>
      </c>
      <c r="AD329" s="33" t="str">
        <f t="shared" si="220"/>
        <v/>
      </c>
      <c r="AE329" s="30" t="str">
        <f t="shared" si="221"/>
        <v/>
      </c>
      <c r="AF329" s="30" t="str">
        <f t="shared" si="222"/>
        <v/>
      </c>
      <c r="AG329" s="30" t="str">
        <f t="shared" si="223"/>
        <v/>
      </c>
      <c r="AH329" s="30" t="str">
        <f t="shared" si="224"/>
        <v/>
      </c>
      <c r="AJ329" s="85" t="str">
        <f t="shared" si="234"/>
        <v/>
      </c>
      <c r="AK329" s="86" t="str">
        <f t="shared" si="244"/>
        <v/>
      </c>
      <c r="AL329" s="86" t="str">
        <f t="shared" si="245"/>
        <v/>
      </c>
      <c r="AM329" s="86" t="str">
        <f t="shared" si="246"/>
        <v/>
      </c>
      <c r="AN329" s="86" t="str">
        <f t="shared" si="247"/>
        <v/>
      </c>
      <c r="AO329" s="86" t="str">
        <f t="shared" si="248"/>
        <v/>
      </c>
      <c r="AQ329" s="33" t="str">
        <f t="shared" si="225"/>
        <v/>
      </c>
      <c r="AR329" s="30" t="str">
        <f t="shared" si="226"/>
        <v/>
      </c>
      <c r="AU329" s="20">
        <f t="shared" si="227"/>
        <v>0</v>
      </c>
      <c r="AV329" s="20">
        <f t="shared" si="228"/>
        <v>0</v>
      </c>
      <c r="AW329" s="19">
        <f t="shared" si="235"/>
        <v>0</v>
      </c>
      <c r="AX329" s="19">
        <f t="shared" si="236"/>
        <v>0</v>
      </c>
      <c r="AY329" s="19">
        <f t="shared" si="237"/>
        <v>0</v>
      </c>
      <c r="AZ329" s="19">
        <f t="shared" si="238"/>
        <v>0</v>
      </c>
      <c r="BA329" s="19">
        <f t="shared" si="239"/>
        <v>0</v>
      </c>
      <c r="BB329" s="19">
        <f t="shared" si="240"/>
        <v>0</v>
      </c>
      <c r="BC329" s="19">
        <f t="shared" si="241"/>
        <v>0</v>
      </c>
      <c r="BD329" s="19">
        <f>-IF(CUSTOS!B329="",0,CUSTOS!B329)</f>
        <v>0</v>
      </c>
      <c r="BF329" s="20">
        <f t="shared" si="242"/>
        <v>0</v>
      </c>
      <c r="BG329" s="20">
        <f t="shared" si="243"/>
        <v>0</v>
      </c>
      <c r="BH329" s="116">
        <f t="shared" si="243"/>
        <v>0</v>
      </c>
    </row>
    <row r="330" spans="1:60" ht="15" x14ac:dyDescent="0.25">
      <c r="A330" s="66" t="str">
        <f>IF(LARGE($A$11:A329,1)=$F$2,"",A329+1)</f>
        <v/>
      </c>
      <c r="B330" s="27" t="str">
        <f t="shared" si="202"/>
        <v/>
      </c>
      <c r="C330" s="28" t="str">
        <f t="shared" si="229"/>
        <v/>
      </c>
      <c r="D330" s="28" t="str">
        <f t="shared" si="203"/>
        <v/>
      </c>
      <c r="E330" s="28" t="str">
        <f t="shared" si="204"/>
        <v/>
      </c>
      <c r="F330" s="29" t="str">
        <f t="shared" si="205"/>
        <v/>
      </c>
      <c r="G330" s="29" t="str">
        <f t="shared" si="206"/>
        <v/>
      </c>
      <c r="H330" s="30" t="str">
        <f t="shared" si="207"/>
        <v/>
      </c>
      <c r="I330" s="30" t="str">
        <f t="shared" si="208"/>
        <v/>
      </c>
      <c r="J330" s="30" t="str">
        <f>IF(A330="","",H330+CUSTOS!B330)</f>
        <v/>
      </c>
      <c r="K330" s="30" t="str">
        <f t="shared" si="230"/>
        <v/>
      </c>
      <c r="L330" s="30" t="str">
        <f t="shared" si="231"/>
        <v/>
      </c>
      <c r="M330" s="30" t="str">
        <f t="shared" si="232"/>
        <v/>
      </c>
      <c r="N330" s="30" t="str">
        <f t="shared" si="209"/>
        <v/>
      </c>
      <c r="O330" s="31" t="str">
        <f t="shared" si="233"/>
        <v/>
      </c>
      <c r="P330" s="32"/>
      <c r="Q330" s="33" t="str">
        <f t="shared" si="210"/>
        <v/>
      </c>
      <c r="R330" s="33" t="str">
        <f t="shared" si="211"/>
        <v/>
      </c>
      <c r="S330" s="33" t="str">
        <f t="shared" si="212"/>
        <v/>
      </c>
      <c r="T330" s="33" t="str">
        <f t="shared" si="213"/>
        <v/>
      </c>
      <c r="U330" s="33" t="str">
        <f t="shared" si="214"/>
        <v/>
      </c>
      <c r="V330" s="33" t="str">
        <f t="shared" si="215"/>
        <v/>
      </c>
      <c r="X330" s="33" t="str">
        <f t="shared" si="249"/>
        <v/>
      </c>
      <c r="Y330" s="30" t="str">
        <f t="shared" si="216"/>
        <v/>
      </c>
      <c r="Z330" s="30" t="str">
        <f t="shared" si="217"/>
        <v/>
      </c>
      <c r="AA330" s="30" t="str">
        <f t="shared" si="218"/>
        <v/>
      </c>
      <c r="AB330" s="30" t="str">
        <f t="shared" si="219"/>
        <v/>
      </c>
      <c r="AD330" s="33" t="str">
        <f t="shared" si="220"/>
        <v/>
      </c>
      <c r="AE330" s="30" t="str">
        <f t="shared" si="221"/>
        <v/>
      </c>
      <c r="AF330" s="30" t="str">
        <f t="shared" si="222"/>
        <v/>
      </c>
      <c r="AG330" s="30" t="str">
        <f t="shared" si="223"/>
        <v/>
      </c>
      <c r="AH330" s="30" t="str">
        <f t="shared" si="224"/>
        <v/>
      </c>
      <c r="AJ330" s="85" t="str">
        <f t="shared" si="234"/>
        <v/>
      </c>
      <c r="AK330" s="86" t="str">
        <f t="shared" si="244"/>
        <v/>
      </c>
      <c r="AL330" s="86" t="str">
        <f t="shared" si="245"/>
        <v/>
      </c>
      <c r="AM330" s="86" t="str">
        <f t="shared" si="246"/>
        <v/>
      </c>
      <c r="AN330" s="86" t="str">
        <f t="shared" si="247"/>
        <v/>
      </c>
      <c r="AO330" s="86" t="str">
        <f t="shared" si="248"/>
        <v/>
      </c>
      <c r="AQ330" s="33" t="str">
        <f t="shared" si="225"/>
        <v/>
      </c>
      <c r="AR330" s="30" t="str">
        <f t="shared" si="226"/>
        <v/>
      </c>
      <c r="AU330" s="20">
        <f t="shared" si="227"/>
        <v>0</v>
      </c>
      <c r="AV330" s="20">
        <f t="shared" si="228"/>
        <v>0</v>
      </c>
      <c r="AW330" s="19">
        <f t="shared" si="235"/>
        <v>0</v>
      </c>
      <c r="AX330" s="19">
        <f t="shared" si="236"/>
        <v>0</v>
      </c>
      <c r="AY330" s="19">
        <f t="shared" si="237"/>
        <v>0</v>
      </c>
      <c r="AZ330" s="19">
        <f t="shared" si="238"/>
        <v>0</v>
      </c>
      <c r="BA330" s="19">
        <f t="shared" si="239"/>
        <v>0</v>
      </c>
      <c r="BB330" s="19">
        <f t="shared" si="240"/>
        <v>0</v>
      </c>
      <c r="BC330" s="19">
        <f t="shared" si="241"/>
        <v>0</v>
      </c>
      <c r="BD330" s="19">
        <f>-IF(CUSTOS!B330="",0,CUSTOS!B330)</f>
        <v>0</v>
      </c>
      <c r="BF330" s="20">
        <f t="shared" si="242"/>
        <v>0</v>
      </c>
      <c r="BG330" s="20">
        <f t="shared" si="243"/>
        <v>0</v>
      </c>
      <c r="BH330" s="116">
        <f t="shared" si="243"/>
        <v>0</v>
      </c>
    </row>
    <row r="331" spans="1:60" ht="15" x14ac:dyDescent="0.25">
      <c r="A331" s="66" t="str">
        <f>IF(LARGE($A$11:A330,1)=$F$2,"",A330+1)</f>
        <v/>
      </c>
      <c r="B331" s="27" t="str">
        <f t="shared" si="202"/>
        <v/>
      </c>
      <c r="C331" s="28" t="str">
        <f t="shared" si="229"/>
        <v/>
      </c>
      <c r="D331" s="28" t="str">
        <f t="shared" si="203"/>
        <v/>
      </c>
      <c r="E331" s="28" t="str">
        <f t="shared" si="204"/>
        <v/>
      </c>
      <c r="F331" s="29" t="str">
        <f t="shared" si="205"/>
        <v/>
      </c>
      <c r="G331" s="29" t="str">
        <f t="shared" si="206"/>
        <v/>
      </c>
      <c r="H331" s="30" t="str">
        <f t="shared" si="207"/>
        <v/>
      </c>
      <c r="I331" s="30" t="str">
        <f t="shared" si="208"/>
        <v/>
      </c>
      <c r="J331" s="30" t="str">
        <f>IF(A331="","",H331+CUSTOS!B331)</f>
        <v/>
      </c>
      <c r="K331" s="30" t="str">
        <f t="shared" si="230"/>
        <v/>
      </c>
      <c r="L331" s="30" t="str">
        <f t="shared" si="231"/>
        <v/>
      </c>
      <c r="M331" s="30" t="str">
        <f t="shared" si="232"/>
        <v/>
      </c>
      <c r="N331" s="30" t="str">
        <f t="shared" si="209"/>
        <v/>
      </c>
      <c r="O331" s="31" t="str">
        <f t="shared" si="233"/>
        <v/>
      </c>
      <c r="P331" s="32"/>
      <c r="Q331" s="33" t="str">
        <f t="shared" si="210"/>
        <v/>
      </c>
      <c r="R331" s="33" t="str">
        <f t="shared" si="211"/>
        <v/>
      </c>
      <c r="S331" s="33" t="str">
        <f t="shared" si="212"/>
        <v/>
      </c>
      <c r="T331" s="33" t="str">
        <f t="shared" si="213"/>
        <v/>
      </c>
      <c r="U331" s="33" t="str">
        <f t="shared" si="214"/>
        <v/>
      </c>
      <c r="V331" s="33" t="str">
        <f t="shared" si="215"/>
        <v/>
      </c>
      <c r="X331" s="33" t="str">
        <f t="shared" si="249"/>
        <v/>
      </c>
      <c r="Y331" s="30" t="str">
        <f t="shared" si="216"/>
        <v/>
      </c>
      <c r="Z331" s="30" t="str">
        <f t="shared" si="217"/>
        <v/>
      </c>
      <c r="AA331" s="30" t="str">
        <f t="shared" si="218"/>
        <v/>
      </c>
      <c r="AB331" s="30" t="str">
        <f t="shared" si="219"/>
        <v/>
      </c>
      <c r="AD331" s="33" t="str">
        <f t="shared" si="220"/>
        <v/>
      </c>
      <c r="AE331" s="30" t="str">
        <f t="shared" si="221"/>
        <v/>
      </c>
      <c r="AF331" s="30" t="str">
        <f t="shared" si="222"/>
        <v/>
      </c>
      <c r="AG331" s="30" t="str">
        <f t="shared" si="223"/>
        <v/>
      </c>
      <c r="AH331" s="30" t="str">
        <f t="shared" si="224"/>
        <v/>
      </c>
      <c r="AJ331" s="85" t="str">
        <f t="shared" si="234"/>
        <v/>
      </c>
      <c r="AK331" s="86" t="str">
        <f t="shared" si="244"/>
        <v/>
      </c>
      <c r="AL331" s="86" t="str">
        <f t="shared" si="245"/>
        <v/>
      </c>
      <c r="AM331" s="86" t="str">
        <f t="shared" si="246"/>
        <v/>
      </c>
      <c r="AN331" s="86" t="str">
        <f t="shared" si="247"/>
        <v/>
      </c>
      <c r="AO331" s="86" t="str">
        <f t="shared" si="248"/>
        <v/>
      </c>
      <c r="AQ331" s="33" t="str">
        <f t="shared" si="225"/>
        <v/>
      </c>
      <c r="AR331" s="30" t="str">
        <f t="shared" si="226"/>
        <v/>
      </c>
      <c r="AU331" s="20">
        <f t="shared" si="227"/>
        <v>0</v>
      </c>
      <c r="AV331" s="20">
        <f t="shared" si="228"/>
        <v>0</v>
      </c>
      <c r="AW331" s="19">
        <f t="shared" si="235"/>
        <v>0</v>
      </c>
      <c r="AX331" s="19">
        <f t="shared" si="236"/>
        <v>0</v>
      </c>
      <c r="AY331" s="19">
        <f t="shared" si="237"/>
        <v>0</v>
      </c>
      <c r="AZ331" s="19">
        <f t="shared" si="238"/>
        <v>0</v>
      </c>
      <c r="BA331" s="19">
        <f t="shared" si="239"/>
        <v>0</v>
      </c>
      <c r="BB331" s="19">
        <f t="shared" si="240"/>
        <v>0</v>
      </c>
      <c r="BC331" s="19">
        <f t="shared" si="241"/>
        <v>0</v>
      </c>
      <c r="BD331" s="19">
        <f>-IF(CUSTOS!B331="",0,CUSTOS!B331)</f>
        <v>0</v>
      </c>
      <c r="BF331" s="20">
        <f t="shared" si="242"/>
        <v>0</v>
      </c>
      <c r="BG331" s="20">
        <f t="shared" si="243"/>
        <v>0</v>
      </c>
      <c r="BH331" s="116">
        <f t="shared" si="243"/>
        <v>0</v>
      </c>
    </row>
    <row r="332" spans="1:60" ht="15" x14ac:dyDescent="0.25">
      <c r="A332" s="66" t="str">
        <f>IF(LARGE($A$11:A331,1)=$F$2,"",A331+1)</f>
        <v/>
      </c>
      <c r="B332" s="27" t="str">
        <f t="shared" ref="B332:B371" si="250">IF($A332="","",DATE(YEAR(EDATE(C332,-def_fluxo)),MONTH(EDATE(C332,-def_fluxo)),1))</f>
        <v/>
      </c>
      <c r="C332" s="28" t="str">
        <f t="shared" si="229"/>
        <v/>
      </c>
      <c r="D332" s="28" t="str">
        <f t="shared" ref="D332:D371" si="251">IF($A332="","",WORKDAY(C332-1,1,holiday))</f>
        <v/>
      </c>
      <c r="E332" s="28" t="str">
        <f t="shared" ref="E332:E371" si="252">IF($A332="","",WORKDAY(D332,def_pgto,holiday))</f>
        <v/>
      </c>
      <c r="F332" s="29" t="str">
        <f t="shared" ref="F332:F371" si="253">IF(A332="","",IF(base_calc=252,NETWORKDAYS(D332,D332,holiday)-1,IF(base_calc=360,DAYS360(EDATE(C332,-1),C332,0),"")))</f>
        <v/>
      </c>
      <c r="G332" s="29" t="str">
        <f t="shared" ref="G332:G371" si="254">IF(A332="","",IF(base_calc=252,NETWORKDAYS($F$3,D332,holiday)-1,IF(base_calc=360,DAYS360($F$3,C332),"")))</f>
        <v/>
      </c>
      <c r="H332" s="30" t="str">
        <f t="shared" ref="H332:H371" si="255">IF($A332="","",IF(C332&gt;=$F$5,IF($C$5&gt;0,$C$5,PMT((1+tx_lastro)^(1/12)-1,prazo_op,-$C$6)),0))</f>
        <v/>
      </c>
      <c r="I332" s="30" t="str">
        <f t="shared" ref="I332:I371" si="256">IF(A332="","",H332/(1+tx_lastro)^(G332/base_calc))</f>
        <v/>
      </c>
      <c r="J332" s="30" t="str">
        <f>IF(A332="","",H332+CUSTOS!B332)</f>
        <v/>
      </c>
      <c r="K332" s="30" t="str">
        <f t="shared" si="230"/>
        <v/>
      </c>
      <c r="L332" s="30" t="str">
        <f t="shared" si="231"/>
        <v/>
      </c>
      <c r="M332" s="30" t="str">
        <f t="shared" si="232"/>
        <v/>
      </c>
      <c r="N332" s="30" t="str">
        <f t="shared" ref="N332:N371" si="257">IF(A332="","",J332/(1+tx_lastro)^(G332/base_calc))</f>
        <v/>
      </c>
      <c r="O332" s="31" t="str">
        <f t="shared" si="233"/>
        <v/>
      </c>
      <c r="P332" s="32"/>
      <c r="Q332" s="33" t="str">
        <f t="shared" ref="Q332:Q371" si="258">IF($A332="","",IF($A332&gt;prazo_se,"",IF($R$6="A + J",R332+S332,J332*pmt_se)))</f>
        <v/>
      </c>
      <c r="R332" s="33" t="str">
        <f t="shared" ref="R332:R371" si="259">IF($A332="","",IF($A332&gt;prazo_se,"",IF(OR(H332=0,A332&lt;=carência_se),-S332,IF($R$6="A + J",O332*T331,Q332-S332))))</f>
        <v/>
      </c>
      <c r="S332" s="33" t="str">
        <f t="shared" ref="S332:S371" si="260">IF($A332="","",IF($A332&gt;prazo_se,"",T331*((1+tx_se)^(IF(A332&gt;1,F332,G332)/base_calc)-1)))</f>
        <v/>
      </c>
      <c r="T332" s="33" t="str">
        <f t="shared" ref="T332:T371" si="261">IF($A332="","",IF($A332&gt;prazo_se,"",T331-R332))</f>
        <v/>
      </c>
      <c r="U332" s="33" t="str">
        <f t="shared" ref="U332:U371" si="262">IF($A332="","",IF($A332&gt;prazo_se,"",Q332/(1+tx_se)^(G332/base_calc)))</f>
        <v/>
      </c>
      <c r="V332" s="33" t="str">
        <f t="shared" ref="V332:V371" si="263">IF($A332="","",IF($A332&gt;prazo_se,"",Q332/(1+tx_se2)^(G332/base_calc)))</f>
        <v/>
      </c>
      <c r="X332" s="33" t="str">
        <f t="shared" si="249"/>
        <v/>
      </c>
      <c r="Y332" s="30" t="str">
        <f t="shared" ref="Y332:Y371" si="264">IF($A332="","",IF($A332&gt;prazo_subp,"",IF(A332&lt;=carência_subp,-Z332,IF($Y$6="A + J",O332*AA331,X332-Z332))))</f>
        <v/>
      </c>
      <c r="Z332" s="30" t="str">
        <f t="shared" ref="Z332:Z371" si="265">IF($A332="","",IF($A332&gt;prazo_subp,"",AA331*((1+tx_subp)^(IF(A332&gt;1,F332,G332)/base_calc)-1)))</f>
        <v/>
      </c>
      <c r="AA332" s="30" t="str">
        <f t="shared" ref="AA332:AA371" si="266">IF($A332="","",IF($A332&gt;prazo_subp,"",AA331-Y332))</f>
        <v/>
      </c>
      <c r="AB332" s="30" t="str">
        <f t="shared" ref="AB332:AB371" si="267">IF($A332="","",IF($A332&gt;prazo_subp,"",X332/(1+tx_subp)^(G332/base_calc)))</f>
        <v/>
      </c>
      <c r="AD332" s="33" t="str">
        <f t="shared" ref="AD332:AD371" si="268">IF($A332="","",IF($A332&gt;prazo_sub,"",IF($AE$6="PMT [diferença]",J332-Q332-X332,(J332-Q332-X332)*pmt_sub)))</f>
        <v/>
      </c>
      <c r="AE332" s="30" t="str">
        <f t="shared" ref="AE332:AE371" si="269">IF($A332="","",IF($A332&gt;prazo_sub,"",IF(A332&lt;=carência_sub,-AF332,IF($AE$6="% PMT",O332*AG331,AD332-AF332))))</f>
        <v/>
      </c>
      <c r="AF332" s="30" t="str">
        <f t="shared" ref="AF332:AF371" si="270">IF($A332="","",IF($A332&gt;prazo_sub,"",AG331*((1+tx_sub)^(IF(A332&gt;1,F332,G332)/base_calc)-1)))</f>
        <v/>
      </c>
      <c r="AG332" s="30" t="str">
        <f t="shared" ref="AG332:AG371" si="271">IF($A332="","",IF($A332&gt;prazo_sub,"",AG331-AE332))</f>
        <v/>
      </c>
      <c r="AH332" s="30" t="str">
        <f t="shared" ref="AH332:AH371" si="272">IF($A332="","",IF($A332&gt;prazo_sub,"",AD332/(1+tx_sub)^(G332/base_calc)))</f>
        <v/>
      </c>
      <c r="AJ332" s="85" t="str">
        <f t="shared" si="234"/>
        <v/>
      </c>
      <c r="AK332" s="86" t="str">
        <f t="shared" si="244"/>
        <v/>
      </c>
      <c r="AL332" s="86" t="str">
        <f t="shared" si="245"/>
        <v/>
      </c>
      <c r="AM332" s="86" t="str">
        <f t="shared" si="246"/>
        <v/>
      </c>
      <c r="AN332" s="86" t="str">
        <f t="shared" si="247"/>
        <v/>
      </c>
      <c r="AO332" s="86" t="str">
        <f t="shared" si="248"/>
        <v/>
      </c>
      <c r="AQ332" s="33" t="str">
        <f t="shared" ref="AQ332:AQ371" si="273">IF(A332="","",IF(AJ332&lt;=0,AJ332,0))</f>
        <v/>
      </c>
      <c r="AR332" s="30" t="str">
        <f t="shared" ref="AR332:AR371" si="274">IF(A332="","",IF(AJ332&gt;0,AJ332,0))</f>
        <v/>
      </c>
      <c r="AU332" s="20">
        <f t="shared" ref="AU332:AU371" si="275">IF(H332="",0,H332)</f>
        <v>0</v>
      </c>
      <c r="AV332" s="20">
        <f t="shared" ref="AV332:AV371" si="276">IF(J332="",0,J332)</f>
        <v>0</v>
      </c>
      <c r="AW332" s="19">
        <f t="shared" si="235"/>
        <v>0</v>
      </c>
      <c r="AX332" s="19">
        <f t="shared" si="236"/>
        <v>0</v>
      </c>
      <c r="AY332" s="19">
        <f t="shared" si="237"/>
        <v>0</v>
      </c>
      <c r="AZ332" s="19">
        <f t="shared" si="238"/>
        <v>0</v>
      </c>
      <c r="BA332" s="19">
        <f t="shared" si="239"/>
        <v>0</v>
      </c>
      <c r="BB332" s="19">
        <f t="shared" si="240"/>
        <v>0</v>
      </c>
      <c r="BC332" s="19">
        <f t="shared" si="241"/>
        <v>0</v>
      </c>
      <c r="BD332" s="19">
        <f>-IF(CUSTOS!B332="",0,CUSTOS!B332)</f>
        <v>0</v>
      </c>
      <c r="BF332" s="20">
        <f t="shared" si="242"/>
        <v>0</v>
      </c>
      <c r="BG332" s="20">
        <f t="shared" si="243"/>
        <v>0</v>
      </c>
      <c r="BH332" s="116">
        <f t="shared" si="243"/>
        <v>0</v>
      </c>
    </row>
    <row r="333" spans="1:60" ht="15" x14ac:dyDescent="0.25">
      <c r="A333" s="66" t="str">
        <f>IF(LARGE($A$11:A332,1)=$F$2,"",A332+1)</f>
        <v/>
      </c>
      <c r="B333" s="27" t="str">
        <f t="shared" si="250"/>
        <v/>
      </c>
      <c r="C333" s="28" t="str">
        <f t="shared" ref="C333:C371" si="277">IF($A333="","",IF(OR(DAY($C$12)=30,DAY($C$12)=31),EOMONTH(EDATE(C332,1),0),EDATE(C332,1)))</f>
        <v/>
      </c>
      <c r="D333" s="28" t="str">
        <f t="shared" si="251"/>
        <v/>
      </c>
      <c r="E333" s="28" t="str">
        <f t="shared" si="252"/>
        <v/>
      </c>
      <c r="F333" s="29" t="str">
        <f t="shared" si="253"/>
        <v/>
      </c>
      <c r="G333" s="29" t="str">
        <f t="shared" si="254"/>
        <v/>
      </c>
      <c r="H333" s="30" t="str">
        <f t="shared" si="255"/>
        <v/>
      </c>
      <c r="I333" s="30" t="str">
        <f t="shared" si="256"/>
        <v/>
      </c>
      <c r="J333" s="30" t="str">
        <f>IF(A333="","",H333+CUSTOS!B333)</f>
        <v/>
      </c>
      <c r="K333" s="30" t="str">
        <f t="shared" ref="K333:K371" si="278">IF(A333="","",J333-L333)</f>
        <v/>
      </c>
      <c r="L333" s="30" t="str">
        <f t="shared" ref="L333:L371" si="279">IF(A333="","",M332*((1+tx_lastro)^(F333/base_calc)-1))</f>
        <v/>
      </c>
      <c r="M333" s="30" t="str">
        <f t="shared" ref="M333:M371" si="280">IF(A333="","",M332-K333)</f>
        <v/>
      </c>
      <c r="N333" s="30" t="str">
        <f t="shared" si="257"/>
        <v/>
      </c>
      <c r="O333" s="31" t="str">
        <f t="shared" ref="O333:O371" si="281">IF(A333="","",IFERROR(K333/M332,0))</f>
        <v/>
      </c>
      <c r="P333" s="32"/>
      <c r="Q333" s="33" t="str">
        <f t="shared" si="258"/>
        <v/>
      </c>
      <c r="R333" s="33" t="str">
        <f t="shared" si="259"/>
        <v/>
      </c>
      <c r="S333" s="33" t="str">
        <f t="shared" si="260"/>
        <v/>
      </c>
      <c r="T333" s="33" t="str">
        <f t="shared" si="261"/>
        <v/>
      </c>
      <c r="U333" s="33" t="str">
        <f t="shared" si="262"/>
        <v/>
      </c>
      <c r="V333" s="33" t="str">
        <f t="shared" si="263"/>
        <v/>
      </c>
      <c r="X333" s="33" t="str">
        <f t="shared" si="249"/>
        <v/>
      </c>
      <c r="Y333" s="30" t="str">
        <f t="shared" si="264"/>
        <v/>
      </c>
      <c r="Z333" s="30" t="str">
        <f t="shared" si="265"/>
        <v/>
      </c>
      <c r="AA333" s="30" t="str">
        <f t="shared" si="266"/>
        <v/>
      </c>
      <c r="AB333" s="30" t="str">
        <f t="shared" si="267"/>
        <v/>
      </c>
      <c r="AD333" s="33" t="str">
        <f t="shared" si="268"/>
        <v/>
      </c>
      <c r="AE333" s="30" t="str">
        <f t="shared" si="269"/>
        <v/>
      </c>
      <c r="AF333" s="30" t="str">
        <f t="shared" si="270"/>
        <v/>
      </c>
      <c r="AG333" s="30" t="str">
        <f t="shared" si="271"/>
        <v/>
      </c>
      <c r="AH333" s="30" t="str">
        <f t="shared" si="272"/>
        <v/>
      </c>
      <c r="AJ333" s="85" t="str">
        <f t="shared" ref="AJ333:AJ371" si="282">IF($A333="","",J333-Q333-X333-AD333)</f>
        <v/>
      </c>
      <c r="AK333" s="86" t="str">
        <f t="shared" si="244"/>
        <v/>
      </c>
      <c r="AL333" s="86" t="str">
        <f t="shared" si="245"/>
        <v/>
      </c>
      <c r="AM333" s="86" t="str">
        <f t="shared" si="246"/>
        <v/>
      </c>
      <c r="AN333" s="86" t="str">
        <f t="shared" si="247"/>
        <v/>
      </c>
      <c r="AO333" s="86" t="str">
        <f t="shared" si="248"/>
        <v/>
      </c>
      <c r="AQ333" s="33" t="str">
        <f t="shared" si="273"/>
        <v/>
      </c>
      <c r="AR333" s="30" t="str">
        <f t="shared" si="274"/>
        <v/>
      </c>
      <c r="AU333" s="20">
        <f t="shared" si="275"/>
        <v>0</v>
      </c>
      <c r="AV333" s="20">
        <f t="shared" si="276"/>
        <v>0</v>
      </c>
      <c r="AW333" s="19">
        <f t="shared" ref="AW333:AW371" si="283">IF(Q333="",0,Q333)</f>
        <v>0</v>
      </c>
      <c r="AX333" s="19">
        <f t="shared" ref="AX333:AX371" si="284">IF(X333="",0,X333)</f>
        <v>0</v>
      </c>
      <c r="AY333" s="19">
        <f t="shared" ref="AY333:AY371" si="285">IF(AD333="",0,AD333)</f>
        <v>0</v>
      </c>
      <c r="AZ333" s="19">
        <f t="shared" ref="AZ333:AZ371" si="286">IF(AJ333="",0,AJ333)</f>
        <v>0</v>
      </c>
      <c r="BA333" s="19">
        <f t="shared" ref="BA333:BA371" si="287">AX333</f>
        <v>0</v>
      </c>
      <c r="BB333" s="19">
        <f t="shared" ref="BB333:BB371" si="288">AY333</f>
        <v>0</v>
      </c>
      <c r="BC333" s="19">
        <f t="shared" ref="BC333:BC371" si="289">AZ333</f>
        <v>0</v>
      </c>
      <c r="BD333" s="19">
        <f>-IF(CUSTOS!B333="",0,CUSTOS!B333)</f>
        <v>0</v>
      </c>
      <c r="BF333" s="20">
        <f t="shared" ref="BF333:BF371" si="290">AW333+AX333+AY333+BD333</f>
        <v>0</v>
      </c>
      <c r="BG333" s="20">
        <f t="shared" ref="BG333:BH371" si="291">BF333</f>
        <v>0</v>
      </c>
      <c r="BH333" s="116">
        <f t="shared" si="291"/>
        <v>0</v>
      </c>
    </row>
    <row r="334" spans="1:60" ht="15" x14ac:dyDescent="0.25">
      <c r="A334" s="66" t="str">
        <f>IF(LARGE($A$11:A333,1)=$F$2,"",A333+1)</f>
        <v/>
      </c>
      <c r="B334" s="27" t="str">
        <f t="shared" si="250"/>
        <v/>
      </c>
      <c r="C334" s="28" t="str">
        <f t="shared" si="277"/>
        <v/>
      </c>
      <c r="D334" s="28" t="str">
        <f t="shared" si="251"/>
        <v/>
      </c>
      <c r="E334" s="28" t="str">
        <f t="shared" si="252"/>
        <v/>
      </c>
      <c r="F334" s="29" t="str">
        <f t="shared" si="253"/>
        <v/>
      </c>
      <c r="G334" s="29" t="str">
        <f t="shared" si="254"/>
        <v/>
      </c>
      <c r="H334" s="30" t="str">
        <f t="shared" si="255"/>
        <v/>
      </c>
      <c r="I334" s="30" t="str">
        <f t="shared" si="256"/>
        <v/>
      </c>
      <c r="J334" s="30" t="str">
        <f>IF(A334="","",H334+CUSTOS!B334)</f>
        <v/>
      </c>
      <c r="K334" s="30" t="str">
        <f t="shared" si="278"/>
        <v/>
      </c>
      <c r="L334" s="30" t="str">
        <f t="shared" si="279"/>
        <v/>
      </c>
      <c r="M334" s="30" t="str">
        <f t="shared" si="280"/>
        <v/>
      </c>
      <c r="N334" s="30" t="str">
        <f t="shared" si="257"/>
        <v/>
      </c>
      <c r="O334" s="31" t="str">
        <f t="shared" si="281"/>
        <v/>
      </c>
      <c r="P334" s="32"/>
      <c r="Q334" s="33" t="str">
        <f t="shared" si="258"/>
        <v/>
      </c>
      <c r="R334" s="33" t="str">
        <f t="shared" si="259"/>
        <v/>
      </c>
      <c r="S334" s="33" t="str">
        <f t="shared" si="260"/>
        <v/>
      </c>
      <c r="T334" s="33" t="str">
        <f t="shared" si="261"/>
        <v/>
      </c>
      <c r="U334" s="33" t="str">
        <f t="shared" si="262"/>
        <v/>
      </c>
      <c r="V334" s="33" t="str">
        <f t="shared" si="263"/>
        <v/>
      </c>
      <c r="X334" s="33" t="str">
        <f t="shared" si="249"/>
        <v/>
      </c>
      <c r="Y334" s="30" t="str">
        <f t="shared" si="264"/>
        <v/>
      </c>
      <c r="Z334" s="30" t="str">
        <f t="shared" si="265"/>
        <v/>
      </c>
      <c r="AA334" s="30" t="str">
        <f t="shared" si="266"/>
        <v/>
      </c>
      <c r="AB334" s="30" t="str">
        <f t="shared" si="267"/>
        <v/>
      </c>
      <c r="AD334" s="33" t="str">
        <f t="shared" si="268"/>
        <v/>
      </c>
      <c r="AE334" s="30" t="str">
        <f t="shared" si="269"/>
        <v/>
      </c>
      <c r="AF334" s="30" t="str">
        <f t="shared" si="270"/>
        <v/>
      </c>
      <c r="AG334" s="30" t="str">
        <f t="shared" si="271"/>
        <v/>
      </c>
      <c r="AH334" s="30" t="str">
        <f t="shared" si="272"/>
        <v/>
      </c>
      <c r="AJ334" s="85" t="str">
        <f t="shared" si="282"/>
        <v/>
      </c>
      <c r="AK334" s="86" t="str">
        <f t="shared" ref="AK334:AK371" si="292">IF($A334="","",AJ334-AL334)</f>
        <v/>
      </c>
      <c r="AL334" s="86" t="str">
        <f t="shared" ref="AL334:AL371" si="293">IF(A334="","",AM333*((1+tx_over)^(IF(A334&gt;1,F334,G334)/base_calc)-1))</f>
        <v/>
      </c>
      <c r="AM334" s="86" t="str">
        <f t="shared" ref="AM334:AM371" si="294">IF(A334="","",AM333-AK334)</f>
        <v/>
      </c>
      <c r="AN334" s="86" t="str">
        <f t="shared" ref="AN334:AN371" si="295">IF($A334="","",AJ334/(1+tx_over)^(G334/base_calc))</f>
        <v/>
      </c>
      <c r="AO334" s="86" t="str">
        <f t="shared" ref="AO334:AO371" si="296">IF($A334="","",AJ334/(1+tx_lastro)^(G334/base_calc))</f>
        <v/>
      </c>
      <c r="AQ334" s="33" t="str">
        <f t="shared" si="273"/>
        <v/>
      </c>
      <c r="AR334" s="30" t="str">
        <f t="shared" si="274"/>
        <v/>
      </c>
      <c r="AU334" s="20">
        <f t="shared" si="275"/>
        <v>0</v>
      </c>
      <c r="AV334" s="20">
        <f t="shared" si="276"/>
        <v>0</v>
      </c>
      <c r="AW334" s="19">
        <f t="shared" si="283"/>
        <v>0</v>
      </c>
      <c r="AX334" s="19">
        <f t="shared" si="284"/>
        <v>0</v>
      </c>
      <c r="AY334" s="19">
        <f t="shared" si="285"/>
        <v>0</v>
      </c>
      <c r="AZ334" s="19">
        <f t="shared" si="286"/>
        <v>0</v>
      </c>
      <c r="BA334" s="19">
        <f t="shared" si="287"/>
        <v>0</v>
      </c>
      <c r="BB334" s="19">
        <f t="shared" si="288"/>
        <v>0</v>
      </c>
      <c r="BC334" s="19">
        <f t="shared" si="289"/>
        <v>0</v>
      </c>
      <c r="BD334" s="19">
        <f>-IF(CUSTOS!B334="",0,CUSTOS!B334)</f>
        <v>0</v>
      </c>
      <c r="BF334" s="20">
        <f t="shared" si="290"/>
        <v>0</v>
      </c>
      <c r="BG334" s="20">
        <f t="shared" si="291"/>
        <v>0</v>
      </c>
      <c r="BH334" s="116">
        <f t="shared" si="291"/>
        <v>0</v>
      </c>
    </row>
    <row r="335" spans="1:60" ht="15" x14ac:dyDescent="0.25">
      <c r="A335" s="66" t="str">
        <f>IF(LARGE($A$11:A334,1)=$F$2,"",A334+1)</f>
        <v/>
      </c>
      <c r="B335" s="27" t="str">
        <f t="shared" si="250"/>
        <v/>
      </c>
      <c r="C335" s="28" t="str">
        <f t="shared" si="277"/>
        <v/>
      </c>
      <c r="D335" s="28" t="str">
        <f t="shared" si="251"/>
        <v/>
      </c>
      <c r="E335" s="28" t="str">
        <f t="shared" si="252"/>
        <v/>
      </c>
      <c r="F335" s="29" t="str">
        <f t="shared" si="253"/>
        <v/>
      </c>
      <c r="G335" s="29" t="str">
        <f t="shared" si="254"/>
        <v/>
      </c>
      <c r="H335" s="30" t="str">
        <f t="shared" si="255"/>
        <v/>
      </c>
      <c r="I335" s="30" t="str">
        <f t="shared" si="256"/>
        <v/>
      </c>
      <c r="J335" s="30" t="str">
        <f>IF(A335="","",H335+CUSTOS!B335)</f>
        <v/>
      </c>
      <c r="K335" s="30" t="str">
        <f t="shared" si="278"/>
        <v/>
      </c>
      <c r="L335" s="30" t="str">
        <f t="shared" si="279"/>
        <v/>
      </c>
      <c r="M335" s="30" t="str">
        <f t="shared" si="280"/>
        <v/>
      </c>
      <c r="N335" s="30" t="str">
        <f t="shared" si="257"/>
        <v/>
      </c>
      <c r="O335" s="31" t="str">
        <f t="shared" si="281"/>
        <v/>
      </c>
      <c r="P335" s="32"/>
      <c r="Q335" s="33" t="str">
        <f t="shared" si="258"/>
        <v/>
      </c>
      <c r="R335" s="33" t="str">
        <f t="shared" si="259"/>
        <v/>
      </c>
      <c r="S335" s="33" t="str">
        <f t="shared" si="260"/>
        <v/>
      </c>
      <c r="T335" s="33" t="str">
        <f t="shared" si="261"/>
        <v/>
      </c>
      <c r="U335" s="33" t="str">
        <f t="shared" si="262"/>
        <v/>
      </c>
      <c r="V335" s="33" t="str">
        <f t="shared" si="263"/>
        <v/>
      </c>
      <c r="X335" s="33" t="str">
        <f t="shared" si="249"/>
        <v/>
      </c>
      <c r="Y335" s="30" t="str">
        <f t="shared" si="264"/>
        <v/>
      </c>
      <c r="Z335" s="30" t="str">
        <f t="shared" si="265"/>
        <v/>
      </c>
      <c r="AA335" s="30" t="str">
        <f t="shared" si="266"/>
        <v/>
      </c>
      <c r="AB335" s="30" t="str">
        <f t="shared" si="267"/>
        <v/>
      </c>
      <c r="AD335" s="33" t="str">
        <f t="shared" si="268"/>
        <v/>
      </c>
      <c r="AE335" s="30" t="str">
        <f t="shared" si="269"/>
        <v/>
      </c>
      <c r="AF335" s="30" t="str">
        <f t="shared" si="270"/>
        <v/>
      </c>
      <c r="AG335" s="30" t="str">
        <f t="shared" si="271"/>
        <v/>
      </c>
      <c r="AH335" s="30" t="str">
        <f t="shared" si="272"/>
        <v/>
      </c>
      <c r="AJ335" s="85" t="str">
        <f t="shared" si="282"/>
        <v/>
      </c>
      <c r="AK335" s="86" t="str">
        <f t="shared" si="292"/>
        <v/>
      </c>
      <c r="AL335" s="86" t="str">
        <f t="shared" si="293"/>
        <v/>
      </c>
      <c r="AM335" s="86" t="str">
        <f t="shared" si="294"/>
        <v/>
      </c>
      <c r="AN335" s="86" t="str">
        <f t="shared" si="295"/>
        <v/>
      </c>
      <c r="AO335" s="86" t="str">
        <f t="shared" si="296"/>
        <v/>
      </c>
      <c r="AQ335" s="33" t="str">
        <f t="shared" si="273"/>
        <v/>
      </c>
      <c r="AR335" s="30" t="str">
        <f t="shared" si="274"/>
        <v/>
      </c>
      <c r="AU335" s="20">
        <f t="shared" si="275"/>
        <v>0</v>
      </c>
      <c r="AV335" s="20">
        <f t="shared" si="276"/>
        <v>0</v>
      </c>
      <c r="AW335" s="19">
        <f t="shared" si="283"/>
        <v>0</v>
      </c>
      <c r="AX335" s="19">
        <f t="shared" si="284"/>
        <v>0</v>
      </c>
      <c r="AY335" s="19">
        <f t="shared" si="285"/>
        <v>0</v>
      </c>
      <c r="AZ335" s="19">
        <f t="shared" si="286"/>
        <v>0</v>
      </c>
      <c r="BA335" s="19">
        <f t="shared" si="287"/>
        <v>0</v>
      </c>
      <c r="BB335" s="19">
        <f t="shared" si="288"/>
        <v>0</v>
      </c>
      <c r="BC335" s="19">
        <f t="shared" si="289"/>
        <v>0</v>
      </c>
      <c r="BD335" s="19">
        <f>-IF(CUSTOS!B335="",0,CUSTOS!B335)</f>
        <v>0</v>
      </c>
      <c r="BF335" s="20">
        <f t="shared" si="290"/>
        <v>0</v>
      </c>
      <c r="BG335" s="20">
        <f t="shared" si="291"/>
        <v>0</v>
      </c>
      <c r="BH335" s="116">
        <f t="shared" si="291"/>
        <v>0</v>
      </c>
    </row>
    <row r="336" spans="1:60" ht="15" x14ac:dyDescent="0.25">
      <c r="A336" s="66" t="str">
        <f>IF(LARGE($A$11:A335,1)=$F$2,"",A335+1)</f>
        <v/>
      </c>
      <c r="B336" s="27" t="str">
        <f t="shared" si="250"/>
        <v/>
      </c>
      <c r="C336" s="28" t="str">
        <f t="shared" si="277"/>
        <v/>
      </c>
      <c r="D336" s="28" t="str">
        <f t="shared" si="251"/>
        <v/>
      </c>
      <c r="E336" s="28" t="str">
        <f t="shared" si="252"/>
        <v/>
      </c>
      <c r="F336" s="29" t="str">
        <f t="shared" si="253"/>
        <v/>
      </c>
      <c r="G336" s="29" t="str">
        <f t="shared" si="254"/>
        <v/>
      </c>
      <c r="H336" s="30" t="str">
        <f t="shared" si="255"/>
        <v/>
      </c>
      <c r="I336" s="30" t="str">
        <f t="shared" si="256"/>
        <v/>
      </c>
      <c r="J336" s="30" t="str">
        <f>IF(A336="","",H336+CUSTOS!B336)</f>
        <v/>
      </c>
      <c r="K336" s="30" t="str">
        <f t="shared" si="278"/>
        <v/>
      </c>
      <c r="L336" s="30" t="str">
        <f t="shared" si="279"/>
        <v/>
      </c>
      <c r="M336" s="30" t="str">
        <f t="shared" si="280"/>
        <v/>
      </c>
      <c r="N336" s="30" t="str">
        <f t="shared" si="257"/>
        <v/>
      </c>
      <c r="O336" s="31" t="str">
        <f t="shared" si="281"/>
        <v/>
      </c>
      <c r="P336" s="32"/>
      <c r="Q336" s="33" t="str">
        <f t="shared" si="258"/>
        <v/>
      </c>
      <c r="R336" s="33" t="str">
        <f t="shared" si="259"/>
        <v/>
      </c>
      <c r="S336" s="33" t="str">
        <f t="shared" si="260"/>
        <v/>
      </c>
      <c r="T336" s="33" t="str">
        <f t="shared" si="261"/>
        <v/>
      </c>
      <c r="U336" s="33" t="str">
        <f t="shared" si="262"/>
        <v/>
      </c>
      <c r="V336" s="33" t="str">
        <f t="shared" si="263"/>
        <v/>
      </c>
      <c r="X336" s="33" t="str">
        <f t="shared" si="249"/>
        <v/>
      </c>
      <c r="Y336" s="30" t="str">
        <f t="shared" si="264"/>
        <v/>
      </c>
      <c r="Z336" s="30" t="str">
        <f t="shared" si="265"/>
        <v/>
      </c>
      <c r="AA336" s="30" t="str">
        <f t="shared" si="266"/>
        <v/>
      </c>
      <c r="AB336" s="30" t="str">
        <f t="shared" si="267"/>
        <v/>
      </c>
      <c r="AD336" s="33" t="str">
        <f t="shared" si="268"/>
        <v/>
      </c>
      <c r="AE336" s="30" t="str">
        <f t="shared" si="269"/>
        <v/>
      </c>
      <c r="AF336" s="30" t="str">
        <f t="shared" si="270"/>
        <v/>
      </c>
      <c r="AG336" s="30" t="str">
        <f t="shared" si="271"/>
        <v/>
      </c>
      <c r="AH336" s="30" t="str">
        <f t="shared" si="272"/>
        <v/>
      </c>
      <c r="AJ336" s="85" t="str">
        <f t="shared" si="282"/>
        <v/>
      </c>
      <c r="AK336" s="86" t="str">
        <f t="shared" si="292"/>
        <v/>
      </c>
      <c r="AL336" s="86" t="str">
        <f t="shared" si="293"/>
        <v/>
      </c>
      <c r="AM336" s="86" t="str">
        <f t="shared" si="294"/>
        <v/>
      </c>
      <c r="AN336" s="86" t="str">
        <f t="shared" si="295"/>
        <v/>
      </c>
      <c r="AO336" s="86" t="str">
        <f t="shared" si="296"/>
        <v/>
      </c>
      <c r="AQ336" s="33" t="str">
        <f t="shared" si="273"/>
        <v/>
      </c>
      <c r="AR336" s="30" t="str">
        <f t="shared" si="274"/>
        <v/>
      </c>
      <c r="AU336" s="20">
        <f t="shared" si="275"/>
        <v>0</v>
      </c>
      <c r="AV336" s="20">
        <f t="shared" si="276"/>
        <v>0</v>
      </c>
      <c r="AW336" s="19">
        <f t="shared" si="283"/>
        <v>0</v>
      </c>
      <c r="AX336" s="19">
        <f t="shared" si="284"/>
        <v>0</v>
      </c>
      <c r="AY336" s="19">
        <f t="shared" si="285"/>
        <v>0</v>
      </c>
      <c r="AZ336" s="19">
        <f t="shared" si="286"/>
        <v>0</v>
      </c>
      <c r="BA336" s="19">
        <f t="shared" si="287"/>
        <v>0</v>
      </c>
      <c r="BB336" s="19">
        <f t="shared" si="288"/>
        <v>0</v>
      </c>
      <c r="BC336" s="19">
        <f t="shared" si="289"/>
        <v>0</v>
      </c>
      <c r="BD336" s="19">
        <f>-IF(CUSTOS!B336="",0,CUSTOS!B336)</f>
        <v>0</v>
      </c>
      <c r="BF336" s="20">
        <f t="shared" si="290"/>
        <v>0</v>
      </c>
      <c r="BG336" s="20">
        <f t="shared" si="291"/>
        <v>0</v>
      </c>
      <c r="BH336" s="116">
        <f t="shared" si="291"/>
        <v>0</v>
      </c>
    </row>
    <row r="337" spans="1:60" ht="15" x14ac:dyDescent="0.25">
      <c r="A337" s="66" t="str">
        <f>IF(LARGE($A$11:A336,1)=$F$2,"",A336+1)</f>
        <v/>
      </c>
      <c r="B337" s="27" t="str">
        <f t="shared" si="250"/>
        <v/>
      </c>
      <c r="C337" s="28" t="str">
        <f t="shared" si="277"/>
        <v/>
      </c>
      <c r="D337" s="28" t="str">
        <f t="shared" si="251"/>
        <v/>
      </c>
      <c r="E337" s="28" t="str">
        <f t="shared" si="252"/>
        <v/>
      </c>
      <c r="F337" s="29" t="str">
        <f t="shared" si="253"/>
        <v/>
      </c>
      <c r="G337" s="29" t="str">
        <f t="shared" si="254"/>
        <v/>
      </c>
      <c r="H337" s="30" t="str">
        <f t="shared" si="255"/>
        <v/>
      </c>
      <c r="I337" s="30" t="str">
        <f t="shared" si="256"/>
        <v/>
      </c>
      <c r="J337" s="30" t="str">
        <f>IF(A337="","",H337+CUSTOS!B337)</f>
        <v/>
      </c>
      <c r="K337" s="30" t="str">
        <f t="shared" si="278"/>
        <v/>
      </c>
      <c r="L337" s="30" t="str">
        <f t="shared" si="279"/>
        <v/>
      </c>
      <c r="M337" s="30" t="str">
        <f t="shared" si="280"/>
        <v/>
      </c>
      <c r="N337" s="30" t="str">
        <f t="shared" si="257"/>
        <v/>
      </c>
      <c r="O337" s="31" t="str">
        <f t="shared" si="281"/>
        <v/>
      </c>
      <c r="P337" s="32"/>
      <c r="Q337" s="33" t="str">
        <f t="shared" si="258"/>
        <v/>
      </c>
      <c r="R337" s="33" t="str">
        <f t="shared" si="259"/>
        <v/>
      </c>
      <c r="S337" s="33" t="str">
        <f t="shared" si="260"/>
        <v/>
      </c>
      <c r="T337" s="33" t="str">
        <f t="shared" si="261"/>
        <v/>
      </c>
      <c r="U337" s="33" t="str">
        <f t="shared" si="262"/>
        <v/>
      </c>
      <c r="V337" s="33" t="str">
        <f t="shared" si="263"/>
        <v/>
      </c>
      <c r="X337" s="33" t="str">
        <f t="shared" si="249"/>
        <v/>
      </c>
      <c r="Y337" s="30" t="str">
        <f t="shared" si="264"/>
        <v/>
      </c>
      <c r="Z337" s="30" t="str">
        <f t="shared" si="265"/>
        <v/>
      </c>
      <c r="AA337" s="30" t="str">
        <f t="shared" si="266"/>
        <v/>
      </c>
      <c r="AB337" s="30" t="str">
        <f t="shared" si="267"/>
        <v/>
      </c>
      <c r="AD337" s="33" t="str">
        <f t="shared" si="268"/>
        <v/>
      </c>
      <c r="AE337" s="30" t="str">
        <f t="shared" si="269"/>
        <v/>
      </c>
      <c r="AF337" s="30" t="str">
        <f t="shared" si="270"/>
        <v/>
      </c>
      <c r="AG337" s="30" t="str">
        <f t="shared" si="271"/>
        <v/>
      </c>
      <c r="AH337" s="30" t="str">
        <f t="shared" si="272"/>
        <v/>
      </c>
      <c r="AJ337" s="85" t="str">
        <f t="shared" si="282"/>
        <v/>
      </c>
      <c r="AK337" s="86" t="str">
        <f t="shared" si="292"/>
        <v/>
      </c>
      <c r="AL337" s="86" t="str">
        <f t="shared" si="293"/>
        <v/>
      </c>
      <c r="AM337" s="86" t="str">
        <f t="shared" si="294"/>
        <v/>
      </c>
      <c r="AN337" s="86" t="str">
        <f t="shared" si="295"/>
        <v/>
      </c>
      <c r="AO337" s="86" t="str">
        <f t="shared" si="296"/>
        <v/>
      </c>
      <c r="AQ337" s="33" t="str">
        <f t="shared" si="273"/>
        <v/>
      </c>
      <c r="AR337" s="30" t="str">
        <f t="shared" si="274"/>
        <v/>
      </c>
      <c r="AU337" s="20">
        <f t="shared" si="275"/>
        <v>0</v>
      </c>
      <c r="AV337" s="20">
        <f t="shared" si="276"/>
        <v>0</v>
      </c>
      <c r="AW337" s="19">
        <f t="shared" si="283"/>
        <v>0</v>
      </c>
      <c r="AX337" s="19">
        <f t="shared" si="284"/>
        <v>0</v>
      </c>
      <c r="AY337" s="19">
        <f t="shared" si="285"/>
        <v>0</v>
      </c>
      <c r="AZ337" s="19">
        <f t="shared" si="286"/>
        <v>0</v>
      </c>
      <c r="BA337" s="19">
        <f t="shared" si="287"/>
        <v>0</v>
      </c>
      <c r="BB337" s="19">
        <f t="shared" si="288"/>
        <v>0</v>
      </c>
      <c r="BC337" s="19">
        <f t="shared" si="289"/>
        <v>0</v>
      </c>
      <c r="BD337" s="19">
        <f>-IF(CUSTOS!B337="",0,CUSTOS!B337)</f>
        <v>0</v>
      </c>
      <c r="BF337" s="20">
        <f t="shared" si="290"/>
        <v>0</v>
      </c>
      <c r="BG337" s="20">
        <f t="shared" si="291"/>
        <v>0</v>
      </c>
      <c r="BH337" s="116">
        <f t="shared" si="291"/>
        <v>0</v>
      </c>
    </row>
    <row r="338" spans="1:60" ht="15" x14ac:dyDescent="0.25">
      <c r="A338" s="66" t="str">
        <f>IF(LARGE($A$11:A337,1)=$F$2,"",A337+1)</f>
        <v/>
      </c>
      <c r="B338" s="27" t="str">
        <f t="shared" si="250"/>
        <v/>
      </c>
      <c r="C338" s="28" t="str">
        <f t="shared" si="277"/>
        <v/>
      </c>
      <c r="D338" s="28" t="str">
        <f t="shared" si="251"/>
        <v/>
      </c>
      <c r="E338" s="28" t="str">
        <f t="shared" si="252"/>
        <v/>
      </c>
      <c r="F338" s="29" t="str">
        <f t="shared" si="253"/>
        <v/>
      </c>
      <c r="G338" s="29" t="str">
        <f t="shared" si="254"/>
        <v/>
      </c>
      <c r="H338" s="30" t="str">
        <f t="shared" si="255"/>
        <v/>
      </c>
      <c r="I338" s="30" t="str">
        <f t="shared" si="256"/>
        <v/>
      </c>
      <c r="J338" s="30" t="str">
        <f>IF(A338="","",H338+CUSTOS!B338)</f>
        <v/>
      </c>
      <c r="K338" s="30" t="str">
        <f t="shared" si="278"/>
        <v/>
      </c>
      <c r="L338" s="30" t="str">
        <f t="shared" si="279"/>
        <v/>
      </c>
      <c r="M338" s="30" t="str">
        <f t="shared" si="280"/>
        <v/>
      </c>
      <c r="N338" s="30" t="str">
        <f t="shared" si="257"/>
        <v/>
      </c>
      <c r="O338" s="31" t="str">
        <f t="shared" si="281"/>
        <v/>
      </c>
      <c r="P338" s="32"/>
      <c r="Q338" s="33" t="str">
        <f t="shared" si="258"/>
        <v/>
      </c>
      <c r="R338" s="33" t="str">
        <f t="shared" si="259"/>
        <v/>
      </c>
      <c r="S338" s="33" t="str">
        <f t="shared" si="260"/>
        <v/>
      </c>
      <c r="T338" s="33" t="str">
        <f t="shared" si="261"/>
        <v/>
      </c>
      <c r="U338" s="33" t="str">
        <f t="shared" si="262"/>
        <v/>
      </c>
      <c r="V338" s="33" t="str">
        <f t="shared" si="263"/>
        <v/>
      </c>
      <c r="X338" s="33" t="str">
        <f t="shared" si="249"/>
        <v/>
      </c>
      <c r="Y338" s="30" t="str">
        <f t="shared" si="264"/>
        <v/>
      </c>
      <c r="Z338" s="30" t="str">
        <f t="shared" si="265"/>
        <v/>
      </c>
      <c r="AA338" s="30" t="str">
        <f t="shared" si="266"/>
        <v/>
      </c>
      <c r="AB338" s="30" t="str">
        <f t="shared" si="267"/>
        <v/>
      </c>
      <c r="AD338" s="33" t="str">
        <f t="shared" si="268"/>
        <v/>
      </c>
      <c r="AE338" s="30" t="str">
        <f t="shared" si="269"/>
        <v/>
      </c>
      <c r="AF338" s="30" t="str">
        <f t="shared" si="270"/>
        <v/>
      </c>
      <c r="AG338" s="30" t="str">
        <f t="shared" si="271"/>
        <v/>
      </c>
      <c r="AH338" s="30" t="str">
        <f t="shared" si="272"/>
        <v/>
      </c>
      <c r="AJ338" s="85" t="str">
        <f t="shared" si="282"/>
        <v/>
      </c>
      <c r="AK338" s="86" t="str">
        <f t="shared" si="292"/>
        <v/>
      </c>
      <c r="AL338" s="86" t="str">
        <f t="shared" si="293"/>
        <v/>
      </c>
      <c r="AM338" s="86" t="str">
        <f t="shared" si="294"/>
        <v/>
      </c>
      <c r="AN338" s="86" t="str">
        <f t="shared" si="295"/>
        <v/>
      </c>
      <c r="AO338" s="86" t="str">
        <f t="shared" si="296"/>
        <v/>
      </c>
      <c r="AQ338" s="33" t="str">
        <f t="shared" si="273"/>
        <v/>
      </c>
      <c r="AR338" s="30" t="str">
        <f t="shared" si="274"/>
        <v/>
      </c>
      <c r="AU338" s="20">
        <f t="shared" si="275"/>
        <v>0</v>
      </c>
      <c r="AV338" s="20">
        <f t="shared" si="276"/>
        <v>0</v>
      </c>
      <c r="AW338" s="19">
        <f t="shared" si="283"/>
        <v>0</v>
      </c>
      <c r="AX338" s="19">
        <f t="shared" si="284"/>
        <v>0</v>
      </c>
      <c r="AY338" s="19">
        <f t="shared" si="285"/>
        <v>0</v>
      </c>
      <c r="AZ338" s="19">
        <f t="shared" si="286"/>
        <v>0</v>
      </c>
      <c r="BA338" s="19">
        <f t="shared" si="287"/>
        <v>0</v>
      </c>
      <c r="BB338" s="19">
        <f t="shared" si="288"/>
        <v>0</v>
      </c>
      <c r="BC338" s="19">
        <f t="shared" si="289"/>
        <v>0</v>
      </c>
      <c r="BD338" s="19">
        <f>-IF(CUSTOS!B338="",0,CUSTOS!B338)</f>
        <v>0</v>
      </c>
      <c r="BF338" s="20">
        <f t="shared" si="290"/>
        <v>0</v>
      </c>
      <c r="BG338" s="20">
        <f t="shared" si="291"/>
        <v>0</v>
      </c>
      <c r="BH338" s="116">
        <f t="shared" si="291"/>
        <v>0</v>
      </c>
    </row>
    <row r="339" spans="1:60" ht="15" x14ac:dyDescent="0.25">
      <c r="A339" s="66" t="str">
        <f>IF(LARGE($A$11:A338,1)=$F$2,"",A338+1)</f>
        <v/>
      </c>
      <c r="B339" s="27" t="str">
        <f t="shared" si="250"/>
        <v/>
      </c>
      <c r="C339" s="28" t="str">
        <f t="shared" si="277"/>
        <v/>
      </c>
      <c r="D339" s="28" t="str">
        <f t="shared" si="251"/>
        <v/>
      </c>
      <c r="E339" s="28" t="str">
        <f t="shared" si="252"/>
        <v/>
      </c>
      <c r="F339" s="29" t="str">
        <f t="shared" si="253"/>
        <v/>
      </c>
      <c r="G339" s="29" t="str">
        <f t="shared" si="254"/>
        <v/>
      </c>
      <c r="H339" s="30" t="str">
        <f t="shared" si="255"/>
        <v/>
      </c>
      <c r="I339" s="30" t="str">
        <f t="shared" si="256"/>
        <v/>
      </c>
      <c r="J339" s="30" t="str">
        <f>IF(A339="","",H339+CUSTOS!B339)</f>
        <v/>
      </c>
      <c r="K339" s="30" t="str">
        <f t="shared" si="278"/>
        <v/>
      </c>
      <c r="L339" s="30" t="str">
        <f t="shared" si="279"/>
        <v/>
      </c>
      <c r="M339" s="30" t="str">
        <f t="shared" si="280"/>
        <v/>
      </c>
      <c r="N339" s="30" t="str">
        <f t="shared" si="257"/>
        <v/>
      </c>
      <c r="O339" s="31" t="str">
        <f t="shared" si="281"/>
        <v/>
      </c>
      <c r="P339" s="32"/>
      <c r="Q339" s="33" t="str">
        <f t="shared" si="258"/>
        <v/>
      </c>
      <c r="R339" s="33" t="str">
        <f t="shared" si="259"/>
        <v/>
      </c>
      <c r="S339" s="33" t="str">
        <f t="shared" si="260"/>
        <v/>
      </c>
      <c r="T339" s="33" t="str">
        <f t="shared" si="261"/>
        <v/>
      </c>
      <c r="U339" s="33" t="str">
        <f t="shared" si="262"/>
        <v/>
      </c>
      <c r="V339" s="33" t="str">
        <f t="shared" si="263"/>
        <v/>
      </c>
      <c r="X339" s="33" t="str">
        <f t="shared" si="249"/>
        <v/>
      </c>
      <c r="Y339" s="30" t="str">
        <f t="shared" si="264"/>
        <v/>
      </c>
      <c r="Z339" s="30" t="str">
        <f t="shared" si="265"/>
        <v/>
      </c>
      <c r="AA339" s="30" t="str">
        <f t="shared" si="266"/>
        <v/>
      </c>
      <c r="AB339" s="30" t="str">
        <f t="shared" si="267"/>
        <v/>
      </c>
      <c r="AD339" s="33" t="str">
        <f t="shared" si="268"/>
        <v/>
      </c>
      <c r="AE339" s="30" t="str">
        <f t="shared" si="269"/>
        <v/>
      </c>
      <c r="AF339" s="30" t="str">
        <f t="shared" si="270"/>
        <v/>
      </c>
      <c r="AG339" s="30" t="str">
        <f t="shared" si="271"/>
        <v/>
      </c>
      <c r="AH339" s="30" t="str">
        <f t="shared" si="272"/>
        <v/>
      </c>
      <c r="AJ339" s="85" t="str">
        <f t="shared" si="282"/>
        <v/>
      </c>
      <c r="AK339" s="86" t="str">
        <f t="shared" si="292"/>
        <v/>
      </c>
      <c r="AL339" s="86" t="str">
        <f t="shared" si="293"/>
        <v/>
      </c>
      <c r="AM339" s="86" t="str">
        <f t="shared" si="294"/>
        <v/>
      </c>
      <c r="AN339" s="86" t="str">
        <f t="shared" si="295"/>
        <v/>
      </c>
      <c r="AO339" s="86" t="str">
        <f t="shared" si="296"/>
        <v/>
      </c>
      <c r="AQ339" s="33" t="str">
        <f t="shared" si="273"/>
        <v/>
      </c>
      <c r="AR339" s="30" t="str">
        <f t="shared" si="274"/>
        <v/>
      </c>
      <c r="AU339" s="20">
        <f t="shared" si="275"/>
        <v>0</v>
      </c>
      <c r="AV339" s="20">
        <f t="shared" si="276"/>
        <v>0</v>
      </c>
      <c r="AW339" s="19">
        <f t="shared" si="283"/>
        <v>0</v>
      </c>
      <c r="AX339" s="19">
        <f t="shared" si="284"/>
        <v>0</v>
      </c>
      <c r="AY339" s="19">
        <f t="shared" si="285"/>
        <v>0</v>
      </c>
      <c r="AZ339" s="19">
        <f t="shared" si="286"/>
        <v>0</v>
      </c>
      <c r="BA339" s="19">
        <f t="shared" si="287"/>
        <v>0</v>
      </c>
      <c r="BB339" s="19">
        <f t="shared" si="288"/>
        <v>0</v>
      </c>
      <c r="BC339" s="19">
        <f t="shared" si="289"/>
        <v>0</v>
      </c>
      <c r="BD339" s="19">
        <f>-IF(CUSTOS!B339="",0,CUSTOS!B339)</f>
        <v>0</v>
      </c>
      <c r="BF339" s="20">
        <f t="shared" si="290"/>
        <v>0</v>
      </c>
      <c r="BG339" s="20">
        <f t="shared" si="291"/>
        <v>0</v>
      </c>
      <c r="BH339" s="116">
        <f t="shared" si="291"/>
        <v>0</v>
      </c>
    </row>
    <row r="340" spans="1:60" ht="15" x14ac:dyDescent="0.25">
      <c r="A340" s="66" t="str">
        <f>IF(LARGE($A$11:A339,1)=$F$2,"",A339+1)</f>
        <v/>
      </c>
      <c r="B340" s="27" t="str">
        <f t="shared" si="250"/>
        <v/>
      </c>
      <c r="C340" s="28" t="str">
        <f t="shared" si="277"/>
        <v/>
      </c>
      <c r="D340" s="28" t="str">
        <f t="shared" si="251"/>
        <v/>
      </c>
      <c r="E340" s="28" t="str">
        <f t="shared" si="252"/>
        <v/>
      </c>
      <c r="F340" s="29" t="str">
        <f t="shared" si="253"/>
        <v/>
      </c>
      <c r="G340" s="29" t="str">
        <f t="shared" si="254"/>
        <v/>
      </c>
      <c r="H340" s="30" t="str">
        <f t="shared" si="255"/>
        <v/>
      </c>
      <c r="I340" s="30" t="str">
        <f t="shared" si="256"/>
        <v/>
      </c>
      <c r="J340" s="30" t="str">
        <f>IF(A340="","",H340+CUSTOS!B340)</f>
        <v/>
      </c>
      <c r="K340" s="30" t="str">
        <f t="shared" si="278"/>
        <v/>
      </c>
      <c r="L340" s="30" t="str">
        <f t="shared" si="279"/>
        <v/>
      </c>
      <c r="M340" s="30" t="str">
        <f t="shared" si="280"/>
        <v/>
      </c>
      <c r="N340" s="30" t="str">
        <f t="shared" si="257"/>
        <v/>
      </c>
      <c r="O340" s="31" t="str">
        <f t="shared" si="281"/>
        <v/>
      </c>
      <c r="P340" s="32"/>
      <c r="Q340" s="33" t="str">
        <f t="shared" si="258"/>
        <v/>
      </c>
      <c r="R340" s="33" t="str">
        <f t="shared" si="259"/>
        <v/>
      </c>
      <c r="S340" s="33" t="str">
        <f t="shared" si="260"/>
        <v/>
      </c>
      <c r="T340" s="33" t="str">
        <f t="shared" si="261"/>
        <v/>
      </c>
      <c r="U340" s="33" t="str">
        <f t="shared" si="262"/>
        <v/>
      </c>
      <c r="V340" s="33" t="str">
        <f t="shared" si="263"/>
        <v/>
      </c>
      <c r="X340" s="33" t="str">
        <f t="shared" si="249"/>
        <v/>
      </c>
      <c r="Y340" s="30" t="str">
        <f t="shared" si="264"/>
        <v/>
      </c>
      <c r="Z340" s="30" t="str">
        <f t="shared" si="265"/>
        <v/>
      </c>
      <c r="AA340" s="30" t="str">
        <f t="shared" si="266"/>
        <v/>
      </c>
      <c r="AB340" s="30" t="str">
        <f t="shared" si="267"/>
        <v/>
      </c>
      <c r="AD340" s="33" t="str">
        <f t="shared" si="268"/>
        <v/>
      </c>
      <c r="AE340" s="30" t="str">
        <f t="shared" si="269"/>
        <v/>
      </c>
      <c r="AF340" s="30" t="str">
        <f t="shared" si="270"/>
        <v/>
      </c>
      <c r="AG340" s="30" t="str">
        <f t="shared" si="271"/>
        <v/>
      </c>
      <c r="AH340" s="30" t="str">
        <f t="shared" si="272"/>
        <v/>
      </c>
      <c r="AJ340" s="85" t="str">
        <f t="shared" si="282"/>
        <v/>
      </c>
      <c r="AK340" s="86" t="str">
        <f t="shared" si="292"/>
        <v/>
      </c>
      <c r="AL340" s="86" t="str">
        <f t="shared" si="293"/>
        <v/>
      </c>
      <c r="AM340" s="86" t="str">
        <f t="shared" si="294"/>
        <v/>
      </c>
      <c r="AN340" s="86" t="str">
        <f t="shared" si="295"/>
        <v/>
      </c>
      <c r="AO340" s="86" t="str">
        <f t="shared" si="296"/>
        <v/>
      </c>
      <c r="AQ340" s="33" t="str">
        <f t="shared" si="273"/>
        <v/>
      </c>
      <c r="AR340" s="30" t="str">
        <f t="shared" si="274"/>
        <v/>
      </c>
      <c r="AU340" s="20">
        <f t="shared" si="275"/>
        <v>0</v>
      </c>
      <c r="AV340" s="20">
        <f t="shared" si="276"/>
        <v>0</v>
      </c>
      <c r="AW340" s="19">
        <f t="shared" si="283"/>
        <v>0</v>
      </c>
      <c r="AX340" s="19">
        <f t="shared" si="284"/>
        <v>0</v>
      </c>
      <c r="AY340" s="19">
        <f t="shared" si="285"/>
        <v>0</v>
      </c>
      <c r="AZ340" s="19">
        <f t="shared" si="286"/>
        <v>0</v>
      </c>
      <c r="BA340" s="19">
        <f t="shared" si="287"/>
        <v>0</v>
      </c>
      <c r="BB340" s="19">
        <f t="shared" si="288"/>
        <v>0</v>
      </c>
      <c r="BC340" s="19">
        <f t="shared" si="289"/>
        <v>0</v>
      </c>
      <c r="BD340" s="19">
        <f>-IF(CUSTOS!B340="",0,CUSTOS!B340)</f>
        <v>0</v>
      </c>
      <c r="BF340" s="20">
        <f t="shared" si="290"/>
        <v>0</v>
      </c>
      <c r="BG340" s="20">
        <f t="shared" si="291"/>
        <v>0</v>
      </c>
      <c r="BH340" s="116">
        <f t="shared" si="291"/>
        <v>0</v>
      </c>
    </row>
    <row r="341" spans="1:60" ht="15" x14ac:dyDescent="0.25">
      <c r="A341" s="66" t="str">
        <f>IF(LARGE($A$11:A340,1)=$F$2,"",A340+1)</f>
        <v/>
      </c>
      <c r="B341" s="27" t="str">
        <f t="shared" si="250"/>
        <v/>
      </c>
      <c r="C341" s="28" t="str">
        <f t="shared" si="277"/>
        <v/>
      </c>
      <c r="D341" s="28" t="str">
        <f t="shared" si="251"/>
        <v/>
      </c>
      <c r="E341" s="28" t="str">
        <f t="shared" si="252"/>
        <v/>
      </c>
      <c r="F341" s="29" t="str">
        <f t="shared" si="253"/>
        <v/>
      </c>
      <c r="G341" s="29" t="str">
        <f t="shared" si="254"/>
        <v/>
      </c>
      <c r="H341" s="30" t="str">
        <f t="shared" si="255"/>
        <v/>
      </c>
      <c r="I341" s="30" t="str">
        <f t="shared" si="256"/>
        <v/>
      </c>
      <c r="J341" s="30" t="str">
        <f>IF(A341="","",H341+CUSTOS!B341)</f>
        <v/>
      </c>
      <c r="K341" s="30" t="str">
        <f t="shared" si="278"/>
        <v/>
      </c>
      <c r="L341" s="30" t="str">
        <f t="shared" si="279"/>
        <v/>
      </c>
      <c r="M341" s="30" t="str">
        <f t="shared" si="280"/>
        <v/>
      </c>
      <c r="N341" s="30" t="str">
        <f t="shared" si="257"/>
        <v/>
      </c>
      <c r="O341" s="31" t="str">
        <f t="shared" si="281"/>
        <v/>
      </c>
      <c r="P341" s="32"/>
      <c r="Q341" s="33" t="str">
        <f t="shared" si="258"/>
        <v/>
      </c>
      <c r="R341" s="33" t="str">
        <f t="shared" si="259"/>
        <v/>
      </c>
      <c r="S341" s="33" t="str">
        <f t="shared" si="260"/>
        <v/>
      </c>
      <c r="T341" s="33" t="str">
        <f t="shared" si="261"/>
        <v/>
      </c>
      <c r="U341" s="33" t="str">
        <f t="shared" si="262"/>
        <v/>
      </c>
      <c r="V341" s="33" t="str">
        <f t="shared" si="263"/>
        <v/>
      </c>
      <c r="X341" s="33" t="str">
        <f t="shared" si="249"/>
        <v/>
      </c>
      <c r="Y341" s="30" t="str">
        <f t="shared" si="264"/>
        <v/>
      </c>
      <c r="Z341" s="30" t="str">
        <f t="shared" si="265"/>
        <v/>
      </c>
      <c r="AA341" s="30" t="str">
        <f t="shared" si="266"/>
        <v/>
      </c>
      <c r="AB341" s="30" t="str">
        <f t="shared" si="267"/>
        <v/>
      </c>
      <c r="AD341" s="33" t="str">
        <f t="shared" si="268"/>
        <v/>
      </c>
      <c r="AE341" s="30" t="str">
        <f t="shared" si="269"/>
        <v/>
      </c>
      <c r="AF341" s="30" t="str">
        <f t="shared" si="270"/>
        <v/>
      </c>
      <c r="AG341" s="30" t="str">
        <f t="shared" si="271"/>
        <v/>
      </c>
      <c r="AH341" s="30" t="str">
        <f t="shared" si="272"/>
        <v/>
      </c>
      <c r="AJ341" s="85" t="str">
        <f t="shared" si="282"/>
        <v/>
      </c>
      <c r="AK341" s="86" t="str">
        <f t="shared" si="292"/>
        <v/>
      </c>
      <c r="AL341" s="86" t="str">
        <f t="shared" si="293"/>
        <v/>
      </c>
      <c r="AM341" s="86" t="str">
        <f t="shared" si="294"/>
        <v/>
      </c>
      <c r="AN341" s="86" t="str">
        <f t="shared" si="295"/>
        <v/>
      </c>
      <c r="AO341" s="86" t="str">
        <f t="shared" si="296"/>
        <v/>
      </c>
      <c r="AQ341" s="33" t="str">
        <f t="shared" si="273"/>
        <v/>
      </c>
      <c r="AR341" s="30" t="str">
        <f t="shared" si="274"/>
        <v/>
      </c>
      <c r="AU341" s="20">
        <f t="shared" si="275"/>
        <v>0</v>
      </c>
      <c r="AV341" s="20">
        <f t="shared" si="276"/>
        <v>0</v>
      </c>
      <c r="AW341" s="19">
        <f t="shared" si="283"/>
        <v>0</v>
      </c>
      <c r="AX341" s="19">
        <f t="shared" si="284"/>
        <v>0</v>
      </c>
      <c r="AY341" s="19">
        <f t="shared" si="285"/>
        <v>0</v>
      </c>
      <c r="AZ341" s="19">
        <f t="shared" si="286"/>
        <v>0</v>
      </c>
      <c r="BA341" s="19">
        <f t="shared" si="287"/>
        <v>0</v>
      </c>
      <c r="BB341" s="19">
        <f t="shared" si="288"/>
        <v>0</v>
      </c>
      <c r="BC341" s="19">
        <f t="shared" si="289"/>
        <v>0</v>
      </c>
      <c r="BD341" s="19">
        <f>-IF(CUSTOS!B341="",0,CUSTOS!B341)</f>
        <v>0</v>
      </c>
      <c r="BF341" s="20">
        <f t="shared" si="290"/>
        <v>0</v>
      </c>
      <c r="BG341" s="20">
        <f t="shared" si="291"/>
        <v>0</v>
      </c>
      <c r="BH341" s="116">
        <f t="shared" si="291"/>
        <v>0</v>
      </c>
    </row>
    <row r="342" spans="1:60" ht="15" x14ac:dyDescent="0.25">
      <c r="A342" s="66" t="str">
        <f>IF(LARGE($A$11:A341,1)=$F$2,"",A341+1)</f>
        <v/>
      </c>
      <c r="B342" s="27" t="str">
        <f t="shared" si="250"/>
        <v/>
      </c>
      <c r="C342" s="28" t="str">
        <f t="shared" si="277"/>
        <v/>
      </c>
      <c r="D342" s="28" t="str">
        <f t="shared" si="251"/>
        <v/>
      </c>
      <c r="E342" s="28" t="str">
        <f t="shared" si="252"/>
        <v/>
      </c>
      <c r="F342" s="29" t="str">
        <f t="shared" si="253"/>
        <v/>
      </c>
      <c r="G342" s="29" t="str">
        <f t="shared" si="254"/>
        <v/>
      </c>
      <c r="H342" s="30" t="str">
        <f t="shared" si="255"/>
        <v/>
      </c>
      <c r="I342" s="30" t="str">
        <f t="shared" si="256"/>
        <v/>
      </c>
      <c r="J342" s="30" t="str">
        <f>IF(A342="","",H342+CUSTOS!B342)</f>
        <v/>
      </c>
      <c r="K342" s="30" t="str">
        <f t="shared" si="278"/>
        <v/>
      </c>
      <c r="L342" s="30" t="str">
        <f t="shared" si="279"/>
        <v/>
      </c>
      <c r="M342" s="30" t="str">
        <f t="shared" si="280"/>
        <v/>
      </c>
      <c r="N342" s="30" t="str">
        <f t="shared" si="257"/>
        <v/>
      </c>
      <c r="O342" s="31" t="str">
        <f t="shared" si="281"/>
        <v/>
      </c>
      <c r="P342" s="32"/>
      <c r="Q342" s="33" t="str">
        <f t="shared" si="258"/>
        <v/>
      </c>
      <c r="R342" s="33" t="str">
        <f t="shared" si="259"/>
        <v/>
      </c>
      <c r="S342" s="33" t="str">
        <f t="shared" si="260"/>
        <v/>
      </c>
      <c r="T342" s="33" t="str">
        <f t="shared" si="261"/>
        <v/>
      </c>
      <c r="U342" s="33" t="str">
        <f t="shared" si="262"/>
        <v/>
      </c>
      <c r="V342" s="33" t="str">
        <f t="shared" si="263"/>
        <v/>
      </c>
      <c r="X342" s="33" t="str">
        <f t="shared" si="249"/>
        <v/>
      </c>
      <c r="Y342" s="30" t="str">
        <f t="shared" si="264"/>
        <v/>
      </c>
      <c r="Z342" s="30" t="str">
        <f t="shared" si="265"/>
        <v/>
      </c>
      <c r="AA342" s="30" t="str">
        <f t="shared" si="266"/>
        <v/>
      </c>
      <c r="AB342" s="30" t="str">
        <f t="shared" si="267"/>
        <v/>
      </c>
      <c r="AD342" s="33" t="str">
        <f t="shared" si="268"/>
        <v/>
      </c>
      <c r="AE342" s="30" t="str">
        <f t="shared" si="269"/>
        <v/>
      </c>
      <c r="AF342" s="30" t="str">
        <f t="shared" si="270"/>
        <v/>
      </c>
      <c r="AG342" s="30" t="str">
        <f t="shared" si="271"/>
        <v/>
      </c>
      <c r="AH342" s="30" t="str">
        <f t="shared" si="272"/>
        <v/>
      </c>
      <c r="AJ342" s="85" t="str">
        <f t="shared" si="282"/>
        <v/>
      </c>
      <c r="AK342" s="86" t="str">
        <f t="shared" si="292"/>
        <v/>
      </c>
      <c r="AL342" s="86" t="str">
        <f t="shared" si="293"/>
        <v/>
      </c>
      <c r="AM342" s="86" t="str">
        <f t="shared" si="294"/>
        <v/>
      </c>
      <c r="AN342" s="86" t="str">
        <f t="shared" si="295"/>
        <v/>
      </c>
      <c r="AO342" s="86" t="str">
        <f t="shared" si="296"/>
        <v/>
      </c>
      <c r="AQ342" s="33" t="str">
        <f t="shared" si="273"/>
        <v/>
      </c>
      <c r="AR342" s="30" t="str">
        <f t="shared" si="274"/>
        <v/>
      </c>
      <c r="AU342" s="20">
        <f t="shared" si="275"/>
        <v>0</v>
      </c>
      <c r="AV342" s="20">
        <f t="shared" si="276"/>
        <v>0</v>
      </c>
      <c r="AW342" s="19">
        <f t="shared" si="283"/>
        <v>0</v>
      </c>
      <c r="AX342" s="19">
        <f t="shared" si="284"/>
        <v>0</v>
      </c>
      <c r="AY342" s="19">
        <f t="shared" si="285"/>
        <v>0</v>
      </c>
      <c r="AZ342" s="19">
        <f t="shared" si="286"/>
        <v>0</v>
      </c>
      <c r="BA342" s="19">
        <f t="shared" si="287"/>
        <v>0</v>
      </c>
      <c r="BB342" s="19">
        <f t="shared" si="288"/>
        <v>0</v>
      </c>
      <c r="BC342" s="19">
        <f t="shared" si="289"/>
        <v>0</v>
      </c>
      <c r="BD342" s="19">
        <f>-IF(CUSTOS!B342="",0,CUSTOS!B342)</f>
        <v>0</v>
      </c>
      <c r="BF342" s="20">
        <f t="shared" si="290"/>
        <v>0</v>
      </c>
      <c r="BG342" s="20">
        <f t="shared" si="291"/>
        <v>0</v>
      </c>
      <c r="BH342" s="116">
        <f t="shared" si="291"/>
        <v>0</v>
      </c>
    </row>
    <row r="343" spans="1:60" ht="15" x14ac:dyDescent="0.25">
      <c r="A343" s="66" t="str">
        <f>IF(LARGE($A$11:A342,1)=$F$2,"",A342+1)</f>
        <v/>
      </c>
      <c r="B343" s="27" t="str">
        <f t="shared" si="250"/>
        <v/>
      </c>
      <c r="C343" s="28" t="str">
        <f t="shared" si="277"/>
        <v/>
      </c>
      <c r="D343" s="28" t="str">
        <f t="shared" si="251"/>
        <v/>
      </c>
      <c r="E343" s="28" t="str">
        <f t="shared" si="252"/>
        <v/>
      </c>
      <c r="F343" s="29" t="str">
        <f t="shared" si="253"/>
        <v/>
      </c>
      <c r="G343" s="29" t="str">
        <f t="shared" si="254"/>
        <v/>
      </c>
      <c r="H343" s="30" t="str">
        <f t="shared" si="255"/>
        <v/>
      </c>
      <c r="I343" s="30" t="str">
        <f t="shared" si="256"/>
        <v/>
      </c>
      <c r="J343" s="30" t="str">
        <f>IF(A343="","",H343+CUSTOS!B343)</f>
        <v/>
      </c>
      <c r="K343" s="30" t="str">
        <f t="shared" si="278"/>
        <v/>
      </c>
      <c r="L343" s="30" t="str">
        <f t="shared" si="279"/>
        <v/>
      </c>
      <c r="M343" s="30" t="str">
        <f t="shared" si="280"/>
        <v/>
      </c>
      <c r="N343" s="30" t="str">
        <f t="shared" si="257"/>
        <v/>
      </c>
      <c r="O343" s="31" t="str">
        <f t="shared" si="281"/>
        <v/>
      </c>
      <c r="P343" s="32"/>
      <c r="Q343" s="33" t="str">
        <f t="shared" si="258"/>
        <v/>
      </c>
      <c r="R343" s="33" t="str">
        <f t="shared" si="259"/>
        <v/>
      </c>
      <c r="S343" s="33" t="str">
        <f t="shared" si="260"/>
        <v/>
      </c>
      <c r="T343" s="33" t="str">
        <f t="shared" si="261"/>
        <v/>
      </c>
      <c r="U343" s="33" t="str">
        <f t="shared" si="262"/>
        <v/>
      </c>
      <c r="V343" s="33" t="str">
        <f t="shared" si="263"/>
        <v/>
      </c>
      <c r="X343" s="33" t="str">
        <f t="shared" si="249"/>
        <v/>
      </c>
      <c r="Y343" s="30" t="str">
        <f t="shared" si="264"/>
        <v/>
      </c>
      <c r="Z343" s="30" t="str">
        <f t="shared" si="265"/>
        <v/>
      </c>
      <c r="AA343" s="30" t="str">
        <f t="shared" si="266"/>
        <v/>
      </c>
      <c r="AB343" s="30" t="str">
        <f t="shared" si="267"/>
        <v/>
      </c>
      <c r="AD343" s="33" t="str">
        <f t="shared" si="268"/>
        <v/>
      </c>
      <c r="AE343" s="30" t="str">
        <f t="shared" si="269"/>
        <v/>
      </c>
      <c r="AF343" s="30" t="str">
        <f t="shared" si="270"/>
        <v/>
      </c>
      <c r="AG343" s="30" t="str">
        <f t="shared" si="271"/>
        <v/>
      </c>
      <c r="AH343" s="30" t="str">
        <f t="shared" si="272"/>
        <v/>
      </c>
      <c r="AJ343" s="85" t="str">
        <f t="shared" si="282"/>
        <v/>
      </c>
      <c r="AK343" s="86" t="str">
        <f t="shared" si="292"/>
        <v/>
      </c>
      <c r="AL343" s="86" t="str">
        <f t="shared" si="293"/>
        <v/>
      </c>
      <c r="AM343" s="86" t="str">
        <f t="shared" si="294"/>
        <v/>
      </c>
      <c r="AN343" s="86" t="str">
        <f t="shared" si="295"/>
        <v/>
      </c>
      <c r="AO343" s="86" t="str">
        <f t="shared" si="296"/>
        <v/>
      </c>
      <c r="AQ343" s="33" t="str">
        <f t="shared" si="273"/>
        <v/>
      </c>
      <c r="AR343" s="30" t="str">
        <f t="shared" si="274"/>
        <v/>
      </c>
      <c r="AU343" s="20">
        <f t="shared" si="275"/>
        <v>0</v>
      </c>
      <c r="AV343" s="20">
        <f t="shared" si="276"/>
        <v>0</v>
      </c>
      <c r="AW343" s="19">
        <f t="shared" si="283"/>
        <v>0</v>
      </c>
      <c r="AX343" s="19">
        <f t="shared" si="284"/>
        <v>0</v>
      </c>
      <c r="AY343" s="19">
        <f t="shared" si="285"/>
        <v>0</v>
      </c>
      <c r="AZ343" s="19">
        <f t="shared" si="286"/>
        <v>0</v>
      </c>
      <c r="BA343" s="19">
        <f t="shared" si="287"/>
        <v>0</v>
      </c>
      <c r="BB343" s="19">
        <f t="shared" si="288"/>
        <v>0</v>
      </c>
      <c r="BC343" s="19">
        <f t="shared" si="289"/>
        <v>0</v>
      </c>
      <c r="BD343" s="19">
        <f>-IF(CUSTOS!B343="",0,CUSTOS!B343)</f>
        <v>0</v>
      </c>
      <c r="BF343" s="20">
        <f t="shared" si="290"/>
        <v>0</v>
      </c>
      <c r="BG343" s="20">
        <f t="shared" si="291"/>
        <v>0</v>
      </c>
      <c r="BH343" s="116">
        <f t="shared" si="291"/>
        <v>0</v>
      </c>
    </row>
    <row r="344" spans="1:60" ht="15" x14ac:dyDescent="0.25">
      <c r="A344" s="66" t="str">
        <f>IF(LARGE($A$11:A343,1)=$F$2,"",A343+1)</f>
        <v/>
      </c>
      <c r="B344" s="27" t="str">
        <f t="shared" si="250"/>
        <v/>
      </c>
      <c r="C344" s="28" t="str">
        <f t="shared" si="277"/>
        <v/>
      </c>
      <c r="D344" s="28" t="str">
        <f t="shared" si="251"/>
        <v/>
      </c>
      <c r="E344" s="28" t="str">
        <f t="shared" si="252"/>
        <v/>
      </c>
      <c r="F344" s="29" t="str">
        <f t="shared" si="253"/>
        <v/>
      </c>
      <c r="G344" s="29" t="str">
        <f t="shared" si="254"/>
        <v/>
      </c>
      <c r="H344" s="30" t="str">
        <f t="shared" si="255"/>
        <v/>
      </c>
      <c r="I344" s="30" t="str">
        <f t="shared" si="256"/>
        <v/>
      </c>
      <c r="J344" s="30" t="str">
        <f>IF(A344="","",H344+CUSTOS!B344)</f>
        <v/>
      </c>
      <c r="K344" s="30" t="str">
        <f t="shared" si="278"/>
        <v/>
      </c>
      <c r="L344" s="30" t="str">
        <f t="shared" si="279"/>
        <v/>
      </c>
      <c r="M344" s="30" t="str">
        <f t="shared" si="280"/>
        <v/>
      </c>
      <c r="N344" s="30" t="str">
        <f t="shared" si="257"/>
        <v/>
      </c>
      <c r="O344" s="31" t="str">
        <f t="shared" si="281"/>
        <v/>
      </c>
      <c r="P344" s="32"/>
      <c r="Q344" s="33" t="str">
        <f t="shared" si="258"/>
        <v/>
      </c>
      <c r="R344" s="33" t="str">
        <f t="shared" si="259"/>
        <v/>
      </c>
      <c r="S344" s="33" t="str">
        <f t="shared" si="260"/>
        <v/>
      </c>
      <c r="T344" s="33" t="str">
        <f t="shared" si="261"/>
        <v/>
      </c>
      <c r="U344" s="33" t="str">
        <f t="shared" si="262"/>
        <v/>
      </c>
      <c r="V344" s="33" t="str">
        <f t="shared" si="263"/>
        <v/>
      </c>
      <c r="X344" s="33" t="str">
        <f t="shared" si="249"/>
        <v/>
      </c>
      <c r="Y344" s="30" t="str">
        <f t="shared" si="264"/>
        <v/>
      </c>
      <c r="Z344" s="30" t="str">
        <f t="shared" si="265"/>
        <v/>
      </c>
      <c r="AA344" s="30" t="str">
        <f t="shared" si="266"/>
        <v/>
      </c>
      <c r="AB344" s="30" t="str">
        <f t="shared" si="267"/>
        <v/>
      </c>
      <c r="AD344" s="33" t="str">
        <f t="shared" si="268"/>
        <v/>
      </c>
      <c r="AE344" s="30" t="str">
        <f t="shared" si="269"/>
        <v/>
      </c>
      <c r="AF344" s="30" t="str">
        <f t="shared" si="270"/>
        <v/>
      </c>
      <c r="AG344" s="30" t="str">
        <f t="shared" si="271"/>
        <v/>
      </c>
      <c r="AH344" s="30" t="str">
        <f t="shared" si="272"/>
        <v/>
      </c>
      <c r="AJ344" s="85" t="str">
        <f t="shared" si="282"/>
        <v/>
      </c>
      <c r="AK344" s="86" t="str">
        <f t="shared" si="292"/>
        <v/>
      </c>
      <c r="AL344" s="86" t="str">
        <f t="shared" si="293"/>
        <v/>
      </c>
      <c r="AM344" s="86" t="str">
        <f t="shared" si="294"/>
        <v/>
      </c>
      <c r="AN344" s="86" t="str">
        <f t="shared" si="295"/>
        <v/>
      </c>
      <c r="AO344" s="86" t="str">
        <f t="shared" si="296"/>
        <v/>
      </c>
      <c r="AQ344" s="33" t="str">
        <f t="shared" si="273"/>
        <v/>
      </c>
      <c r="AR344" s="30" t="str">
        <f t="shared" si="274"/>
        <v/>
      </c>
      <c r="AU344" s="20">
        <f t="shared" si="275"/>
        <v>0</v>
      </c>
      <c r="AV344" s="20">
        <f t="shared" si="276"/>
        <v>0</v>
      </c>
      <c r="AW344" s="19">
        <f t="shared" si="283"/>
        <v>0</v>
      </c>
      <c r="AX344" s="19">
        <f t="shared" si="284"/>
        <v>0</v>
      </c>
      <c r="AY344" s="19">
        <f t="shared" si="285"/>
        <v>0</v>
      </c>
      <c r="AZ344" s="19">
        <f t="shared" si="286"/>
        <v>0</v>
      </c>
      <c r="BA344" s="19">
        <f t="shared" si="287"/>
        <v>0</v>
      </c>
      <c r="BB344" s="19">
        <f t="shared" si="288"/>
        <v>0</v>
      </c>
      <c r="BC344" s="19">
        <f t="shared" si="289"/>
        <v>0</v>
      </c>
      <c r="BD344" s="19">
        <f>-IF(CUSTOS!B344="",0,CUSTOS!B344)</f>
        <v>0</v>
      </c>
      <c r="BF344" s="20">
        <f t="shared" si="290"/>
        <v>0</v>
      </c>
      <c r="BG344" s="20">
        <f t="shared" si="291"/>
        <v>0</v>
      </c>
      <c r="BH344" s="116">
        <f t="shared" si="291"/>
        <v>0</v>
      </c>
    </row>
    <row r="345" spans="1:60" ht="15" x14ac:dyDescent="0.25">
      <c r="A345" s="66" t="str">
        <f>IF(LARGE($A$11:A344,1)=$F$2,"",A344+1)</f>
        <v/>
      </c>
      <c r="B345" s="27" t="str">
        <f t="shared" si="250"/>
        <v/>
      </c>
      <c r="C345" s="28" t="str">
        <f t="shared" si="277"/>
        <v/>
      </c>
      <c r="D345" s="28" t="str">
        <f t="shared" si="251"/>
        <v/>
      </c>
      <c r="E345" s="28" t="str">
        <f t="shared" si="252"/>
        <v/>
      </c>
      <c r="F345" s="29" t="str">
        <f t="shared" si="253"/>
        <v/>
      </c>
      <c r="G345" s="29" t="str">
        <f t="shared" si="254"/>
        <v/>
      </c>
      <c r="H345" s="30" t="str">
        <f t="shared" si="255"/>
        <v/>
      </c>
      <c r="I345" s="30" t="str">
        <f t="shared" si="256"/>
        <v/>
      </c>
      <c r="J345" s="30" t="str">
        <f>IF(A345="","",H345+CUSTOS!B345)</f>
        <v/>
      </c>
      <c r="K345" s="30" t="str">
        <f t="shared" si="278"/>
        <v/>
      </c>
      <c r="L345" s="30" t="str">
        <f t="shared" si="279"/>
        <v/>
      </c>
      <c r="M345" s="30" t="str">
        <f t="shared" si="280"/>
        <v/>
      </c>
      <c r="N345" s="30" t="str">
        <f t="shared" si="257"/>
        <v/>
      </c>
      <c r="O345" s="31" t="str">
        <f t="shared" si="281"/>
        <v/>
      </c>
      <c r="P345" s="32"/>
      <c r="Q345" s="33" t="str">
        <f t="shared" si="258"/>
        <v/>
      </c>
      <c r="R345" s="33" t="str">
        <f t="shared" si="259"/>
        <v/>
      </c>
      <c r="S345" s="33" t="str">
        <f t="shared" si="260"/>
        <v/>
      </c>
      <c r="T345" s="33" t="str">
        <f t="shared" si="261"/>
        <v/>
      </c>
      <c r="U345" s="33" t="str">
        <f t="shared" si="262"/>
        <v/>
      </c>
      <c r="V345" s="33" t="str">
        <f t="shared" si="263"/>
        <v/>
      </c>
      <c r="X345" s="33" t="str">
        <f t="shared" si="249"/>
        <v/>
      </c>
      <c r="Y345" s="30" t="str">
        <f t="shared" si="264"/>
        <v/>
      </c>
      <c r="Z345" s="30" t="str">
        <f t="shared" si="265"/>
        <v/>
      </c>
      <c r="AA345" s="30" t="str">
        <f t="shared" si="266"/>
        <v/>
      </c>
      <c r="AB345" s="30" t="str">
        <f t="shared" si="267"/>
        <v/>
      </c>
      <c r="AD345" s="33" t="str">
        <f t="shared" si="268"/>
        <v/>
      </c>
      <c r="AE345" s="30" t="str">
        <f t="shared" si="269"/>
        <v/>
      </c>
      <c r="AF345" s="30" t="str">
        <f t="shared" si="270"/>
        <v/>
      </c>
      <c r="AG345" s="30" t="str">
        <f t="shared" si="271"/>
        <v/>
      </c>
      <c r="AH345" s="30" t="str">
        <f t="shared" si="272"/>
        <v/>
      </c>
      <c r="AJ345" s="85" t="str">
        <f t="shared" si="282"/>
        <v/>
      </c>
      <c r="AK345" s="86" t="str">
        <f t="shared" si="292"/>
        <v/>
      </c>
      <c r="AL345" s="86" t="str">
        <f t="shared" si="293"/>
        <v/>
      </c>
      <c r="AM345" s="86" t="str">
        <f t="shared" si="294"/>
        <v/>
      </c>
      <c r="AN345" s="86" t="str">
        <f t="shared" si="295"/>
        <v/>
      </c>
      <c r="AO345" s="86" t="str">
        <f t="shared" si="296"/>
        <v/>
      </c>
      <c r="AQ345" s="33" t="str">
        <f t="shared" si="273"/>
        <v/>
      </c>
      <c r="AR345" s="30" t="str">
        <f t="shared" si="274"/>
        <v/>
      </c>
      <c r="AU345" s="20">
        <f t="shared" si="275"/>
        <v>0</v>
      </c>
      <c r="AV345" s="20">
        <f t="shared" si="276"/>
        <v>0</v>
      </c>
      <c r="AW345" s="19">
        <f t="shared" si="283"/>
        <v>0</v>
      </c>
      <c r="AX345" s="19">
        <f t="shared" si="284"/>
        <v>0</v>
      </c>
      <c r="AY345" s="19">
        <f t="shared" si="285"/>
        <v>0</v>
      </c>
      <c r="AZ345" s="19">
        <f t="shared" si="286"/>
        <v>0</v>
      </c>
      <c r="BA345" s="19">
        <f t="shared" si="287"/>
        <v>0</v>
      </c>
      <c r="BB345" s="19">
        <f t="shared" si="288"/>
        <v>0</v>
      </c>
      <c r="BC345" s="19">
        <f t="shared" si="289"/>
        <v>0</v>
      </c>
      <c r="BD345" s="19">
        <f>-IF(CUSTOS!B345="",0,CUSTOS!B345)</f>
        <v>0</v>
      </c>
      <c r="BF345" s="20">
        <f t="shared" si="290"/>
        <v>0</v>
      </c>
      <c r="BG345" s="20">
        <f t="shared" si="291"/>
        <v>0</v>
      </c>
      <c r="BH345" s="116">
        <f t="shared" si="291"/>
        <v>0</v>
      </c>
    </row>
    <row r="346" spans="1:60" ht="15" x14ac:dyDescent="0.25">
      <c r="A346" s="66" t="str">
        <f>IF(LARGE($A$11:A345,1)=$F$2,"",A345+1)</f>
        <v/>
      </c>
      <c r="B346" s="27" t="str">
        <f t="shared" si="250"/>
        <v/>
      </c>
      <c r="C346" s="28" t="str">
        <f t="shared" si="277"/>
        <v/>
      </c>
      <c r="D346" s="28" t="str">
        <f t="shared" si="251"/>
        <v/>
      </c>
      <c r="E346" s="28" t="str">
        <f t="shared" si="252"/>
        <v/>
      </c>
      <c r="F346" s="29" t="str">
        <f t="shared" si="253"/>
        <v/>
      </c>
      <c r="G346" s="29" t="str">
        <f t="shared" si="254"/>
        <v/>
      </c>
      <c r="H346" s="30" t="str">
        <f t="shared" si="255"/>
        <v/>
      </c>
      <c r="I346" s="30" t="str">
        <f t="shared" si="256"/>
        <v/>
      </c>
      <c r="J346" s="30" t="str">
        <f>IF(A346="","",H346+CUSTOS!B346)</f>
        <v/>
      </c>
      <c r="K346" s="30" t="str">
        <f t="shared" si="278"/>
        <v/>
      </c>
      <c r="L346" s="30" t="str">
        <f t="shared" si="279"/>
        <v/>
      </c>
      <c r="M346" s="30" t="str">
        <f t="shared" si="280"/>
        <v/>
      </c>
      <c r="N346" s="30" t="str">
        <f t="shared" si="257"/>
        <v/>
      </c>
      <c r="O346" s="31" t="str">
        <f t="shared" si="281"/>
        <v/>
      </c>
      <c r="P346" s="32"/>
      <c r="Q346" s="33" t="str">
        <f t="shared" si="258"/>
        <v/>
      </c>
      <c r="R346" s="33" t="str">
        <f t="shared" si="259"/>
        <v/>
      </c>
      <c r="S346" s="33" t="str">
        <f t="shared" si="260"/>
        <v/>
      </c>
      <c r="T346" s="33" t="str">
        <f t="shared" si="261"/>
        <v/>
      </c>
      <c r="U346" s="33" t="str">
        <f t="shared" si="262"/>
        <v/>
      </c>
      <c r="V346" s="33" t="str">
        <f t="shared" si="263"/>
        <v/>
      </c>
      <c r="X346" s="33" t="str">
        <f t="shared" si="249"/>
        <v/>
      </c>
      <c r="Y346" s="30" t="str">
        <f t="shared" si="264"/>
        <v/>
      </c>
      <c r="Z346" s="30" t="str">
        <f t="shared" si="265"/>
        <v/>
      </c>
      <c r="AA346" s="30" t="str">
        <f t="shared" si="266"/>
        <v/>
      </c>
      <c r="AB346" s="30" t="str">
        <f t="shared" si="267"/>
        <v/>
      </c>
      <c r="AD346" s="33" t="str">
        <f t="shared" si="268"/>
        <v/>
      </c>
      <c r="AE346" s="30" t="str">
        <f t="shared" si="269"/>
        <v/>
      </c>
      <c r="AF346" s="30" t="str">
        <f t="shared" si="270"/>
        <v/>
      </c>
      <c r="AG346" s="30" t="str">
        <f t="shared" si="271"/>
        <v/>
      </c>
      <c r="AH346" s="30" t="str">
        <f t="shared" si="272"/>
        <v/>
      </c>
      <c r="AJ346" s="85" t="str">
        <f t="shared" si="282"/>
        <v/>
      </c>
      <c r="AK346" s="86" t="str">
        <f t="shared" si="292"/>
        <v/>
      </c>
      <c r="AL346" s="86" t="str">
        <f t="shared" si="293"/>
        <v/>
      </c>
      <c r="AM346" s="86" t="str">
        <f t="shared" si="294"/>
        <v/>
      </c>
      <c r="AN346" s="86" t="str">
        <f t="shared" si="295"/>
        <v/>
      </c>
      <c r="AO346" s="86" t="str">
        <f t="shared" si="296"/>
        <v/>
      </c>
      <c r="AQ346" s="33" t="str">
        <f t="shared" si="273"/>
        <v/>
      </c>
      <c r="AR346" s="30" t="str">
        <f t="shared" si="274"/>
        <v/>
      </c>
      <c r="AU346" s="20">
        <f t="shared" si="275"/>
        <v>0</v>
      </c>
      <c r="AV346" s="20">
        <f t="shared" si="276"/>
        <v>0</v>
      </c>
      <c r="AW346" s="19">
        <f t="shared" si="283"/>
        <v>0</v>
      </c>
      <c r="AX346" s="19">
        <f t="shared" si="284"/>
        <v>0</v>
      </c>
      <c r="AY346" s="19">
        <f t="shared" si="285"/>
        <v>0</v>
      </c>
      <c r="AZ346" s="19">
        <f t="shared" si="286"/>
        <v>0</v>
      </c>
      <c r="BA346" s="19">
        <f t="shared" si="287"/>
        <v>0</v>
      </c>
      <c r="BB346" s="19">
        <f t="shared" si="288"/>
        <v>0</v>
      </c>
      <c r="BC346" s="19">
        <f t="shared" si="289"/>
        <v>0</v>
      </c>
      <c r="BD346" s="19">
        <f>-IF(CUSTOS!B346="",0,CUSTOS!B346)</f>
        <v>0</v>
      </c>
      <c r="BF346" s="20">
        <f t="shared" si="290"/>
        <v>0</v>
      </c>
      <c r="BG346" s="20">
        <f t="shared" si="291"/>
        <v>0</v>
      </c>
      <c r="BH346" s="116">
        <f t="shared" si="291"/>
        <v>0</v>
      </c>
    </row>
    <row r="347" spans="1:60" ht="15" x14ac:dyDescent="0.25">
      <c r="A347" s="66" t="str">
        <f>IF(LARGE($A$11:A346,1)=$F$2,"",A346+1)</f>
        <v/>
      </c>
      <c r="B347" s="27" t="str">
        <f t="shared" si="250"/>
        <v/>
      </c>
      <c r="C347" s="28" t="str">
        <f t="shared" si="277"/>
        <v/>
      </c>
      <c r="D347" s="28" t="str">
        <f t="shared" si="251"/>
        <v/>
      </c>
      <c r="E347" s="28" t="str">
        <f t="shared" si="252"/>
        <v/>
      </c>
      <c r="F347" s="29" t="str">
        <f t="shared" si="253"/>
        <v/>
      </c>
      <c r="G347" s="29" t="str">
        <f t="shared" si="254"/>
        <v/>
      </c>
      <c r="H347" s="30" t="str">
        <f t="shared" si="255"/>
        <v/>
      </c>
      <c r="I347" s="30" t="str">
        <f t="shared" si="256"/>
        <v/>
      </c>
      <c r="J347" s="30" t="str">
        <f>IF(A347="","",H347+CUSTOS!B347)</f>
        <v/>
      </c>
      <c r="K347" s="30" t="str">
        <f t="shared" si="278"/>
        <v/>
      </c>
      <c r="L347" s="30" t="str">
        <f t="shared" si="279"/>
        <v/>
      </c>
      <c r="M347" s="30" t="str">
        <f t="shared" si="280"/>
        <v/>
      </c>
      <c r="N347" s="30" t="str">
        <f t="shared" si="257"/>
        <v/>
      </c>
      <c r="O347" s="31" t="str">
        <f t="shared" si="281"/>
        <v/>
      </c>
      <c r="P347" s="32"/>
      <c r="Q347" s="33" t="str">
        <f t="shared" si="258"/>
        <v/>
      </c>
      <c r="R347" s="33" t="str">
        <f t="shared" si="259"/>
        <v/>
      </c>
      <c r="S347" s="33" t="str">
        <f t="shared" si="260"/>
        <v/>
      </c>
      <c r="T347" s="33" t="str">
        <f t="shared" si="261"/>
        <v/>
      </c>
      <c r="U347" s="33" t="str">
        <f t="shared" si="262"/>
        <v/>
      </c>
      <c r="V347" s="33" t="str">
        <f t="shared" si="263"/>
        <v/>
      </c>
      <c r="X347" s="33" t="str">
        <f t="shared" si="249"/>
        <v/>
      </c>
      <c r="Y347" s="30" t="str">
        <f t="shared" si="264"/>
        <v/>
      </c>
      <c r="Z347" s="30" t="str">
        <f t="shared" si="265"/>
        <v/>
      </c>
      <c r="AA347" s="30" t="str">
        <f t="shared" si="266"/>
        <v/>
      </c>
      <c r="AB347" s="30" t="str">
        <f t="shared" si="267"/>
        <v/>
      </c>
      <c r="AD347" s="33" t="str">
        <f t="shared" si="268"/>
        <v/>
      </c>
      <c r="AE347" s="30" t="str">
        <f t="shared" si="269"/>
        <v/>
      </c>
      <c r="AF347" s="30" t="str">
        <f t="shared" si="270"/>
        <v/>
      </c>
      <c r="AG347" s="30" t="str">
        <f t="shared" si="271"/>
        <v/>
      </c>
      <c r="AH347" s="30" t="str">
        <f t="shared" si="272"/>
        <v/>
      </c>
      <c r="AJ347" s="85" t="str">
        <f t="shared" si="282"/>
        <v/>
      </c>
      <c r="AK347" s="86" t="str">
        <f t="shared" si="292"/>
        <v/>
      </c>
      <c r="AL347" s="86" t="str">
        <f t="shared" si="293"/>
        <v/>
      </c>
      <c r="AM347" s="86" t="str">
        <f t="shared" si="294"/>
        <v/>
      </c>
      <c r="AN347" s="86" t="str">
        <f t="shared" si="295"/>
        <v/>
      </c>
      <c r="AO347" s="86" t="str">
        <f t="shared" si="296"/>
        <v/>
      </c>
      <c r="AQ347" s="33" t="str">
        <f t="shared" si="273"/>
        <v/>
      </c>
      <c r="AR347" s="30" t="str">
        <f t="shared" si="274"/>
        <v/>
      </c>
      <c r="AU347" s="20">
        <f t="shared" si="275"/>
        <v>0</v>
      </c>
      <c r="AV347" s="20">
        <f t="shared" si="276"/>
        <v>0</v>
      </c>
      <c r="AW347" s="19">
        <f t="shared" si="283"/>
        <v>0</v>
      </c>
      <c r="AX347" s="19">
        <f t="shared" si="284"/>
        <v>0</v>
      </c>
      <c r="AY347" s="19">
        <f t="shared" si="285"/>
        <v>0</v>
      </c>
      <c r="AZ347" s="19">
        <f t="shared" si="286"/>
        <v>0</v>
      </c>
      <c r="BA347" s="19">
        <f t="shared" si="287"/>
        <v>0</v>
      </c>
      <c r="BB347" s="19">
        <f t="shared" si="288"/>
        <v>0</v>
      </c>
      <c r="BC347" s="19">
        <f t="shared" si="289"/>
        <v>0</v>
      </c>
      <c r="BD347" s="19">
        <f>-IF(CUSTOS!B347="",0,CUSTOS!B347)</f>
        <v>0</v>
      </c>
      <c r="BF347" s="20">
        <f t="shared" si="290"/>
        <v>0</v>
      </c>
      <c r="BG347" s="20">
        <f t="shared" si="291"/>
        <v>0</v>
      </c>
      <c r="BH347" s="116">
        <f t="shared" si="291"/>
        <v>0</v>
      </c>
    </row>
    <row r="348" spans="1:60" ht="15" x14ac:dyDescent="0.25">
      <c r="A348" s="66" t="str">
        <f>IF(LARGE($A$11:A347,1)=$F$2,"",A347+1)</f>
        <v/>
      </c>
      <c r="B348" s="27" t="str">
        <f t="shared" si="250"/>
        <v/>
      </c>
      <c r="C348" s="28" t="str">
        <f t="shared" si="277"/>
        <v/>
      </c>
      <c r="D348" s="28" t="str">
        <f t="shared" si="251"/>
        <v/>
      </c>
      <c r="E348" s="28" t="str">
        <f t="shared" si="252"/>
        <v/>
      </c>
      <c r="F348" s="29" t="str">
        <f t="shared" si="253"/>
        <v/>
      </c>
      <c r="G348" s="29" t="str">
        <f t="shared" si="254"/>
        <v/>
      </c>
      <c r="H348" s="30" t="str">
        <f t="shared" si="255"/>
        <v/>
      </c>
      <c r="I348" s="30" t="str">
        <f t="shared" si="256"/>
        <v/>
      </c>
      <c r="J348" s="30" t="str">
        <f>IF(A348="","",H348+CUSTOS!B348)</f>
        <v/>
      </c>
      <c r="K348" s="30" t="str">
        <f t="shared" si="278"/>
        <v/>
      </c>
      <c r="L348" s="30" t="str">
        <f t="shared" si="279"/>
        <v/>
      </c>
      <c r="M348" s="30" t="str">
        <f t="shared" si="280"/>
        <v/>
      </c>
      <c r="N348" s="30" t="str">
        <f t="shared" si="257"/>
        <v/>
      </c>
      <c r="O348" s="31" t="str">
        <f t="shared" si="281"/>
        <v/>
      </c>
      <c r="P348" s="32"/>
      <c r="Q348" s="33" t="str">
        <f t="shared" si="258"/>
        <v/>
      </c>
      <c r="R348" s="33" t="str">
        <f t="shared" si="259"/>
        <v/>
      </c>
      <c r="S348" s="33" t="str">
        <f t="shared" si="260"/>
        <v/>
      </c>
      <c r="T348" s="33" t="str">
        <f t="shared" si="261"/>
        <v/>
      </c>
      <c r="U348" s="33" t="str">
        <f t="shared" si="262"/>
        <v/>
      </c>
      <c r="V348" s="33" t="str">
        <f t="shared" si="263"/>
        <v/>
      </c>
      <c r="X348" s="33" t="str">
        <f t="shared" si="249"/>
        <v/>
      </c>
      <c r="Y348" s="30" t="str">
        <f t="shared" si="264"/>
        <v/>
      </c>
      <c r="Z348" s="30" t="str">
        <f t="shared" si="265"/>
        <v/>
      </c>
      <c r="AA348" s="30" t="str">
        <f t="shared" si="266"/>
        <v/>
      </c>
      <c r="AB348" s="30" t="str">
        <f t="shared" si="267"/>
        <v/>
      </c>
      <c r="AD348" s="33" t="str">
        <f t="shared" si="268"/>
        <v/>
      </c>
      <c r="AE348" s="30" t="str">
        <f t="shared" si="269"/>
        <v/>
      </c>
      <c r="AF348" s="30" t="str">
        <f t="shared" si="270"/>
        <v/>
      </c>
      <c r="AG348" s="30" t="str">
        <f t="shared" si="271"/>
        <v/>
      </c>
      <c r="AH348" s="30" t="str">
        <f t="shared" si="272"/>
        <v/>
      </c>
      <c r="AJ348" s="85" t="str">
        <f t="shared" si="282"/>
        <v/>
      </c>
      <c r="AK348" s="86" t="str">
        <f t="shared" si="292"/>
        <v/>
      </c>
      <c r="AL348" s="86" t="str">
        <f t="shared" si="293"/>
        <v/>
      </c>
      <c r="AM348" s="86" t="str">
        <f t="shared" si="294"/>
        <v/>
      </c>
      <c r="AN348" s="86" t="str">
        <f t="shared" si="295"/>
        <v/>
      </c>
      <c r="AO348" s="86" t="str">
        <f t="shared" si="296"/>
        <v/>
      </c>
      <c r="AQ348" s="33" t="str">
        <f t="shared" si="273"/>
        <v/>
      </c>
      <c r="AR348" s="30" t="str">
        <f t="shared" si="274"/>
        <v/>
      </c>
      <c r="AU348" s="20">
        <f t="shared" si="275"/>
        <v>0</v>
      </c>
      <c r="AV348" s="20">
        <f t="shared" si="276"/>
        <v>0</v>
      </c>
      <c r="AW348" s="19">
        <f t="shared" si="283"/>
        <v>0</v>
      </c>
      <c r="AX348" s="19">
        <f t="shared" si="284"/>
        <v>0</v>
      </c>
      <c r="AY348" s="19">
        <f t="shared" si="285"/>
        <v>0</v>
      </c>
      <c r="AZ348" s="19">
        <f t="shared" si="286"/>
        <v>0</v>
      </c>
      <c r="BA348" s="19">
        <f t="shared" si="287"/>
        <v>0</v>
      </c>
      <c r="BB348" s="19">
        <f t="shared" si="288"/>
        <v>0</v>
      </c>
      <c r="BC348" s="19">
        <f t="shared" si="289"/>
        <v>0</v>
      </c>
      <c r="BD348" s="19">
        <f>-IF(CUSTOS!B348="",0,CUSTOS!B348)</f>
        <v>0</v>
      </c>
      <c r="BF348" s="20">
        <f t="shared" si="290"/>
        <v>0</v>
      </c>
      <c r="BG348" s="20">
        <f t="shared" si="291"/>
        <v>0</v>
      </c>
      <c r="BH348" s="116">
        <f t="shared" si="291"/>
        <v>0</v>
      </c>
    </row>
    <row r="349" spans="1:60" ht="15" x14ac:dyDescent="0.25">
      <c r="A349" s="66" t="str">
        <f>IF(LARGE($A$11:A348,1)=$F$2,"",A348+1)</f>
        <v/>
      </c>
      <c r="B349" s="27" t="str">
        <f t="shared" si="250"/>
        <v/>
      </c>
      <c r="C349" s="28" t="str">
        <f t="shared" si="277"/>
        <v/>
      </c>
      <c r="D349" s="28" t="str">
        <f t="shared" si="251"/>
        <v/>
      </c>
      <c r="E349" s="28" t="str">
        <f t="shared" si="252"/>
        <v/>
      </c>
      <c r="F349" s="29" t="str">
        <f t="shared" si="253"/>
        <v/>
      </c>
      <c r="G349" s="29" t="str">
        <f t="shared" si="254"/>
        <v/>
      </c>
      <c r="H349" s="30" t="str">
        <f t="shared" si="255"/>
        <v/>
      </c>
      <c r="I349" s="30" t="str">
        <f t="shared" si="256"/>
        <v/>
      </c>
      <c r="J349" s="30" t="str">
        <f>IF(A349="","",H349+CUSTOS!B349)</f>
        <v/>
      </c>
      <c r="K349" s="30" t="str">
        <f t="shared" si="278"/>
        <v/>
      </c>
      <c r="L349" s="30" t="str">
        <f t="shared" si="279"/>
        <v/>
      </c>
      <c r="M349" s="30" t="str">
        <f t="shared" si="280"/>
        <v/>
      </c>
      <c r="N349" s="30" t="str">
        <f t="shared" si="257"/>
        <v/>
      </c>
      <c r="O349" s="31" t="str">
        <f t="shared" si="281"/>
        <v/>
      </c>
      <c r="P349" s="32"/>
      <c r="Q349" s="33" t="str">
        <f t="shared" si="258"/>
        <v/>
      </c>
      <c r="R349" s="33" t="str">
        <f t="shared" si="259"/>
        <v/>
      </c>
      <c r="S349" s="33" t="str">
        <f t="shared" si="260"/>
        <v/>
      </c>
      <c r="T349" s="33" t="str">
        <f t="shared" si="261"/>
        <v/>
      </c>
      <c r="U349" s="33" t="str">
        <f t="shared" si="262"/>
        <v/>
      </c>
      <c r="V349" s="33" t="str">
        <f t="shared" si="263"/>
        <v/>
      </c>
      <c r="X349" s="33" t="str">
        <f t="shared" si="249"/>
        <v/>
      </c>
      <c r="Y349" s="30" t="str">
        <f t="shared" si="264"/>
        <v/>
      </c>
      <c r="Z349" s="30" t="str">
        <f t="shared" si="265"/>
        <v/>
      </c>
      <c r="AA349" s="30" t="str">
        <f t="shared" si="266"/>
        <v/>
      </c>
      <c r="AB349" s="30" t="str">
        <f t="shared" si="267"/>
        <v/>
      </c>
      <c r="AD349" s="33" t="str">
        <f t="shared" si="268"/>
        <v/>
      </c>
      <c r="AE349" s="30" t="str">
        <f t="shared" si="269"/>
        <v/>
      </c>
      <c r="AF349" s="30" t="str">
        <f t="shared" si="270"/>
        <v/>
      </c>
      <c r="AG349" s="30" t="str">
        <f t="shared" si="271"/>
        <v/>
      </c>
      <c r="AH349" s="30" t="str">
        <f t="shared" si="272"/>
        <v/>
      </c>
      <c r="AJ349" s="85" t="str">
        <f t="shared" si="282"/>
        <v/>
      </c>
      <c r="AK349" s="86" t="str">
        <f t="shared" si="292"/>
        <v/>
      </c>
      <c r="AL349" s="86" t="str">
        <f t="shared" si="293"/>
        <v/>
      </c>
      <c r="AM349" s="86" t="str">
        <f t="shared" si="294"/>
        <v/>
      </c>
      <c r="AN349" s="86" t="str">
        <f t="shared" si="295"/>
        <v/>
      </c>
      <c r="AO349" s="86" t="str">
        <f t="shared" si="296"/>
        <v/>
      </c>
      <c r="AQ349" s="33" t="str">
        <f t="shared" si="273"/>
        <v/>
      </c>
      <c r="AR349" s="30" t="str">
        <f t="shared" si="274"/>
        <v/>
      </c>
      <c r="AU349" s="20">
        <f t="shared" si="275"/>
        <v>0</v>
      </c>
      <c r="AV349" s="20">
        <f t="shared" si="276"/>
        <v>0</v>
      </c>
      <c r="AW349" s="19">
        <f t="shared" si="283"/>
        <v>0</v>
      </c>
      <c r="AX349" s="19">
        <f t="shared" si="284"/>
        <v>0</v>
      </c>
      <c r="AY349" s="19">
        <f t="shared" si="285"/>
        <v>0</v>
      </c>
      <c r="AZ349" s="19">
        <f t="shared" si="286"/>
        <v>0</v>
      </c>
      <c r="BA349" s="19">
        <f t="shared" si="287"/>
        <v>0</v>
      </c>
      <c r="BB349" s="19">
        <f t="shared" si="288"/>
        <v>0</v>
      </c>
      <c r="BC349" s="19">
        <f t="shared" si="289"/>
        <v>0</v>
      </c>
      <c r="BD349" s="19">
        <f>-IF(CUSTOS!B349="",0,CUSTOS!B349)</f>
        <v>0</v>
      </c>
      <c r="BF349" s="20">
        <f t="shared" si="290"/>
        <v>0</v>
      </c>
      <c r="BG349" s="20">
        <f t="shared" si="291"/>
        <v>0</v>
      </c>
      <c r="BH349" s="116">
        <f t="shared" si="291"/>
        <v>0</v>
      </c>
    </row>
    <row r="350" spans="1:60" ht="15" x14ac:dyDescent="0.25">
      <c r="A350" s="66" t="str">
        <f>IF(LARGE($A$11:A349,1)=$F$2,"",A349+1)</f>
        <v/>
      </c>
      <c r="B350" s="27" t="str">
        <f t="shared" si="250"/>
        <v/>
      </c>
      <c r="C350" s="28" t="str">
        <f t="shared" si="277"/>
        <v/>
      </c>
      <c r="D350" s="28" t="str">
        <f t="shared" si="251"/>
        <v/>
      </c>
      <c r="E350" s="28" t="str">
        <f t="shared" si="252"/>
        <v/>
      </c>
      <c r="F350" s="29" t="str">
        <f t="shared" si="253"/>
        <v/>
      </c>
      <c r="G350" s="29" t="str">
        <f t="shared" si="254"/>
        <v/>
      </c>
      <c r="H350" s="30" t="str">
        <f t="shared" si="255"/>
        <v/>
      </c>
      <c r="I350" s="30" t="str">
        <f t="shared" si="256"/>
        <v/>
      </c>
      <c r="J350" s="30" t="str">
        <f>IF(A350="","",H350+CUSTOS!B350)</f>
        <v/>
      </c>
      <c r="K350" s="30" t="str">
        <f t="shared" si="278"/>
        <v/>
      </c>
      <c r="L350" s="30" t="str">
        <f t="shared" si="279"/>
        <v/>
      </c>
      <c r="M350" s="30" t="str">
        <f t="shared" si="280"/>
        <v/>
      </c>
      <c r="N350" s="30" t="str">
        <f t="shared" si="257"/>
        <v/>
      </c>
      <c r="O350" s="31" t="str">
        <f t="shared" si="281"/>
        <v/>
      </c>
      <c r="P350" s="32"/>
      <c r="Q350" s="33" t="str">
        <f t="shared" si="258"/>
        <v/>
      </c>
      <c r="R350" s="33" t="str">
        <f t="shared" si="259"/>
        <v/>
      </c>
      <c r="S350" s="33" t="str">
        <f t="shared" si="260"/>
        <v/>
      </c>
      <c r="T350" s="33" t="str">
        <f t="shared" si="261"/>
        <v/>
      </c>
      <c r="U350" s="33" t="str">
        <f t="shared" si="262"/>
        <v/>
      </c>
      <c r="V350" s="33" t="str">
        <f t="shared" si="263"/>
        <v/>
      </c>
      <c r="X350" s="33" t="str">
        <f t="shared" si="249"/>
        <v/>
      </c>
      <c r="Y350" s="30" t="str">
        <f t="shared" si="264"/>
        <v/>
      </c>
      <c r="Z350" s="30" t="str">
        <f t="shared" si="265"/>
        <v/>
      </c>
      <c r="AA350" s="30" t="str">
        <f t="shared" si="266"/>
        <v/>
      </c>
      <c r="AB350" s="30" t="str">
        <f t="shared" si="267"/>
        <v/>
      </c>
      <c r="AD350" s="33" t="str">
        <f t="shared" si="268"/>
        <v/>
      </c>
      <c r="AE350" s="30" t="str">
        <f t="shared" si="269"/>
        <v/>
      </c>
      <c r="AF350" s="30" t="str">
        <f t="shared" si="270"/>
        <v/>
      </c>
      <c r="AG350" s="30" t="str">
        <f t="shared" si="271"/>
        <v/>
      </c>
      <c r="AH350" s="30" t="str">
        <f t="shared" si="272"/>
        <v/>
      </c>
      <c r="AJ350" s="85" t="str">
        <f t="shared" si="282"/>
        <v/>
      </c>
      <c r="AK350" s="86" t="str">
        <f t="shared" si="292"/>
        <v/>
      </c>
      <c r="AL350" s="86" t="str">
        <f t="shared" si="293"/>
        <v/>
      </c>
      <c r="AM350" s="86" t="str">
        <f t="shared" si="294"/>
        <v/>
      </c>
      <c r="AN350" s="86" t="str">
        <f t="shared" si="295"/>
        <v/>
      </c>
      <c r="AO350" s="86" t="str">
        <f t="shared" si="296"/>
        <v/>
      </c>
      <c r="AQ350" s="33" t="str">
        <f t="shared" si="273"/>
        <v/>
      </c>
      <c r="AR350" s="30" t="str">
        <f t="shared" si="274"/>
        <v/>
      </c>
      <c r="AU350" s="20">
        <f t="shared" si="275"/>
        <v>0</v>
      </c>
      <c r="AV350" s="20">
        <f t="shared" si="276"/>
        <v>0</v>
      </c>
      <c r="AW350" s="19">
        <f t="shared" si="283"/>
        <v>0</v>
      </c>
      <c r="AX350" s="19">
        <f t="shared" si="284"/>
        <v>0</v>
      </c>
      <c r="AY350" s="19">
        <f t="shared" si="285"/>
        <v>0</v>
      </c>
      <c r="AZ350" s="19">
        <f t="shared" si="286"/>
        <v>0</v>
      </c>
      <c r="BA350" s="19">
        <f t="shared" si="287"/>
        <v>0</v>
      </c>
      <c r="BB350" s="19">
        <f t="shared" si="288"/>
        <v>0</v>
      </c>
      <c r="BC350" s="19">
        <f t="shared" si="289"/>
        <v>0</v>
      </c>
      <c r="BD350" s="19">
        <f>-IF(CUSTOS!B350="",0,CUSTOS!B350)</f>
        <v>0</v>
      </c>
      <c r="BF350" s="20">
        <f t="shared" si="290"/>
        <v>0</v>
      </c>
      <c r="BG350" s="20">
        <f t="shared" si="291"/>
        <v>0</v>
      </c>
      <c r="BH350" s="116">
        <f t="shared" si="291"/>
        <v>0</v>
      </c>
    </row>
    <row r="351" spans="1:60" ht="15" x14ac:dyDescent="0.25">
      <c r="A351" s="66" t="str">
        <f>IF(LARGE($A$11:A350,1)=$F$2,"",A350+1)</f>
        <v/>
      </c>
      <c r="B351" s="27" t="str">
        <f t="shared" si="250"/>
        <v/>
      </c>
      <c r="C351" s="28" t="str">
        <f t="shared" si="277"/>
        <v/>
      </c>
      <c r="D351" s="28" t="str">
        <f t="shared" si="251"/>
        <v/>
      </c>
      <c r="E351" s="28" t="str">
        <f t="shared" si="252"/>
        <v/>
      </c>
      <c r="F351" s="29" t="str">
        <f t="shared" si="253"/>
        <v/>
      </c>
      <c r="G351" s="29" t="str">
        <f t="shared" si="254"/>
        <v/>
      </c>
      <c r="H351" s="30" t="str">
        <f t="shared" si="255"/>
        <v/>
      </c>
      <c r="I351" s="30" t="str">
        <f t="shared" si="256"/>
        <v/>
      </c>
      <c r="J351" s="30" t="str">
        <f>IF(A351="","",H351+CUSTOS!B351)</f>
        <v/>
      </c>
      <c r="K351" s="30" t="str">
        <f t="shared" si="278"/>
        <v/>
      </c>
      <c r="L351" s="30" t="str">
        <f t="shared" si="279"/>
        <v/>
      </c>
      <c r="M351" s="30" t="str">
        <f t="shared" si="280"/>
        <v/>
      </c>
      <c r="N351" s="30" t="str">
        <f t="shared" si="257"/>
        <v/>
      </c>
      <c r="O351" s="31" t="str">
        <f t="shared" si="281"/>
        <v/>
      </c>
      <c r="P351" s="32"/>
      <c r="Q351" s="33" t="str">
        <f t="shared" si="258"/>
        <v/>
      </c>
      <c r="R351" s="33" t="str">
        <f t="shared" si="259"/>
        <v/>
      </c>
      <c r="S351" s="33" t="str">
        <f t="shared" si="260"/>
        <v/>
      </c>
      <c r="T351" s="33" t="str">
        <f t="shared" si="261"/>
        <v/>
      </c>
      <c r="U351" s="33" t="str">
        <f t="shared" si="262"/>
        <v/>
      </c>
      <c r="V351" s="33" t="str">
        <f t="shared" si="263"/>
        <v/>
      </c>
      <c r="X351" s="33" t="str">
        <f t="shared" si="249"/>
        <v/>
      </c>
      <c r="Y351" s="30" t="str">
        <f t="shared" si="264"/>
        <v/>
      </c>
      <c r="Z351" s="30" t="str">
        <f t="shared" si="265"/>
        <v/>
      </c>
      <c r="AA351" s="30" t="str">
        <f t="shared" si="266"/>
        <v/>
      </c>
      <c r="AB351" s="30" t="str">
        <f t="shared" si="267"/>
        <v/>
      </c>
      <c r="AD351" s="33" t="str">
        <f t="shared" si="268"/>
        <v/>
      </c>
      <c r="AE351" s="30" t="str">
        <f t="shared" si="269"/>
        <v/>
      </c>
      <c r="AF351" s="30" t="str">
        <f t="shared" si="270"/>
        <v/>
      </c>
      <c r="AG351" s="30" t="str">
        <f t="shared" si="271"/>
        <v/>
      </c>
      <c r="AH351" s="30" t="str">
        <f t="shared" si="272"/>
        <v/>
      </c>
      <c r="AJ351" s="85" t="str">
        <f t="shared" si="282"/>
        <v/>
      </c>
      <c r="AK351" s="86" t="str">
        <f t="shared" si="292"/>
        <v/>
      </c>
      <c r="AL351" s="86" t="str">
        <f t="shared" si="293"/>
        <v/>
      </c>
      <c r="AM351" s="86" t="str">
        <f t="shared" si="294"/>
        <v/>
      </c>
      <c r="AN351" s="86" t="str">
        <f t="shared" si="295"/>
        <v/>
      </c>
      <c r="AO351" s="86" t="str">
        <f t="shared" si="296"/>
        <v/>
      </c>
      <c r="AQ351" s="33" t="str">
        <f t="shared" si="273"/>
        <v/>
      </c>
      <c r="AR351" s="30" t="str">
        <f t="shared" si="274"/>
        <v/>
      </c>
      <c r="AU351" s="20">
        <f t="shared" si="275"/>
        <v>0</v>
      </c>
      <c r="AV351" s="20">
        <f t="shared" si="276"/>
        <v>0</v>
      </c>
      <c r="AW351" s="19">
        <f t="shared" si="283"/>
        <v>0</v>
      </c>
      <c r="AX351" s="19">
        <f t="shared" si="284"/>
        <v>0</v>
      </c>
      <c r="AY351" s="19">
        <f t="shared" si="285"/>
        <v>0</v>
      </c>
      <c r="AZ351" s="19">
        <f t="shared" si="286"/>
        <v>0</v>
      </c>
      <c r="BA351" s="19">
        <f t="shared" si="287"/>
        <v>0</v>
      </c>
      <c r="BB351" s="19">
        <f t="shared" si="288"/>
        <v>0</v>
      </c>
      <c r="BC351" s="19">
        <f t="shared" si="289"/>
        <v>0</v>
      </c>
      <c r="BD351" s="19">
        <f>-IF(CUSTOS!B351="",0,CUSTOS!B351)</f>
        <v>0</v>
      </c>
      <c r="BF351" s="20">
        <f t="shared" si="290"/>
        <v>0</v>
      </c>
      <c r="BG351" s="20">
        <f t="shared" si="291"/>
        <v>0</v>
      </c>
      <c r="BH351" s="116">
        <f t="shared" si="291"/>
        <v>0</v>
      </c>
    </row>
    <row r="352" spans="1:60" ht="15" x14ac:dyDescent="0.25">
      <c r="A352" s="66" t="str">
        <f>IF(LARGE($A$11:A351,1)=$F$2,"",A351+1)</f>
        <v/>
      </c>
      <c r="B352" s="27" t="str">
        <f t="shared" si="250"/>
        <v/>
      </c>
      <c r="C352" s="28" t="str">
        <f t="shared" si="277"/>
        <v/>
      </c>
      <c r="D352" s="28" t="str">
        <f t="shared" si="251"/>
        <v/>
      </c>
      <c r="E352" s="28" t="str">
        <f t="shared" si="252"/>
        <v/>
      </c>
      <c r="F352" s="29" t="str">
        <f t="shared" si="253"/>
        <v/>
      </c>
      <c r="G352" s="29" t="str">
        <f t="shared" si="254"/>
        <v/>
      </c>
      <c r="H352" s="30" t="str">
        <f t="shared" si="255"/>
        <v/>
      </c>
      <c r="I352" s="30" t="str">
        <f t="shared" si="256"/>
        <v/>
      </c>
      <c r="J352" s="30" t="str">
        <f>IF(A352="","",H352+CUSTOS!B352)</f>
        <v/>
      </c>
      <c r="K352" s="30" t="str">
        <f t="shared" si="278"/>
        <v/>
      </c>
      <c r="L352" s="30" t="str">
        <f t="shared" si="279"/>
        <v/>
      </c>
      <c r="M352" s="30" t="str">
        <f t="shared" si="280"/>
        <v/>
      </c>
      <c r="N352" s="30" t="str">
        <f t="shared" si="257"/>
        <v/>
      </c>
      <c r="O352" s="31" t="str">
        <f t="shared" si="281"/>
        <v/>
      </c>
      <c r="P352" s="32"/>
      <c r="Q352" s="33" t="str">
        <f t="shared" si="258"/>
        <v/>
      </c>
      <c r="R352" s="33" t="str">
        <f t="shared" si="259"/>
        <v/>
      </c>
      <c r="S352" s="33" t="str">
        <f t="shared" si="260"/>
        <v/>
      </c>
      <c r="T352" s="33" t="str">
        <f t="shared" si="261"/>
        <v/>
      </c>
      <c r="U352" s="33" t="str">
        <f t="shared" si="262"/>
        <v/>
      </c>
      <c r="V352" s="33" t="str">
        <f t="shared" si="263"/>
        <v/>
      </c>
      <c r="X352" s="33" t="str">
        <f t="shared" si="249"/>
        <v/>
      </c>
      <c r="Y352" s="30" t="str">
        <f t="shared" si="264"/>
        <v/>
      </c>
      <c r="Z352" s="30" t="str">
        <f t="shared" si="265"/>
        <v/>
      </c>
      <c r="AA352" s="30" t="str">
        <f t="shared" si="266"/>
        <v/>
      </c>
      <c r="AB352" s="30" t="str">
        <f t="shared" si="267"/>
        <v/>
      </c>
      <c r="AD352" s="33" t="str">
        <f t="shared" si="268"/>
        <v/>
      </c>
      <c r="AE352" s="30" t="str">
        <f t="shared" si="269"/>
        <v/>
      </c>
      <c r="AF352" s="30" t="str">
        <f t="shared" si="270"/>
        <v/>
      </c>
      <c r="AG352" s="30" t="str">
        <f t="shared" si="271"/>
        <v/>
      </c>
      <c r="AH352" s="30" t="str">
        <f t="shared" si="272"/>
        <v/>
      </c>
      <c r="AJ352" s="85" t="str">
        <f t="shared" si="282"/>
        <v/>
      </c>
      <c r="AK352" s="86" t="str">
        <f t="shared" si="292"/>
        <v/>
      </c>
      <c r="AL352" s="86" t="str">
        <f t="shared" si="293"/>
        <v/>
      </c>
      <c r="AM352" s="86" t="str">
        <f t="shared" si="294"/>
        <v/>
      </c>
      <c r="AN352" s="86" t="str">
        <f t="shared" si="295"/>
        <v/>
      </c>
      <c r="AO352" s="86" t="str">
        <f t="shared" si="296"/>
        <v/>
      </c>
      <c r="AQ352" s="33" t="str">
        <f t="shared" si="273"/>
        <v/>
      </c>
      <c r="AR352" s="30" t="str">
        <f t="shared" si="274"/>
        <v/>
      </c>
      <c r="AU352" s="20">
        <f t="shared" si="275"/>
        <v>0</v>
      </c>
      <c r="AV352" s="20">
        <f t="shared" si="276"/>
        <v>0</v>
      </c>
      <c r="AW352" s="19">
        <f t="shared" si="283"/>
        <v>0</v>
      </c>
      <c r="AX352" s="19">
        <f t="shared" si="284"/>
        <v>0</v>
      </c>
      <c r="AY352" s="19">
        <f t="shared" si="285"/>
        <v>0</v>
      </c>
      <c r="AZ352" s="19">
        <f t="shared" si="286"/>
        <v>0</v>
      </c>
      <c r="BA352" s="19">
        <f t="shared" si="287"/>
        <v>0</v>
      </c>
      <c r="BB352" s="19">
        <f t="shared" si="288"/>
        <v>0</v>
      </c>
      <c r="BC352" s="19">
        <f t="shared" si="289"/>
        <v>0</v>
      </c>
      <c r="BD352" s="19">
        <f>-IF(CUSTOS!B352="",0,CUSTOS!B352)</f>
        <v>0</v>
      </c>
      <c r="BF352" s="20">
        <f t="shared" si="290"/>
        <v>0</v>
      </c>
      <c r="BG352" s="20">
        <f t="shared" si="291"/>
        <v>0</v>
      </c>
      <c r="BH352" s="116">
        <f t="shared" si="291"/>
        <v>0</v>
      </c>
    </row>
    <row r="353" spans="1:60" ht="15" x14ac:dyDescent="0.25">
      <c r="A353" s="66" t="str">
        <f>IF(LARGE($A$11:A352,1)=$F$2,"",A352+1)</f>
        <v/>
      </c>
      <c r="B353" s="27" t="str">
        <f t="shared" si="250"/>
        <v/>
      </c>
      <c r="C353" s="28" t="str">
        <f t="shared" si="277"/>
        <v/>
      </c>
      <c r="D353" s="28" t="str">
        <f t="shared" si="251"/>
        <v/>
      </c>
      <c r="E353" s="28" t="str">
        <f t="shared" si="252"/>
        <v/>
      </c>
      <c r="F353" s="29" t="str">
        <f t="shared" si="253"/>
        <v/>
      </c>
      <c r="G353" s="29" t="str">
        <f t="shared" si="254"/>
        <v/>
      </c>
      <c r="H353" s="30" t="str">
        <f t="shared" si="255"/>
        <v/>
      </c>
      <c r="I353" s="30" t="str">
        <f t="shared" si="256"/>
        <v/>
      </c>
      <c r="J353" s="30" t="str">
        <f>IF(A353="","",H353+CUSTOS!B353)</f>
        <v/>
      </c>
      <c r="K353" s="30" t="str">
        <f t="shared" si="278"/>
        <v/>
      </c>
      <c r="L353" s="30" t="str">
        <f t="shared" si="279"/>
        <v/>
      </c>
      <c r="M353" s="30" t="str">
        <f t="shared" si="280"/>
        <v/>
      </c>
      <c r="N353" s="30" t="str">
        <f t="shared" si="257"/>
        <v/>
      </c>
      <c r="O353" s="31" t="str">
        <f t="shared" si="281"/>
        <v/>
      </c>
      <c r="P353" s="32"/>
      <c r="Q353" s="33" t="str">
        <f t="shared" si="258"/>
        <v/>
      </c>
      <c r="R353" s="33" t="str">
        <f t="shared" si="259"/>
        <v/>
      </c>
      <c r="S353" s="33" t="str">
        <f t="shared" si="260"/>
        <v/>
      </c>
      <c r="T353" s="33" t="str">
        <f t="shared" si="261"/>
        <v/>
      </c>
      <c r="U353" s="33" t="str">
        <f t="shared" si="262"/>
        <v/>
      </c>
      <c r="V353" s="33" t="str">
        <f t="shared" si="263"/>
        <v/>
      </c>
      <c r="X353" s="33" t="str">
        <f t="shared" si="249"/>
        <v/>
      </c>
      <c r="Y353" s="30" t="str">
        <f t="shared" si="264"/>
        <v/>
      </c>
      <c r="Z353" s="30" t="str">
        <f t="shared" si="265"/>
        <v/>
      </c>
      <c r="AA353" s="30" t="str">
        <f t="shared" si="266"/>
        <v/>
      </c>
      <c r="AB353" s="30" t="str">
        <f t="shared" si="267"/>
        <v/>
      </c>
      <c r="AD353" s="33" t="str">
        <f t="shared" si="268"/>
        <v/>
      </c>
      <c r="AE353" s="30" t="str">
        <f t="shared" si="269"/>
        <v/>
      </c>
      <c r="AF353" s="30" t="str">
        <f t="shared" si="270"/>
        <v/>
      </c>
      <c r="AG353" s="30" t="str">
        <f t="shared" si="271"/>
        <v/>
      </c>
      <c r="AH353" s="30" t="str">
        <f t="shared" si="272"/>
        <v/>
      </c>
      <c r="AJ353" s="85" t="str">
        <f t="shared" si="282"/>
        <v/>
      </c>
      <c r="AK353" s="86" t="str">
        <f t="shared" si="292"/>
        <v/>
      </c>
      <c r="AL353" s="86" t="str">
        <f t="shared" si="293"/>
        <v/>
      </c>
      <c r="AM353" s="86" t="str">
        <f t="shared" si="294"/>
        <v/>
      </c>
      <c r="AN353" s="86" t="str">
        <f t="shared" si="295"/>
        <v/>
      </c>
      <c r="AO353" s="86" t="str">
        <f t="shared" si="296"/>
        <v/>
      </c>
      <c r="AQ353" s="33" t="str">
        <f t="shared" si="273"/>
        <v/>
      </c>
      <c r="AR353" s="30" t="str">
        <f t="shared" si="274"/>
        <v/>
      </c>
      <c r="AU353" s="20">
        <f t="shared" si="275"/>
        <v>0</v>
      </c>
      <c r="AV353" s="20">
        <f t="shared" si="276"/>
        <v>0</v>
      </c>
      <c r="AW353" s="19">
        <f t="shared" si="283"/>
        <v>0</v>
      </c>
      <c r="AX353" s="19">
        <f t="shared" si="284"/>
        <v>0</v>
      </c>
      <c r="AY353" s="19">
        <f t="shared" si="285"/>
        <v>0</v>
      </c>
      <c r="AZ353" s="19">
        <f t="shared" si="286"/>
        <v>0</v>
      </c>
      <c r="BA353" s="19">
        <f t="shared" si="287"/>
        <v>0</v>
      </c>
      <c r="BB353" s="19">
        <f t="shared" si="288"/>
        <v>0</v>
      </c>
      <c r="BC353" s="19">
        <f t="shared" si="289"/>
        <v>0</v>
      </c>
      <c r="BD353" s="19">
        <f>-IF(CUSTOS!B353="",0,CUSTOS!B353)</f>
        <v>0</v>
      </c>
      <c r="BF353" s="20">
        <f t="shared" si="290"/>
        <v>0</v>
      </c>
      <c r="BG353" s="20">
        <f t="shared" si="291"/>
        <v>0</v>
      </c>
      <c r="BH353" s="116">
        <f t="shared" si="291"/>
        <v>0</v>
      </c>
    </row>
    <row r="354" spans="1:60" ht="15" x14ac:dyDescent="0.25">
      <c r="A354" s="66" t="str">
        <f>IF(LARGE($A$11:A353,1)=$F$2,"",A353+1)</f>
        <v/>
      </c>
      <c r="B354" s="27" t="str">
        <f t="shared" si="250"/>
        <v/>
      </c>
      <c r="C354" s="28" t="str">
        <f t="shared" si="277"/>
        <v/>
      </c>
      <c r="D354" s="28" t="str">
        <f t="shared" si="251"/>
        <v/>
      </c>
      <c r="E354" s="28" t="str">
        <f t="shared" si="252"/>
        <v/>
      </c>
      <c r="F354" s="29" t="str">
        <f t="shared" si="253"/>
        <v/>
      </c>
      <c r="G354" s="29" t="str">
        <f t="shared" si="254"/>
        <v/>
      </c>
      <c r="H354" s="30" t="str">
        <f t="shared" si="255"/>
        <v/>
      </c>
      <c r="I354" s="30" t="str">
        <f t="shared" si="256"/>
        <v/>
      </c>
      <c r="J354" s="30" t="str">
        <f>IF(A354="","",H354+CUSTOS!B354)</f>
        <v/>
      </c>
      <c r="K354" s="30" t="str">
        <f t="shared" si="278"/>
        <v/>
      </c>
      <c r="L354" s="30" t="str">
        <f t="shared" si="279"/>
        <v/>
      </c>
      <c r="M354" s="30" t="str">
        <f t="shared" si="280"/>
        <v/>
      </c>
      <c r="N354" s="30" t="str">
        <f t="shared" si="257"/>
        <v/>
      </c>
      <c r="O354" s="31" t="str">
        <f t="shared" si="281"/>
        <v/>
      </c>
      <c r="P354" s="32"/>
      <c r="Q354" s="33" t="str">
        <f t="shared" si="258"/>
        <v/>
      </c>
      <c r="R354" s="33" t="str">
        <f t="shared" si="259"/>
        <v/>
      </c>
      <c r="S354" s="33" t="str">
        <f t="shared" si="260"/>
        <v/>
      </c>
      <c r="T354" s="33" t="str">
        <f t="shared" si="261"/>
        <v/>
      </c>
      <c r="U354" s="33" t="str">
        <f t="shared" si="262"/>
        <v/>
      </c>
      <c r="V354" s="33" t="str">
        <f t="shared" si="263"/>
        <v/>
      </c>
      <c r="X354" s="33" t="str">
        <f t="shared" si="249"/>
        <v/>
      </c>
      <c r="Y354" s="30" t="str">
        <f t="shared" si="264"/>
        <v/>
      </c>
      <c r="Z354" s="30" t="str">
        <f t="shared" si="265"/>
        <v/>
      </c>
      <c r="AA354" s="30" t="str">
        <f t="shared" si="266"/>
        <v/>
      </c>
      <c r="AB354" s="30" t="str">
        <f t="shared" si="267"/>
        <v/>
      </c>
      <c r="AD354" s="33" t="str">
        <f t="shared" si="268"/>
        <v/>
      </c>
      <c r="AE354" s="30" t="str">
        <f t="shared" si="269"/>
        <v/>
      </c>
      <c r="AF354" s="30" t="str">
        <f t="shared" si="270"/>
        <v/>
      </c>
      <c r="AG354" s="30" t="str">
        <f t="shared" si="271"/>
        <v/>
      </c>
      <c r="AH354" s="30" t="str">
        <f t="shared" si="272"/>
        <v/>
      </c>
      <c r="AJ354" s="85" t="str">
        <f t="shared" si="282"/>
        <v/>
      </c>
      <c r="AK354" s="86" t="str">
        <f t="shared" si="292"/>
        <v/>
      </c>
      <c r="AL354" s="86" t="str">
        <f t="shared" si="293"/>
        <v/>
      </c>
      <c r="AM354" s="86" t="str">
        <f t="shared" si="294"/>
        <v/>
      </c>
      <c r="AN354" s="86" t="str">
        <f t="shared" si="295"/>
        <v/>
      </c>
      <c r="AO354" s="86" t="str">
        <f t="shared" si="296"/>
        <v/>
      </c>
      <c r="AQ354" s="33" t="str">
        <f t="shared" si="273"/>
        <v/>
      </c>
      <c r="AR354" s="30" t="str">
        <f t="shared" si="274"/>
        <v/>
      </c>
      <c r="AU354" s="20">
        <f t="shared" si="275"/>
        <v>0</v>
      </c>
      <c r="AV354" s="20">
        <f t="shared" si="276"/>
        <v>0</v>
      </c>
      <c r="AW354" s="19">
        <f t="shared" si="283"/>
        <v>0</v>
      </c>
      <c r="AX354" s="19">
        <f t="shared" si="284"/>
        <v>0</v>
      </c>
      <c r="AY354" s="19">
        <f t="shared" si="285"/>
        <v>0</v>
      </c>
      <c r="AZ354" s="19">
        <f t="shared" si="286"/>
        <v>0</v>
      </c>
      <c r="BA354" s="19">
        <f t="shared" si="287"/>
        <v>0</v>
      </c>
      <c r="BB354" s="19">
        <f t="shared" si="288"/>
        <v>0</v>
      </c>
      <c r="BC354" s="19">
        <f t="shared" si="289"/>
        <v>0</v>
      </c>
      <c r="BD354" s="19">
        <f>-IF(CUSTOS!B354="",0,CUSTOS!B354)</f>
        <v>0</v>
      </c>
      <c r="BF354" s="20">
        <f t="shared" si="290"/>
        <v>0</v>
      </c>
      <c r="BG354" s="20">
        <f t="shared" si="291"/>
        <v>0</v>
      </c>
      <c r="BH354" s="116">
        <f t="shared" si="291"/>
        <v>0</v>
      </c>
    </row>
    <row r="355" spans="1:60" ht="15" x14ac:dyDescent="0.25">
      <c r="A355" s="66" t="str">
        <f>IF(LARGE($A$11:A354,1)=$F$2,"",A354+1)</f>
        <v/>
      </c>
      <c r="B355" s="27" t="str">
        <f t="shared" si="250"/>
        <v/>
      </c>
      <c r="C355" s="28" t="str">
        <f t="shared" si="277"/>
        <v/>
      </c>
      <c r="D355" s="28" t="str">
        <f t="shared" si="251"/>
        <v/>
      </c>
      <c r="E355" s="28" t="str">
        <f t="shared" si="252"/>
        <v/>
      </c>
      <c r="F355" s="29" t="str">
        <f t="shared" si="253"/>
        <v/>
      </c>
      <c r="G355" s="29" t="str">
        <f t="shared" si="254"/>
        <v/>
      </c>
      <c r="H355" s="30" t="str">
        <f t="shared" si="255"/>
        <v/>
      </c>
      <c r="I355" s="30" t="str">
        <f t="shared" si="256"/>
        <v/>
      </c>
      <c r="J355" s="30" t="str">
        <f>IF(A355="","",H355+CUSTOS!B355)</f>
        <v/>
      </c>
      <c r="K355" s="30" t="str">
        <f t="shared" si="278"/>
        <v/>
      </c>
      <c r="L355" s="30" t="str">
        <f t="shared" si="279"/>
        <v/>
      </c>
      <c r="M355" s="30" t="str">
        <f t="shared" si="280"/>
        <v/>
      </c>
      <c r="N355" s="30" t="str">
        <f t="shared" si="257"/>
        <v/>
      </c>
      <c r="O355" s="31" t="str">
        <f t="shared" si="281"/>
        <v/>
      </c>
      <c r="P355" s="32"/>
      <c r="Q355" s="33" t="str">
        <f t="shared" si="258"/>
        <v/>
      </c>
      <c r="R355" s="33" t="str">
        <f t="shared" si="259"/>
        <v/>
      </c>
      <c r="S355" s="33" t="str">
        <f t="shared" si="260"/>
        <v/>
      </c>
      <c r="T355" s="33" t="str">
        <f t="shared" si="261"/>
        <v/>
      </c>
      <c r="U355" s="33" t="str">
        <f t="shared" si="262"/>
        <v/>
      </c>
      <c r="V355" s="33" t="str">
        <f t="shared" si="263"/>
        <v/>
      </c>
      <c r="X355" s="33" t="str">
        <f t="shared" si="249"/>
        <v/>
      </c>
      <c r="Y355" s="30" t="str">
        <f t="shared" si="264"/>
        <v/>
      </c>
      <c r="Z355" s="30" t="str">
        <f t="shared" si="265"/>
        <v/>
      </c>
      <c r="AA355" s="30" t="str">
        <f t="shared" si="266"/>
        <v/>
      </c>
      <c r="AB355" s="30" t="str">
        <f t="shared" si="267"/>
        <v/>
      </c>
      <c r="AD355" s="33" t="str">
        <f t="shared" si="268"/>
        <v/>
      </c>
      <c r="AE355" s="30" t="str">
        <f t="shared" si="269"/>
        <v/>
      </c>
      <c r="AF355" s="30" t="str">
        <f t="shared" si="270"/>
        <v/>
      </c>
      <c r="AG355" s="30" t="str">
        <f t="shared" si="271"/>
        <v/>
      </c>
      <c r="AH355" s="30" t="str">
        <f t="shared" si="272"/>
        <v/>
      </c>
      <c r="AJ355" s="85" t="str">
        <f t="shared" si="282"/>
        <v/>
      </c>
      <c r="AK355" s="86" t="str">
        <f t="shared" si="292"/>
        <v/>
      </c>
      <c r="AL355" s="86" t="str">
        <f t="shared" si="293"/>
        <v/>
      </c>
      <c r="AM355" s="86" t="str">
        <f t="shared" si="294"/>
        <v/>
      </c>
      <c r="AN355" s="86" t="str">
        <f t="shared" si="295"/>
        <v/>
      </c>
      <c r="AO355" s="86" t="str">
        <f t="shared" si="296"/>
        <v/>
      </c>
      <c r="AQ355" s="33" t="str">
        <f t="shared" si="273"/>
        <v/>
      </c>
      <c r="AR355" s="30" t="str">
        <f t="shared" si="274"/>
        <v/>
      </c>
      <c r="AU355" s="20">
        <f t="shared" si="275"/>
        <v>0</v>
      </c>
      <c r="AV355" s="20">
        <f t="shared" si="276"/>
        <v>0</v>
      </c>
      <c r="AW355" s="19">
        <f t="shared" si="283"/>
        <v>0</v>
      </c>
      <c r="AX355" s="19">
        <f t="shared" si="284"/>
        <v>0</v>
      </c>
      <c r="AY355" s="19">
        <f t="shared" si="285"/>
        <v>0</v>
      </c>
      <c r="AZ355" s="19">
        <f t="shared" si="286"/>
        <v>0</v>
      </c>
      <c r="BA355" s="19">
        <f t="shared" si="287"/>
        <v>0</v>
      </c>
      <c r="BB355" s="19">
        <f t="shared" si="288"/>
        <v>0</v>
      </c>
      <c r="BC355" s="19">
        <f t="shared" si="289"/>
        <v>0</v>
      </c>
      <c r="BD355" s="19">
        <f>-IF(CUSTOS!B355="",0,CUSTOS!B355)</f>
        <v>0</v>
      </c>
      <c r="BF355" s="20">
        <f t="shared" si="290"/>
        <v>0</v>
      </c>
      <c r="BG355" s="20">
        <f t="shared" si="291"/>
        <v>0</v>
      </c>
      <c r="BH355" s="116">
        <f t="shared" si="291"/>
        <v>0</v>
      </c>
    </row>
    <row r="356" spans="1:60" ht="15" x14ac:dyDescent="0.25">
      <c r="A356" s="66" t="str">
        <f>IF(LARGE($A$11:A355,1)=$F$2,"",A355+1)</f>
        <v/>
      </c>
      <c r="B356" s="27" t="str">
        <f t="shared" si="250"/>
        <v/>
      </c>
      <c r="C356" s="28" t="str">
        <f t="shared" si="277"/>
        <v/>
      </c>
      <c r="D356" s="28" t="str">
        <f t="shared" si="251"/>
        <v/>
      </c>
      <c r="E356" s="28" t="str">
        <f t="shared" si="252"/>
        <v/>
      </c>
      <c r="F356" s="29" t="str">
        <f t="shared" si="253"/>
        <v/>
      </c>
      <c r="G356" s="29" t="str">
        <f t="shared" si="254"/>
        <v/>
      </c>
      <c r="H356" s="30" t="str">
        <f t="shared" si="255"/>
        <v/>
      </c>
      <c r="I356" s="30" t="str">
        <f t="shared" si="256"/>
        <v/>
      </c>
      <c r="J356" s="30" t="str">
        <f>IF(A356="","",H356+CUSTOS!B356)</f>
        <v/>
      </c>
      <c r="K356" s="30" t="str">
        <f t="shared" si="278"/>
        <v/>
      </c>
      <c r="L356" s="30" t="str">
        <f t="shared" si="279"/>
        <v/>
      </c>
      <c r="M356" s="30" t="str">
        <f t="shared" si="280"/>
        <v/>
      </c>
      <c r="N356" s="30" t="str">
        <f t="shared" si="257"/>
        <v/>
      </c>
      <c r="O356" s="31" t="str">
        <f t="shared" si="281"/>
        <v/>
      </c>
      <c r="P356" s="32"/>
      <c r="Q356" s="33" t="str">
        <f t="shared" si="258"/>
        <v/>
      </c>
      <c r="R356" s="33" t="str">
        <f t="shared" si="259"/>
        <v/>
      </c>
      <c r="S356" s="33" t="str">
        <f t="shared" si="260"/>
        <v/>
      </c>
      <c r="T356" s="33" t="str">
        <f t="shared" si="261"/>
        <v/>
      </c>
      <c r="U356" s="33" t="str">
        <f t="shared" si="262"/>
        <v/>
      </c>
      <c r="V356" s="33" t="str">
        <f t="shared" si="263"/>
        <v/>
      </c>
      <c r="X356" s="33" t="str">
        <f t="shared" si="249"/>
        <v/>
      </c>
      <c r="Y356" s="30" t="str">
        <f t="shared" si="264"/>
        <v/>
      </c>
      <c r="Z356" s="30" t="str">
        <f t="shared" si="265"/>
        <v/>
      </c>
      <c r="AA356" s="30" t="str">
        <f t="shared" si="266"/>
        <v/>
      </c>
      <c r="AB356" s="30" t="str">
        <f t="shared" si="267"/>
        <v/>
      </c>
      <c r="AD356" s="33" t="str">
        <f t="shared" si="268"/>
        <v/>
      </c>
      <c r="AE356" s="30" t="str">
        <f t="shared" si="269"/>
        <v/>
      </c>
      <c r="AF356" s="30" t="str">
        <f t="shared" si="270"/>
        <v/>
      </c>
      <c r="AG356" s="30" t="str">
        <f t="shared" si="271"/>
        <v/>
      </c>
      <c r="AH356" s="30" t="str">
        <f t="shared" si="272"/>
        <v/>
      </c>
      <c r="AJ356" s="85" t="str">
        <f t="shared" si="282"/>
        <v/>
      </c>
      <c r="AK356" s="86" t="str">
        <f t="shared" si="292"/>
        <v/>
      </c>
      <c r="AL356" s="86" t="str">
        <f t="shared" si="293"/>
        <v/>
      </c>
      <c r="AM356" s="86" t="str">
        <f t="shared" si="294"/>
        <v/>
      </c>
      <c r="AN356" s="86" t="str">
        <f t="shared" si="295"/>
        <v/>
      </c>
      <c r="AO356" s="86" t="str">
        <f t="shared" si="296"/>
        <v/>
      </c>
      <c r="AQ356" s="33" t="str">
        <f t="shared" si="273"/>
        <v/>
      </c>
      <c r="AR356" s="30" t="str">
        <f t="shared" si="274"/>
        <v/>
      </c>
      <c r="AU356" s="20">
        <f t="shared" si="275"/>
        <v>0</v>
      </c>
      <c r="AV356" s="20">
        <f t="shared" si="276"/>
        <v>0</v>
      </c>
      <c r="AW356" s="19">
        <f t="shared" si="283"/>
        <v>0</v>
      </c>
      <c r="AX356" s="19">
        <f t="shared" si="284"/>
        <v>0</v>
      </c>
      <c r="AY356" s="19">
        <f t="shared" si="285"/>
        <v>0</v>
      </c>
      <c r="AZ356" s="19">
        <f t="shared" si="286"/>
        <v>0</v>
      </c>
      <c r="BA356" s="19">
        <f t="shared" si="287"/>
        <v>0</v>
      </c>
      <c r="BB356" s="19">
        <f t="shared" si="288"/>
        <v>0</v>
      </c>
      <c r="BC356" s="19">
        <f t="shared" si="289"/>
        <v>0</v>
      </c>
      <c r="BD356" s="19">
        <f>-IF(CUSTOS!B356="",0,CUSTOS!B356)</f>
        <v>0</v>
      </c>
      <c r="BF356" s="20">
        <f t="shared" si="290"/>
        <v>0</v>
      </c>
      <c r="BG356" s="20">
        <f t="shared" si="291"/>
        <v>0</v>
      </c>
      <c r="BH356" s="116">
        <f t="shared" si="291"/>
        <v>0</v>
      </c>
    </row>
    <row r="357" spans="1:60" ht="15" x14ac:dyDescent="0.25">
      <c r="A357" s="66" t="str">
        <f>IF(LARGE($A$11:A356,1)=$F$2,"",A356+1)</f>
        <v/>
      </c>
      <c r="B357" s="27" t="str">
        <f t="shared" si="250"/>
        <v/>
      </c>
      <c r="C357" s="28" t="str">
        <f t="shared" si="277"/>
        <v/>
      </c>
      <c r="D357" s="28" t="str">
        <f t="shared" si="251"/>
        <v/>
      </c>
      <c r="E357" s="28" t="str">
        <f t="shared" si="252"/>
        <v/>
      </c>
      <c r="F357" s="29" t="str">
        <f t="shared" si="253"/>
        <v/>
      </c>
      <c r="G357" s="29" t="str">
        <f t="shared" si="254"/>
        <v/>
      </c>
      <c r="H357" s="30" t="str">
        <f t="shared" si="255"/>
        <v/>
      </c>
      <c r="I357" s="30" t="str">
        <f t="shared" si="256"/>
        <v/>
      </c>
      <c r="J357" s="30" t="str">
        <f>IF(A357="","",H357+CUSTOS!B357)</f>
        <v/>
      </c>
      <c r="K357" s="30" t="str">
        <f t="shared" si="278"/>
        <v/>
      </c>
      <c r="L357" s="30" t="str">
        <f t="shared" si="279"/>
        <v/>
      </c>
      <c r="M357" s="30" t="str">
        <f t="shared" si="280"/>
        <v/>
      </c>
      <c r="N357" s="30" t="str">
        <f t="shared" si="257"/>
        <v/>
      </c>
      <c r="O357" s="31" t="str">
        <f t="shared" si="281"/>
        <v/>
      </c>
      <c r="P357" s="32"/>
      <c r="Q357" s="33" t="str">
        <f t="shared" si="258"/>
        <v/>
      </c>
      <c r="R357" s="33" t="str">
        <f t="shared" si="259"/>
        <v/>
      </c>
      <c r="S357" s="33" t="str">
        <f t="shared" si="260"/>
        <v/>
      </c>
      <c r="T357" s="33" t="str">
        <f t="shared" si="261"/>
        <v/>
      </c>
      <c r="U357" s="33" t="str">
        <f t="shared" si="262"/>
        <v/>
      </c>
      <c r="V357" s="33" t="str">
        <f t="shared" si="263"/>
        <v/>
      </c>
      <c r="X357" s="33" t="str">
        <f t="shared" si="249"/>
        <v/>
      </c>
      <c r="Y357" s="30" t="str">
        <f t="shared" si="264"/>
        <v/>
      </c>
      <c r="Z357" s="30" t="str">
        <f t="shared" si="265"/>
        <v/>
      </c>
      <c r="AA357" s="30" t="str">
        <f t="shared" si="266"/>
        <v/>
      </c>
      <c r="AB357" s="30" t="str">
        <f t="shared" si="267"/>
        <v/>
      </c>
      <c r="AD357" s="33" t="str">
        <f t="shared" si="268"/>
        <v/>
      </c>
      <c r="AE357" s="30" t="str">
        <f t="shared" si="269"/>
        <v/>
      </c>
      <c r="AF357" s="30" t="str">
        <f t="shared" si="270"/>
        <v/>
      </c>
      <c r="AG357" s="30" t="str">
        <f t="shared" si="271"/>
        <v/>
      </c>
      <c r="AH357" s="30" t="str">
        <f t="shared" si="272"/>
        <v/>
      </c>
      <c r="AJ357" s="85" t="str">
        <f t="shared" si="282"/>
        <v/>
      </c>
      <c r="AK357" s="86" t="str">
        <f t="shared" si="292"/>
        <v/>
      </c>
      <c r="AL357" s="86" t="str">
        <f t="shared" si="293"/>
        <v/>
      </c>
      <c r="AM357" s="86" t="str">
        <f t="shared" si="294"/>
        <v/>
      </c>
      <c r="AN357" s="86" t="str">
        <f t="shared" si="295"/>
        <v/>
      </c>
      <c r="AO357" s="86" t="str">
        <f t="shared" si="296"/>
        <v/>
      </c>
      <c r="AQ357" s="33" t="str">
        <f t="shared" si="273"/>
        <v/>
      </c>
      <c r="AR357" s="30" t="str">
        <f t="shared" si="274"/>
        <v/>
      </c>
      <c r="AU357" s="20">
        <f t="shared" si="275"/>
        <v>0</v>
      </c>
      <c r="AV357" s="20">
        <f t="shared" si="276"/>
        <v>0</v>
      </c>
      <c r="AW357" s="19">
        <f t="shared" si="283"/>
        <v>0</v>
      </c>
      <c r="AX357" s="19">
        <f t="shared" si="284"/>
        <v>0</v>
      </c>
      <c r="AY357" s="19">
        <f t="shared" si="285"/>
        <v>0</v>
      </c>
      <c r="AZ357" s="19">
        <f t="shared" si="286"/>
        <v>0</v>
      </c>
      <c r="BA357" s="19">
        <f t="shared" si="287"/>
        <v>0</v>
      </c>
      <c r="BB357" s="19">
        <f t="shared" si="288"/>
        <v>0</v>
      </c>
      <c r="BC357" s="19">
        <f t="shared" si="289"/>
        <v>0</v>
      </c>
      <c r="BD357" s="19">
        <f>-IF(CUSTOS!B357="",0,CUSTOS!B357)</f>
        <v>0</v>
      </c>
      <c r="BF357" s="20">
        <f t="shared" si="290"/>
        <v>0</v>
      </c>
      <c r="BG357" s="20">
        <f t="shared" si="291"/>
        <v>0</v>
      </c>
      <c r="BH357" s="116">
        <f t="shared" si="291"/>
        <v>0</v>
      </c>
    </row>
    <row r="358" spans="1:60" ht="15" x14ac:dyDescent="0.25">
      <c r="A358" s="66" t="str">
        <f>IF(LARGE($A$11:A357,1)=$F$2,"",A357+1)</f>
        <v/>
      </c>
      <c r="B358" s="27" t="str">
        <f t="shared" si="250"/>
        <v/>
      </c>
      <c r="C358" s="28" t="str">
        <f t="shared" si="277"/>
        <v/>
      </c>
      <c r="D358" s="28" t="str">
        <f t="shared" si="251"/>
        <v/>
      </c>
      <c r="E358" s="28" t="str">
        <f t="shared" si="252"/>
        <v/>
      </c>
      <c r="F358" s="29" t="str">
        <f t="shared" si="253"/>
        <v/>
      </c>
      <c r="G358" s="29" t="str">
        <f t="shared" si="254"/>
        <v/>
      </c>
      <c r="H358" s="30" t="str">
        <f t="shared" si="255"/>
        <v/>
      </c>
      <c r="I358" s="30" t="str">
        <f t="shared" si="256"/>
        <v/>
      </c>
      <c r="J358" s="30" t="str">
        <f>IF(A358="","",H358+CUSTOS!B358)</f>
        <v/>
      </c>
      <c r="K358" s="30" t="str">
        <f t="shared" si="278"/>
        <v/>
      </c>
      <c r="L358" s="30" t="str">
        <f t="shared" si="279"/>
        <v/>
      </c>
      <c r="M358" s="30" t="str">
        <f t="shared" si="280"/>
        <v/>
      </c>
      <c r="N358" s="30" t="str">
        <f t="shared" si="257"/>
        <v/>
      </c>
      <c r="O358" s="31" t="str">
        <f t="shared" si="281"/>
        <v/>
      </c>
      <c r="P358" s="32"/>
      <c r="Q358" s="33" t="str">
        <f t="shared" si="258"/>
        <v/>
      </c>
      <c r="R358" s="33" t="str">
        <f t="shared" si="259"/>
        <v/>
      </c>
      <c r="S358" s="33" t="str">
        <f t="shared" si="260"/>
        <v/>
      </c>
      <c r="T358" s="33" t="str">
        <f t="shared" si="261"/>
        <v/>
      </c>
      <c r="U358" s="33" t="str">
        <f t="shared" si="262"/>
        <v/>
      </c>
      <c r="V358" s="33" t="str">
        <f t="shared" si="263"/>
        <v/>
      </c>
      <c r="X358" s="33" t="str">
        <f t="shared" si="249"/>
        <v/>
      </c>
      <c r="Y358" s="30" t="str">
        <f t="shared" si="264"/>
        <v/>
      </c>
      <c r="Z358" s="30" t="str">
        <f t="shared" si="265"/>
        <v/>
      </c>
      <c r="AA358" s="30" t="str">
        <f t="shared" si="266"/>
        <v/>
      </c>
      <c r="AB358" s="30" t="str">
        <f t="shared" si="267"/>
        <v/>
      </c>
      <c r="AD358" s="33" t="str">
        <f t="shared" si="268"/>
        <v/>
      </c>
      <c r="AE358" s="30" t="str">
        <f t="shared" si="269"/>
        <v/>
      </c>
      <c r="AF358" s="30" t="str">
        <f t="shared" si="270"/>
        <v/>
      </c>
      <c r="AG358" s="30" t="str">
        <f t="shared" si="271"/>
        <v/>
      </c>
      <c r="AH358" s="30" t="str">
        <f t="shared" si="272"/>
        <v/>
      </c>
      <c r="AJ358" s="85" t="str">
        <f t="shared" si="282"/>
        <v/>
      </c>
      <c r="AK358" s="86" t="str">
        <f t="shared" si="292"/>
        <v/>
      </c>
      <c r="AL358" s="86" t="str">
        <f t="shared" si="293"/>
        <v/>
      </c>
      <c r="AM358" s="86" t="str">
        <f t="shared" si="294"/>
        <v/>
      </c>
      <c r="AN358" s="86" t="str">
        <f t="shared" si="295"/>
        <v/>
      </c>
      <c r="AO358" s="86" t="str">
        <f t="shared" si="296"/>
        <v/>
      </c>
      <c r="AQ358" s="33" t="str">
        <f t="shared" si="273"/>
        <v/>
      </c>
      <c r="AR358" s="30" t="str">
        <f t="shared" si="274"/>
        <v/>
      </c>
      <c r="AU358" s="20">
        <f t="shared" si="275"/>
        <v>0</v>
      </c>
      <c r="AV358" s="20">
        <f t="shared" si="276"/>
        <v>0</v>
      </c>
      <c r="AW358" s="19">
        <f t="shared" si="283"/>
        <v>0</v>
      </c>
      <c r="AX358" s="19">
        <f t="shared" si="284"/>
        <v>0</v>
      </c>
      <c r="AY358" s="19">
        <f t="shared" si="285"/>
        <v>0</v>
      </c>
      <c r="AZ358" s="19">
        <f t="shared" si="286"/>
        <v>0</v>
      </c>
      <c r="BA358" s="19">
        <f t="shared" si="287"/>
        <v>0</v>
      </c>
      <c r="BB358" s="19">
        <f t="shared" si="288"/>
        <v>0</v>
      </c>
      <c r="BC358" s="19">
        <f t="shared" si="289"/>
        <v>0</v>
      </c>
      <c r="BD358" s="19">
        <f>-IF(CUSTOS!B358="",0,CUSTOS!B358)</f>
        <v>0</v>
      </c>
      <c r="BF358" s="20">
        <f t="shared" si="290"/>
        <v>0</v>
      </c>
      <c r="BG358" s="20">
        <f t="shared" si="291"/>
        <v>0</v>
      </c>
      <c r="BH358" s="116">
        <f t="shared" si="291"/>
        <v>0</v>
      </c>
    </row>
    <row r="359" spans="1:60" ht="15" x14ac:dyDescent="0.25">
      <c r="A359" s="66" t="str">
        <f>IF(LARGE($A$11:A358,1)=$F$2,"",A358+1)</f>
        <v/>
      </c>
      <c r="B359" s="27" t="str">
        <f t="shared" si="250"/>
        <v/>
      </c>
      <c r="C359" s="28" t="str">
        <f t="shared" si="277"/>
        <v/>
      </c>
      <c r="D359" s="28" t="str">
        <f t="shared" si="251"/>
        <v/>
      </c>
      <c r="E359" s="28" t="str">
        <f t="shared" si="252"/>
        <v/>
      </c>
      <c r="F359" s="29" t="str">
        <f t="shared" si="253"/>
        <v/>
      </c>
      <c r="G359" s="29" t="str">
        <f t="shared" si="254"/>
        <v/>
      </c>
      <c r="H359" s="30" t="str">
        <f t="shared" si="255"/>
        <v/>
      </c>
      <c r="I359" s="30" t="str">
        <f t="shared" si="256"/>
        <v/>
      </c>
      <c r="J359" s="30" t="str">
        <f>IF(A359="","",H359+CUSTOS!B359)</f>
        <v/>
      </c>
      <c r="K359" s="30" t="str">
        <f t="shared" si="278"/>
        <v/>
      </c>
      <c r="L359" s="30" t="str">
        <f t="shared" si="279"/>
        <v/>
      </c>
      <c r="M359" s="30" t="str">
        <f t="shared" si="280"/>
        <v/>
      </c>
      <c r="N359" s="30" t="str">
        <f t="shared" si="257"/>
        <v/>
      </c>
      <c r="O359" s="31" t="str">
        <f t="shared" si="281"/>
        <v/>
      </c>
      <c r="P359" s="32"/>
      <c r="Q359" s="33" t="str">
        <f t="shared" si="258"/>
        <v/>
      </c>
      <c r="R359" s="33" t="str">
        <f t="shared" si="259"/>
        <v/>
      </c>
      <c r="S359" s="33" t="str">
        <f t="shared" si="260"/>
        <v/>
      </c>
      <c r="T359" s="33" t="str">
        <f t="shared" si="261"/>
        <v/>
      </c>
      <c r="U359" s="33" t="str">
        <f t="shared" si="262"/>
        <v/>
      </c>
      <c r="V359" s="33" t="str">
        <f t="shared" si="263"/>
        <v/>
      </c>
      <c r="X359" s="33" t="str">
        <f t="shared" si="249"/>
        <v/>
      </c>
      <c r="Y359" s="30" t="str">
        <f t="shared" si="264"/>
        <v/>
      </c>
      <c r="Z359" s="30" t="str">
        <f t="shared" si="265"/>
        <v/>
      </c>
      <c r="AA359" s="30" t="str">
        <f t="shared" si="266"/>
        <v/>
      </c>
      <c r="AB359" s="30" t="str">
        <f t="shared" si="267"/>
        <v/>
      </c>
      <c r="AD359" s="33" t="str">
        <f t="shared" si="268"/>
        <v/>
      </c>
      <c r="AE359" s="30" t="str">
        <f t="shared" si="269"/>
        <v/>
      </c>
      <c r="AF359" s="30" t="str">
        <f t="shared" si="270"/>
        <v/>
      </c>
      <c r="AG359" s="30" t="str">
        <f t="shared" si="271"/>
        <v/>
      </c>
      <c r="AH359" s="30" t="str">
        <f t="shared" si="272"/>
        <v/>
      </c>
      <c r="AJ359" s="85" t="str">
        <f t="shared" si="282"/>
        <v/>
      </c>
      <c r="AK359" s="86" t="str">
        <f t="shared" si="292"/>
        <v/>
      </c>
      <c r="AL359" s="86" t="str">
        <f t="shared" si="293"/>
        <v/>
      </c>
      <c r="AM359" s="86" t="str">
        <f t="shared" si="294"/>
        <v/>
      </c>
      <c r="AN359" s="86" t="str">
        <f t="shared" si="295"/>
        <v/>
      </c>
      <c r="AO359" s="86" t="str">
        <f t="shared" si="296"/>
        <v/>
      </c>
      <c r="AQ359" s="33" t="str">
        <f t="shared" si="273"/>
        <v/>
      </c>
      <c r="AR359" s="30" t="str">
        <f t="shared" si="274"/>
        <v/>
      </c>
      <c r="AU359" s="20">
        <f t="shared" si="275"/>
        <v>0</v>
      </c>
      <c r="AV359" s="20">
        <f t="shared" si="276"/>
        <v>0</v>
      </c>
      <c r="AW359" s="19">
        <f t="shared" si="283"/>
        <v>0</v>
      </c>
      <c r="AX359" s="19">
        <f t="shared" si="284"/>
        <v>0</v>
      </c>
      <c r="AY359" s="19">
        <f t="shared" si="285"/>
        <v>0</v>
      </c>
      <c r="AZ359" s="19">
        <f t="shared" si="286"/>
        <v>0</v>
      </c>
      <c r="BA359" s="19">
        <f t="shared" si="287"/>
        <v>0</v>
      </c>
      <c r="BB359" s="19">
        <f t="shared" si="288"/>
        <v>0</v>
      </c>
      <c r="BC359" s="19">
        <f t="shared" si="289"/>
        <v>0</v>
      </c>
      <c r="BD359" s="19">
        <f>-IF(CUSTOS!B359="",0,CUSTOS!B359)</f>
        <v>0</v>
      </c>
      <c r="BF359" s="20">
        <f t="shared" si="290"/>
        <v>0</v>
      </c>
      <c r="BG359" s="20">
        <f t="shared" si="291"/>
        <v>0</v>
      </c>
      <c r="BH359" s="116">
        <f t="shared" si="291"/>
        <v>0</v>
      </c>
    </row>
    <row r="360" spans="1:60" ht="15" x14ac:dyDescent="0.25">
      <c r="A360" s="66" t="str">
        <f>IF(LARGE($A$11:A359,1)=$F$2,"",A359+1)</f>
        <v/>
      </c>
      <c r="B360" s="27" t="str">
        <f t="shared" si="250"/>
        <v/>
      </c>
      <c r="C360" s="28" t="str">
        <f t="shared" si="277"/>
        <v/>
      </c>
      <c r="D360" s="28" t="str">
        <f t="shared" si="251"/>
        <v/>
      </c>
      <c r="E360" s="28" t="str">
        <f t="shared" si="252"/>
        <v/>
      </c>
      <c r="F360" s="29" t="str">
        <f t="shared" si="253"/>
        <v/>
      </c>
      <c r="G360" s="29" t="str">
        <f t="shared" si="254"/>
        <v/>
      </c>
      <c r="H360" s="30" t="str">
        <f t="shared" si="255"/>
        <v/>
      </c>
      <c r="I360" s="30" t="str">
        <f t="shared" si="256"/>
        <v/>
      </c>
      <c r="J360" s="30" t="str">
        <f>IF(A360="","",H360+CUSTOS!B360)</f>
        <v/>
      </c>
      <c r="K360" s="30" t="str">
        <f t="shared" si="278"/>
        <v/>
      </c>
      <c r="L360" s="30" t="str">
        <f t="shared" si="279"/>
        <v/>
      </c>
      <c r="M360" s="30" t="str">
        <f t="shared" si="280"/>
        <v/>
      </c>
      <c r="N360" s="30" t="str">
        <f t="shared" si="257"/>
        <v/>
      </c>
      <c r="O360" s="31" t="str">
        <f t="shared" si="281"/>
        <v/>
      </c>
      <c r="P360" s="32"/>
      <c r="Q360" s="33" t="str">
        <f t="shared" si="258"/>
        <v/>
      </c>
      <c r="R360" s="33" t="str">
        <f t="shared" si="259"/>
        <v/>
      </c>
      <c r="S360" s="33" t="str">
        <f t="shared" si="260"/>
        <v/>
      </c>
      <c r="T360" s="33" t="str">
        <f t="shared" si="261"/>
        <v/>
      </c>
      <c r="U360" s="33" t="str">
        <f t="shared" si="262"/>
        <v/>
      </c>
      <c r="V360" s="33" t="str">
        <f t="shared" si="263"/>
        <v/>
      </c>
      <c r="X360" s="33" t="str">
        <f t="shared" si="249"/>
        <v/>
      </c>
      <c r="Y360" s="30" t="str">
        <f t="shared" si="264"/>
        <v/>
      </c>
      <c r="Z360" s="30" t="str">
        <f t="shared" si="265"/>
        <v/>
      </c>
      <c r="AA360" s="30" t="str">
        <f t="shared" si="266"/>
        <v/>
      </c>
      <c r="AB360" s="30" t="str">
        <f t="shared" si="267"/>
        <v/>
      </c>
      <c r="AD360" s="33" t="str">
        <f t="shared" si="268"/>
        <v/>
      </c>
      <c r="AE360" s="30" t="str">
        <f t="shared" si="269"/>
        <v/>
      </c>
      <c r="AF360" s="30" t="str">
        <f t="shared" si="270"/>
        <v/>
      </c>
      <c r="AG360" s="30" t="str">
        <f t="shared" si="271"/>
        <v/>
      </c>
      <c r="AH360" s="30" t="str">
        <f t="shared" si="272"/>
        <v/>
      </c>
      <c r="AJ360" s="85" t="str">
        <f t="shared" si="282"/>
        <v/>
      </c>
      <c r="AK360" s="86" t="str">
        <f t="shared" si="292"/>
        <v/>
      </c>
      <c r="AL360" s="86" t="str">
        <f t="shared" si="293"/>
        <v/>
      </c>
      <c r="AM360" s="86" t="str">
        <f t="shared" si="294"/>
        <v/>
      </c>
      <c r="AN360" s="86" t="str">
        <f t="shared" si="295"/>
        <v/>
      </c>
      <c r="AO360" s="86" t="str">
        <f t="shared" si="296"/>
        <v/>
      </c>
      <c r="AQ360" s="33" t="str">
        <f t="shared" si="273"/>
        <v/>
      </c>
      <c r="AR360" s="30" t="str">
        <f t="shared" si="274"/>
        <v/>
      </c>
      <c r="AU360" s="20">
        <f t="shared" si="275"/>
        <v>0</v>
      </c>
      <c r="AV360" s="20">
        <f t="shared" si="276"/>
        <v>0</v>
      </c>
      <c r="AW360" s="19">
        <f t="shared" si="283"/>
        <v>0</v>
      </c>
      <c r="AX360" s="19">
        <f t="shared" si="284"/>
        <v>0</v>
      </c>
      <c r="AY360" s="19">
        <f t="shared" si="285"/>
        <v>0</v>
      </c>
      <c r="AZ360" s="19">
        <f t="shared" si="286"/>
        <v>0</v>
      </c>
      <c r="BA360" s="19">
        <f t="shared" si="287"/>
        <v>0</v>
      </c>
      <c r="BB360" s="19">
        <f t="shared" si="288"/>
        <v>0</v>
      </c>
      <c r="BC360" s="19">
        <f t="shared" si="289"/>
        <v>0</v>
      </c>
      <c r="BD360" s="19">
        <f>-IF(CUSTOS!B360="",0,CUSTOS!B360)</f>
        <v>0</v>
      </c>
      <c r="BF360" s="20">
        <f t="shared" si="290"/>
        <v>0</v>
      </c>
      <c r="BG360" s="20">
        <f t="shared" si="291"/>
        <v>0</v>
      </c>
      <c r="BH360" s="116">
        <f t="shared" si="291"/>
        <v>0</v>
      </c>
    </row>
    <row r="361" spans="1:60" ht="15" x14ac:dyDescent="0.25">
      <c r="A361" s="66" t="str">
        <f>IF(LARGE($A$11:A360,1)=$F$2,"",A360+1)</f>
        <v/>
      </c>
      <c r="B361" s="27" t="str">
        <f t="shared" si="250"/>
        <v/>
      </c>
      <c r="C361" s="28" t="str">
        <f t="shared" si="277"/>
        <v/>
      </c>
      <c r="D361" s="28" t="str">
        <f t="shared" si="251"/>
        <v/>
      </c>
      <c r="E361" s="28" t="str">
        <f t="shared" si="252"/>
        <v/>
      </c>
      <c r="F361" s="29" t="str">
        <f t="shared" si="253"/>
        <v/>
      </c>
      <c r="G361" s="29" t="str">
        <f t="shared" si="254"/>
        <v/>
      </c>
      <c r="H361" s="30" t="str">
        <f t="shared" si="255"/>
        <v/>
      </c>
      <c r="I361" s="30" t="str">
        <f t="shared" si="256"/>
        <v/>
      </c>
      <c r="J361" s="30" t="str">
        <f>IF(A361="","",H361+CUSTOS!B361)</f>
        <v/>
      </c>
      <c r="K361" s="30" t="str">
        <f t="shared" si="278"/>
        <v/>
      </c>
      <c r="L361" s="30" t="str">
        <f t="shared" si="279"/>
        <v/>
      </c>
      <c r="M361" s="30" t="str">
        <f t="shared" si="280"/>
        <v/>
      </c>
      <c r="N361" s="30" t="str">
        <f t="shared" si="257"/>
        <v/>
      </c>
      <c r="O361" s="31" t="str">
        <f t="shared" si="281"/>
        <v/>
      </c>
      <c r="P361" s="32"/>
      <c r="Q361" s="33" t="str">
        <f t="shared" si="258"/>
        <v/>
      </c>
      <c r="R361" s="33" t="str">
        <f t="shared" si="259"/>
        <v/>
      </c>
      <c r="S361" s="33" t="str">
        <f t="shared" si="260"/>
        <v/>
      </c>
      <c r="T361" s="33" t="str">
        <f t="shared" si="261"/>
        <v/>
      </c>
      <c r="U361" s="33" t="str">
        <f t="shared" si="262"/>
        <v/>
      </c>
      <c r="V361" s="33" t="str">
        <f t="shared" si="263"/>
        <v/>
      </c>
      <c r="X361" s="33" t="str">
        <f t="shared" si="249"/>
        <v/>
      </c>
      <c r="Y361" s="30" t="str">
        <f t="shared" si="264"/>
        <v/>
      </c>
      <c r="Z361" s="30" t="str">
        <f t="shared" si="265"/>
        <v/>
      </c>
      <c r="AA361" s="30" t="str">
        <f t="shared" si="266"/>
        <v/>
      </c>
      <c r="AB361" s="30" t="str">
        <f t="shared" si="267"/>
        <v/>
      </c>
      <c r="AD361" s="33" t="str">
        <f t="shared" si="268"/>
        <v/>
      </c>
      <c r="AE361" s="30" t="str">
        <f t="shared" si="269"/>
        <v/>
      </c>
      <c r="AF361" s="30" t="str">
        <f t="shared" si="270"/>
        <v/>
      </c>
      <c r="AG361" s="30" t="str">
        <f t="shared" si="271"/>
        <v/>
      </c>
      <c r="AH361" s="30" t="str">
        <f t="shared" si="272"/>
        <v/>
      </c>
      <c r="AJ361" s="85" t="str">
        <f t="shared" si="282"/>
        <v/>
      </c>
      <c r="AK361" s="86" t="str">
        <f t="shared" si="292"/>
        <v/>
      </c>
      <c r="AL361" s="86" t="str">
        <f t="shared" si="293"/>
        <v/>
      </c>
      <c r="AM361" s="86" t="str">
        <f t="shared" si="294"/>
        <v/>
      </c>
      <c r="AN361" s="86" t="str">
        <f t="shared" si="295"/>
        <v/>
      </c>
      <c r="AO361" s="86" t="str">
        <f t="shared" si="296"/>
        <v/>
      </c>
      <c r="AQ361" s="33" t="str">
        <f t="shared" si="273"/>
        <v/>
      </c>
      <c r="AR361" s="30" t="str">
        <f t="shared" si="274"/>
        <v/>
      </c>
      <c r="AU361" s="20">
        <f t="shared" si="275"/>
        <v>0</v>
      </c>
      <c r="AV361" s="20">
        <f t="shared" si="276"/>
        <v>0</v>
      </c>
      <c r="AW361" s="19">
        <f t="shared" si="283"/>
        <v>0</v>
      </c>
      <c r="AX361" s="19">
        <f t="shared" si="284"/>
        <v>0</v>
      </c>
      <c r="AY361" s="19">
        <f t="shared" si="285"/>
        <v>0</v>
      </c>
      <c r="AZ361" s="19">
        <f t="shared" si="286"/>
        <v>0</v>
      </c>
      <c r="BA361" s="19">
        <f t="shared" si="287"/>
        <v>0</v>
      </c>
      <c r="BB361" s="19">
        <f t="shared" si="288"/>
        <v>0</v>
      </c>
      <c r="BC361" s="19">
        <f t="shared" si="289"/>
        <v>0</v>
      </c>
      <c r="BD361" s="19">
        <f>-IF(CUSTOS!B361="",0,CUSTOS!B361)</f>
        <v>0</v>
      </c>
      <c r="BF361" s="20">
        <f t="shared" si="290"/>
        <v>0</v>
      </c>
      <c r="BG361" s="20">
        <f t="shared" si="291"/>
        <v>0</v>
      </c>
      <c r="BH361" s="116">
        <f t="shared" si="291"/>
        <v>0</v>
      </c>
    </row>
    <row r="362" spans="1:60" ht="15" x14ac:dyDescent="0.25">
      <c r="A362" s="66" t="str">
        <f>IF(LARGE($A$11:A361,1)=$F$2,"",A361+1)</f>
        <v/>
      </c>
      <c r="B362" s="27" t="str">
        <f t="shared" si="250"/>
        <v/>
      </c>
      <c r="C362" s="28" t="str">
        <f t="shared" si="277"/>
        <v/>
      </c>
      <c r="D362" s="28" t="str">
        <f t="shared" si="251"/>
        <v/>
      </c>
      <c r="E362" s="28" t="str">
        <f t="shared" si="252"/>
        <v/>
      </c>
      <c r="F362" s="29" t="str">
        <f t="shared" si="253"/>
        <v/>
      </c>
      <c r="G362" s="29" t="str">
        <f t="shared" si="254"/>
        <v/>
      </c>
      <c r="H362" s="30" t="str">
        <f t="shared" si="255"/>
        <v/>
      </c>
      <c r="I362" s="30" t="str">
        <f t="shared" si="256"/>
        <v/>
      </c>
      <c r="J362" s="30" t="str">
        <f>IF(A362="","",H362+CUSTOS!B362)</f>
        <v/>
      </c>
      <c r="K362" s="30" t="str">
        <f t="shared" si="278"/>
        <v/>
      </c>
      <c r="L362" s="30" t="str">
        <f t="shared" si="279"/>
        <v/>
      </c>
      <c r="M362" s="30" t="str">
        <f t="shared" si="280"/>
        <v/>
      </c>
      <c r="N362" s="30" t="str">
        <f t="shared" si="257"/>
        <v/>
      </c>
      <c r="O362" s="31" t="str">
        <f t="shared" si="281"/>
        <v/>
      </c>
      <c r="P362" s="32"/>
      <c r="Q362" s="33" t="str">
        <f t="shared" si="258"/>
        <v/>
      </c>
      <c r="R362" s="33" t="str">
        <f t="shared" si="259"/>
        <v/>
      </c>
      <c r="S362" s="33" t="str">
        <f t="shared" si="260"/>
        <v/>
      </c>
      <c r="T362" s="33" t="str">
        <f t="shared" si="261"/>
        <v/>
      </c>
      <c r="U362" s="33" t="str">
        <f t="shared" si="262"/>
        <v/>
      </c>
      <c r="V362" s="33" t="str">
        <f t="shared" si="263"/>
        <v/>
      </c>
      <c r="X362" s="33" t="str">
        <f t="shared" si="249"/>
        <v/>
      </c>
      <c r="Y362" s="30" t="str">
        <f t="shared" si="264"/>
        <v/>
      </c>
      <c r="Z362" s="30" t="str">
        <f t="shared" si="265"/>
        <v/>
      </c>
      <c r="AA362" s="30" t="str">
        <f t="shared" si="266"/>
        <v/>
      </c>
      <c r="AB362" s="30" t="str">
        <f t="shared" si="267"/>
        <v/>
      </c>
      <c r="AD362" s="33" t="str">
        <f t="shared" si="268"/>
        <v/>
      </c>
      <c r="AE362" s="30" t="str">
        <f t="shared" si="269"/>
        <v/>
      </c>
      <c r="AF362" s="30" t="str">
        <f t="shared" si="270"/>
        <v/>
      </c>
      <c r="AG362" s="30" t="str">
        <f t="shared" si="271"/>
        <v/>
      </c>
      <c r="AH362" s="30" t="str">
        <f t="shared" si="272"/>
        <v/>
      </c>
      <c r="AJ362" s="85" t="str">
        <f t="shared" si="282"/>
        <v/>
      </c>
      <c r="AK362" s="86" t="str">
        <f t="shared" si="292"/>
        <v/>
      </c>
      <c r="AL362" s="86" t="str">
        <f t="shared" si="293"/>
        <v/>
      </c>
      <c r="AM362" s="86" t="str">
        <f t="shared" si="294"/>
        <v/>
      </c>
      <c r="AN362" s="86" t="str">
        <f t="shared" si="295"/>
        <v/>
      </c>
      <c r="AO362" s="86" t="str">
        <f t="shared" si="296"/>
        <v/>
      </c>
      <c r="AQ362" s="33" t="str">
        <f t="shared" si="273"/>
        <v/>
      </c>
      <c r="AR362" s="30" t="str">
        <f t="shared" si="274"/>
        <v/>
      </c>
      <c r="AU362" s="20">
        <f t="shared" si="275"/>
        <v>0</v>
      </c>
      <c r="AV362" s="20">
        <f t="shared" si="276"/>
        <v>0</v>
      </c>
      <c r="AW362" s="19">
        <f t="shared" si="283"/>
        <v>0</v>
      </c>
      <c r="AX362" s="19">
        <f t="shared" si="284"/>
        <v>0</v>
      </c>
      <c r="AY362" s="19">
        <f t="shared" si="285"/>
        <v>0</v>
      </c>
      <c r="AZ362" s="19">
        <f t="shared" si="286"/>
        <v>0</v>
      </c>
      <c r="BA362" s="19">
        <f t="shared" si="287"/>
        <v>0</v>
      </c>
      <c r="BB362" s="19">
        <f t="shared" si="288"/>
        <v>0</v>
      </c>
      <c r="BC362" s="19">
        <f t="shared" si="289"/>
        <v>0</v>
      </c>
      <c r="BD362" s="19">
        <f>-IF(CUSTOS!B362="",0,CUSTOS!B362)</f>
        <v>0</v>
      </c>
      <c r="BF362" s="20">
        <f t="shared" si="290"/>
        <v>0</v>
      </c>
      <c r="BG362" s="20">
        <f t="shared" si="291"/>
        <v>0</v>
      </c>
      <c r="BH362" s="116">
        <f t="shared" si="291"/>
        <v>0</v>
      </c>
    </row>
    <row r="363" spans="1:60" ht="15" x14ac:dyDescent="0.25">
      <c r="A363" s="66" t="str">
        <f>IF(LARGE($A$11:A362,1)=$F$2,"",A362+1)</f>
        <v/>
      </c>
      <c r="B363" s="27" t="str">
        <f t="shared" si="250"/>
        <v/>
      </c>
      <c r="C363" s="28" t="str">
        <f t="shared" si="277"/>
        <v/>
      </c>
      <c r="D363" s="28" t="str">
        <f t="shared" si="251"/>
        <v/>
      </c>
      <c r="E363" s="28" t="str">
        <f t="shared" si="252"/>
        <v/>
      </c>
      <c r="F363" s="29" t="str">
        <f t="shared" si="253"/>
        <v/>
      </c>
      <c r="G363" s="29" t="str">
        <f t="shared" si="254"/>
        <v/>
      </c>
      <c r="H363" s="30" t="str">
        <f t="shared" si="255"/>
        <v/>
      </c>
      <c r="I363" s="30" t="str">
        <f t="shared" si="256"/>
        <v/>
      </c>
      <c r="J363" s="30" t="str">
        <f>IF(A363="","",H363+CUSTOS!B363)</f>
        <v/>
      </c>
      <c r="K363" s="30" t="str">
        <f t="shared" si="278"/>
        <v/>
      </c>
      <c r="L363" s="30" t="str">
        <f t="shared" si="279"/>
        <v/>
      </c>
      <c r="M363" s="30" t="str">
        <f t="shared" si="280"/>
        <v/>
      </c>
      <c r="N363" s="30" t="str">
        <f t="shared" si="257"/>
        <v/>
      </c>
      <c r="O363" s="31" t="str">
        <f t="shared" si="281"/>
        <v/>
      </c>
      <c r="P363" s="32"/>
      <c r="Q363" s="33" t="str">
        <f t="shared" si="258"/>
        <v/>
      </c>
      <c r="R363" s="33" t="str">
        <f t="shared" si="259"/>
        <v/>
      </c>
      <c r="S363" s="33" t="str">
        <f t="shared" si="260"/>
        <v/>
      </c>
      <c r="T363" s="33" t="str">
        <f t="shared" si="261"/>
        <v/>
      </c>
      <c r="U363" s="33" t="str">
        <f t="shared" si="262"/>
        <v/>
      </c>
      <c r="V363" s="33" t="str">
        <f t="shared" si="263"/>
        <v/>
      </c>
      <c r="X363" s="33" t="str">
        <f t="shared" si="249"/>
        <v/>
      </c>
      <c r="Y363" s="30" t="str">
        <f t="shared" si="264"/>
        <v/>
      </c>
      <c r="Z363" s="30" t="str">
        <f t="shared" si="265"/>
        <v/>
      </c>
      <c r="AA363" s="30" t="str">
        <f t="shared" si="266"/>
        <v/>
      </c>
      <c r="AB363" s="30" t="str">
        <f t="shared" si="267"/>
        <v/>
      </c>
      <c r="AD363" s="33" t="str">
        <f t="shared" si="268"/>
        <v/>
      </c>
      <c r="AE363" s="30" t="str">
        <f t="shared" si="269"/>
        <v/>
      </c>
      <c r="AF363" s="30" t="str">
        <f t="shared" si="270"/>
        <v/>
      </c>
      <c r="AG363" s="30" t="str">
        <f t="shared" si="271"/>
        <v/>
      </c>
      <c r="AH363" s="30" t="str">
        <f t="shared" si="272"/>
        <v/>
      </c>
      <c r="AJ363" s="85" t="str">
        <f t="shared" si="282"/>
        <v/>
      </c>
      <c r="AK363" s="86" t="str">
        <f t="shared" si="292"/>
        <v/>
      </c>
      <c r="AL363" s="86" t="str">
        <f t="shared" si="293"/>
        <v/>
      </c>
      <c r="AM363" s="86" t="str">
        <f t="shared" si="294"/>
        <v/>
      </c>
      <c r="AN363" s="86" t="str">
        <f t="shared" si="295"/>
        <v/>
      </c>
      <c r="AO363" s="86" t="str">
        <f t="shared" si="296"/>
        <v/>
      </c>
      <c r="AQ363" s="33" t="str">
        <f t="shared" si="273"/>
        <v/>
      </c>
      <c r="AR363" s="30" t="str">
        <f t="shared" si="274"/>
        <v/>
      </c>
      <c r="AU363" s="20">
        <f t="shared" si="275"/>
        <v>0</v>
      </c>
      <c r="AV363" s="20">
        <f t="shared" si="276"/>
        <v>0</v>
      </c>
      <c r="AW363" s="19">
        <f t="shared" si="283"/>
        <v>0</v>
      </c>
      <c r="AX363" s="19">
        <f t="shared" si="284"/>
        <v>0</v>
      </c>
      <c r="AY363" s="19">
        <f t="shared" si="285"/>
        <v>0</v>
      </c>
      <c r="AZ363" s="19">
        <f t="shared" si="286"/>
        <v>0</v>
      </c>
      <c r="BA363" s="19">
        <f t="shared" si="287"/>
        <v>0</v>
      </c>
      <c r="BB363" s="19">
        <f t="shared" si="288"/>
        <v>0</v>
      </c>
      <c r="BC363" s="19">
        <f t="shared" si="289"/>
        <v>0</v>
      </c>
      <c r="BD363" s="19">
        <f>-IF(CUSTOS!B363="",0,CUSTOS!B363)</f>
        <v>0</v>
      </c>
      <c r="BF363" s="20">
        <f t="shared" si="290"/>
        <v>0</v>
      </c>
      <c r="BG363" s="20">
        <f t="shared" si="291"/>
        <v>0</v>
      </c>
      <c r="BH363" s="116">
        <f t="shared" si="291"/>
        <v>0</v>
      </c>
    </row>
    <row r="364" spans="1:60" ht="15" x14ac:dyDescent="0.25">
      <c r="A364" s="66" t="str">
        <f>IF(LARGE($A$11:A363,1)=$F$2,"",A363+1)</f>
        <v/>
      </c>
      <c r="B364" s="27" t="str">
        <f t="shared" si="250"/>
        <v/>
      </c>
      <c r="C364" s="28" t="str">
        <f t="shared" si="277"/>
        <v/>
      </c>
      <c r="D364" s="28" t="str">
        <f t="shared" si="251"/>
        <v/>
      </c>
      <c r="E364" s="28" t="str">
        <f t="shared" si="252"/>
        <v/>
      </c>
      <c r="F364" s="29" t="str">
        <f t="shared" si="253"/>
        <v/>
      </c>
      <c r="G364" s="29" t="str">
        <f t="shared" si="254"/>
        <v/>
      </c>
      <c r="H364" s="30" t="str">
        <f t="shared" si="255"/>
        <v/>
      </c>
      <c r="I364" s="30" t="str">
        <f t="shared" si="256"/>
        <v/>
      </c>
      <c r="J364" s="30" t="str">
        <f>IF(A364="","",H364+CUSTOS!B364)</f>
        <v/>
      </c>
      <c r="K364" s="30" t="str">
        <f t="shared" si="278"/>
        <v/>
      </c>
      <c r="L364" s="30" t="str">
        <f t="shared" si="279"/>
        <v/>
      </c>
      <c r="M364" s="30" t="str">
        <f t="shared" si="280"/>
        <v/>
      </c>
      <c r="N364" s="30" t="str">
        <f t="shared" si="257"/>
        <v/>
      </c>
      <c r="O364" s="31" t="str">
        <f t="shared" si="281"/>
        <v/>
      </c>
      <c r="P364" s="32"/>
      <c r="Q364" s="33" t="str">
        <f t="shared" si="258"/>
        <v/>
      </c>
      <c r="R364" s="33" t="str">
        <f t="shared" si="259"/>
        <v/>
      </c>
      <c r="S364" s="33" t="str">
        <f t="shared" si="260"/>
        <v/>
      </c>
      <c r="T364" s="33" t="str">
        <f t="shared" si="261"/>
        <v/>
      </c>
      <c r="U364" s="33" t="str">
        <f t="shared" si="262"/>
        <v/>
      </c>
      <c r="V364" s="33" t="str">
        <f t="shared" si="263"/>
        <v/>
      </c>
      <c r="X364" s="33" t="str">
        <f t="shared" si="249"/>
        <v/>
      </c>
      <c r="Y364" s="30" t="str">
        <f t="shared" si="264"/>
        <v/>
      </c>
      <c r="Z364" s="30" t="str">
        <f t="shared" si="265"/>
        <v/>
      </c>
      <c r="AA364" s="30" t="str">
        <f t="shared" si="266"/>
        <v/>
      </c>
      <c r="AB364" s="30" t="str">
        <f t="shared" si="267"/>
        <v/>
      </c>
      <c r="AD364" s="33" t="str">
        <f t="shared" si="268"/>
        <v/>
      </c>
      <c r="AE364" s="30" t="str">
        <f t="shared" si="269"/>
        <v/>
      </c>
      <c r="AF364" s="30" t="str">
        <f t="shared" si="270"/>
        <v/>
      </c>
      <c r="AG364" s="30" t="str">
        <f t="shared" si="271"/>
        <v/>
      </c>
      <c r="AH364" s="30" t="str">
        <f t="shared" si="272"/>
        <v/>
      </c>
      <c r="AJ364" s="85" t="str">
        <f t="shared" si="282"/>
        <v/>
      </c>
      <c r="AK364" s="86" t="str">
        <f t="shared" si="292"/>
        <v/>
      </c>
      <c r="AL364" s="86" t="str">
        <f t="shared" si="293"/>
        <v/>
      </c>
      <c r="AM364" s="86" t="str">
        <f t="shared" si="294"/>
        <v/>
      </c>
      <c r="AN364" s="86" t="str">
        <f t="shared" si="295"/>
        <v/>
      </c>
      <c r="AO364" s="86" t="str">
        <f t="shared" si="296"/>
        <v/>
      </c>
      <c r="AQ364" s="33" t="str">
        <f t="shared" si="273"/>
        <v/>
      </c>
      <c r="AR364" s="30" t="str">
        <f t="shared" si="274"/>
        <v/>
      </c>
      <c r="AU364" s="20">
        <f t="shared" si="275"/>
        <v>0</v>
      </c>
      <c r="AV364" s="20">
        <f t="shared" si="276"/>
        <v>0</v>
      </c>
      <c r="AW364" s="19">
        <f t="shared" si="283"/>
        <v>0</v>
      </c>
      <c r="AX364" s="19">
        <f t="shared" si="284"/>
        <v>0</v>
      </c>
      <c r="AY364" s="19">
        <f t="shared" si="285"/>
        <v>0</v>
      </c>
      <c r="AZ364" s="19">
        <f t="shared" si="286"/>
        <v>0</v>
      </c>
      <c r="BA364" s="19">
        <f t="shared" si="287"/>
        <v>0</v>
      </c>
      <c r="BB364" s="19">
        <f t="shared" si="288"/>
        <v>0</v>
      </c>
      <c r="BC364" s="19">
        <f t="shared" si="289"/>
        <v>0</v>
      </c>
      <c r="BD364" s="19">
        <f>-IF(CUSTOS!B364="",0,CUSTOS!B364)</f>
        <v>0</v>
      </c>
      <c r="BF364" s="20">
        <f t="shared" si="290"/>
        <v>0</v>
      </c>
      <c r="BG364" s="20">
        <f t="shared" si="291"/>
        <v>0</v>
      </c>
      <c r="BH364" s="116">
        <f t="shared" si="291"/>
        <v>0</v>
      </c>
    </row>
    <row r="365" spans="1:60" ht="15" x14ac:dyDescent="0.25">
      <c r="A365" s="66" t="str">
        <f>IF(LARGE($A$11:A364,1)=$F$2,"",A364+1)</f>
        <v/>
      </c>
      <c r="B365" s="27" t="str">
        <f t="shared" si="250"/>
        <v/>
      </c>
      <c r="C365" s="28" t="str">
        <f t="shared" si="277"/>
        <v/>
      </c>
      <c r="D365" s="28" t="str">
        <f t="shared" si="251"/>
        <v/>
      </c>
      <c r="E365" s="28" t="str">
        <f t="shared" si="252"/>
        <v/>
      </c>
      <c r="F365" s="29" t="str">
        <f t="shared" si="253"/>
        <v/>
      </c>
      <c r="G365" s="29" t="str">
        <f t="shared" si="254"/>
        <v/>
      </c>
      <c r="H365" s="30" t="str">
        <f t="shared" si="255"/>
        <v/>
      </c>
      <c r="I365" s="30" t="str">
        <f t="shared" si="256"/>
        <v/>
      </c>
      <c r="J365" s="30" t="str">
        <f>IF(A365="","",H365+CUSTOS!B365)</f>
        <v/>
      </c>
      <c r="K365" s="30" t="str">
        <f t="shared" si="278"/>
        <v/>
      </c>
      <c r="L365" s="30" t="str">
        <f t="shared" si="279"/>
        <v/>
      </c>
      <c r="M365" s="30" t="str">
        <f t="shared" si="280"/>
        <v/>
      </c>
      <c r="N365" s="30" t="str">
        <f t="shared" si="257"/>
        <v/>
      </c>
      <c r="O365" s="31" t="str">
        <f t="shared" si="281"/>
        <v/>
      </c>
      <c r="P365" s="32"/>
      <c r="Q365" s="33" t="str">
        <f t="shared" si="258"/>
        <v/>
      </c>
      <c r="R365" s="33" t="str">
        <f t="shared" si="259"/>
        <v/>
      </c>
      <c r="S365" s="33" t="str">
        <f t="shared" si="260"/>
        <v/>
      </c>
      <c r="T365" s="33" t="str">
        <f t="shared" si="261"/>
        <v/>
      </c>
      <c r="U365" s="33" t="str">
        <f t="shared" si="262"/>
        <v/>
      </c>
      <c r="V365" s="33" t="str">
        <f t="shared" si="263"/>
        <v/>
      </c>
      <c r="X365" s="33" t="str">
        <f t="shared" si="249"/>
        <v/>
      </c>
      <c r="Y365" s="30" t="str">
        <f t="shared" si="264"/>
        <v/>
      </c>
      <c r="Z365" s="30" t="str">
        <f t="shared" si="265"/>
        <v/>
      </c>
      <c r="AA365" s="30" t="str">
        <f t="shared" si="266"/>
        <v/>
      </c>
      <c r="AB365" s="30" t="str">
        <f t="shared" si="267"/>
        <v/>
      </c>
      <c r="AD365" s="33" t="str">
        <f t="shared" si="268"/>
        <v/>
      </c>
      <c r="AE365" s="30" t="str">
        <f t="shared" si="269"/>
        <v/>
      </c>
      <c r="AF365" s="30" t="str">
        <f t="shared" si="270"/>
        <v/>
      </c>
      <c r="AG365" s="30" t="str">
        <f t="shared" si="271"/>
        <v/>
      </c>
      <c r="AH365" s="30" t="str">
        <f t="shared" si="272"/>
        <v/>
      </c>
      <c r="AJ365" s="85" t="str">
        <f t="shared" si="282"/>
        <v/>
      </c>
      <c r="AK365" s="86" t="str">
        <f t="shared" si="292"/>
        <v/>
      </c>
      <c r="AL365" s="86" t="str">
        <f t="shared" si="293"/>
        <v/>
      </c>
      <c r="AM365" s="86" t="str">
        <f t="shared" si="294"/>
        <v/>
      </c>
      <c r="AN365" s="86" t="str">
        <f t="shared" si="295"/>
        <v/>
      </c>
      <c r="AO365" s="86" t="str">
        <f t="shared" si="296"/>
        <v/>
      </c>
      <c r="AQ365" s="33" t="str">
        <f t="shared" si="273"/>
        <v/>
      </c>
      <c r="AR365" s="30" t="str">
        <f t="shared" si="274"/>
        <v/>
      </c>
      <c r="AU365" s="20">
        <f t="shared" si="275"/>
        <v>0</v>
      </c>
      <c r="AV365" s="20">
        <f t="shared" si="276"/>
        <v>0</v>
      </c>
      <c r="AW365" s="19">
        <f t="shared" si="283"/>
        <v>0</v>
      </c>
      <c r="AX365" s="19">
        <f t="shared" si="284"/>
        <v>0</v>
      </c>
      <c r="AY365" s="19">
        <f t="shared" si="285"/>
        <v>0</v>
      </c>
      <c r="AZ365" s="19">
        <f t="shared" si="286"/>
        <v>0</v>
      </c>
      <c r="BA365" s="19">
        <f t="shared" si="287"/>
        <v>0</v>
      </c>
      <c r="BB365" s="19">
        <f t="shared" si="288"/>
        <v>0</v>
      </c>
      <c r="BC365" s="19">
        <f t="shared" si="289"/>
        <v>0</v>
      </c>
      <c r="BD365" s="19">
        <f>-IF(CUSTOS!B365="",0,CUSTOS!B365)</f>
        <v>0</v>
      </c>
      <c r="BF365" s="20">
        <f t="shared" si="290"/>
        <v>0</v>
      </c>
      <c r="BG365" s="20">
        <f t="shared" si="291"/>
        <v>0</v>
      </c>
      <c r="BH365" s="116">
        <f t="shared" si="291"/>
        <v>0</v>
      </c>
    </row>
    <row r="366" spans="1:60" ht="15" x14ac:dyDescent="0.25">
      <c r="A366" s="66" t="str">
        <f>IF(LARGE($A$11:A365,1)=$F$2,"",A365+1)</f>
        <v/>
      </c>
      <c r="B366" s="27" t="str">
        <f t="shared" si="250"/>
        <v/>
      </c>
      <c r="C366" s="28" t="str">
        <f t="shared" si="277"/>
        <v/>
      </c>
      <c r="D366" s="28" t="str">
        <f t="shared" si="251"/>
        <v/>
      </c>
      <c r="E366" s="28" t="str">
        <f t="shared" si="252"/>
        <v/>
      </c>
      <c r="F366" s="29" t="str">
        <f t="shared" si="253"/>
        <v/>
      </c>
      <c r="G366" s="29" t="str">
        <f t="shared" si="254"/>
        <v/>
      </c>
      <c r="H366" s="30" t="str">
        <f t="shared" si="255"/>
        <v/>
      </c>
      <c r="I366" s="30" t="str">
        <f t="shared" si="256"/>
        <v/>
      </c>
      <c r="J366" s="30" t="str">
        <f>IF(A366="","",H366+CUSTOS!B366)</f>
        <v/>
      </c>
      <c r="K366" s="30" t="str">
        <f t="shared" si="278"/>
        <v/>
      </c>
      <c r="L366" s="30" t="str">
        <f t="shared" si="279"/>
        <v/>
      </c>
      <c r="M366" s="30" t="str">
        <f t="shared" si="280"/>
        <v/>
      </c>
      <c r="N366" s="30" t="str">
        <f t="shared" si="257"/>
        <v/>
      </c>
      <c r="O366" s="31" t="str">
        <f t="shared" si="281"/>
        <v/>
      </c>
      <c r="P366" s="32"/>
      <c r="Q366" s="33" t="str">
        <f t="shared" si="258"/>
        <v/>
      </c>
      <c r="R366" s="33" t="str">
        <f t="shared" si="259"/>
        <v/>
      </c>
      <c r="S366" s="33" t="str">
        <f t="shared" si="260"/>
        <v/>
      </c>
      <c r="T366" s="33" t="str">
        <f t="shared" si="261"/>
        <v/>
      </c>
      <c r="U366" s="33" t="str">
        <f t="shared" si="262"/>
        <v/>
      </c>
      <c r="V366" s="33" t="str">
        <f t="shared" si="263"/>
        <v/>
      </c>
      <c r="X366" s="33" t="str">
        <f t="shared" si="249"/>
        <v/>
      </c>
      <c r="Y366" s="30" t="str">
        <f t="shared" si="264"/>
        <v/>
      </c>
      <c r="Z366" s="30" t="str">
        <f t="shared" si="265"/>
        <v/>
      </c>
      <c r="AA366" s="30" t="str">
        <f t="shared" si="266"/>
        <v/>
      </c>
      <c r="AB366" s="30" t="str">
        <f t="shared" si="267"/>
        <v/>
      </c>
      <c r="AD366" s="33" t="str">
        <f t="shared" si="268"/>
        <v/>
      </c>
      <c r="AE366" s="30" t="str">
        <f t="shared" si="269"/>
        <v/>
      </c>
      <c r="AF366" s="30" t="str">
        <f t="shared" si="270"/>
        <v/>
      </c>
      <c r="AG366" s="30" t="str">
        <f t="shared" si="271"/>
        <v/>
      </c>
      <c r="AH366" s="30" t="str">
        <f t="shared" si="272"/>
        <v/>
      </c>
      <c r="AJ366" s="85" t="str">
        <f t="shared" si="282"/>
        <v/>
      </c>
      <c r="AK366" s="86" t="str">
        <f t="shared" si="292"/>
        <v/>
      </c>
      <c r="AL366" s="86" t="str">
        <f t="shared" si="293"/>
        <v/>
      </c>
      <c r="AM366" s="86" t="str">
        <f t="shared" si="294"/>
        <v/>
      </c>
      <c r="AN366" s="86" t="str">
        <f t="shared" si="295"/>
        <v/>
      </c>
      <c r="AO366" s="86" t="str">
        <f t="shared" si="296"/>
        <v/>
      </c>
      <c r="AQ366" s="33" t="str">
        <f t="shared" si="273"/>
        <v/>
      </c>
      <c r="AR366" s="30" t="str">
        <f t="shared" si="274"/>
        <v/>
      </c>
      <c r="AU366" s="20">
        <f t="shared" si="275"/>
        <v>0</v>
      </c>
      <c r="AV366" s="20">
        <f t="shared" si="276"/>
        <v>0</v>
      </c>
      <c r="AW366" s="19">
        <f t="shared" si="283"/>
        <v>0</v>
      </c>
      <c r="AX366" s="19">
        <f t="shared" si="284"/>
        <v>0</v>
      </c>
      <c r="AY366" s="19">
        <f t="shared" si="285"/>
        <v>0</v>
      </c>
      <c r="AZ366" s="19">
        <f t="shared" si="286"/>
        <v>0</v>
      </c>
      <c r="BA366" s="19">
        <f t="shared" si="287"/>
        <v>0</v>
      </c>
      <c r="BB366" s="19">
        <f t="shared" si="288"/>
        <v>0</v>
      </c>
      <c r="BC366" s="19">
        <f t="shared" si="289"/>
        <v>0</v>
      </c>
      <c r="BD366" s="19">
        <f>-IF(CUSTOS!B366="",0,CUSTOS!B366)</f>
        <v>0</v>
      </c>
      <c r="BF366" s="20">
        <f t="shared" si="290"/>
        <v>0</v>
      </c>
      <c r="BG366" s="20">
        <f t="shared" si="291"/>
        <v>0</v>
      </c>
      <c r="BH366" s="116">
        <f t="shared" si="291"/>
        <v>0</v>
      </c>
    </row>
    <row r="367" spans="1:60" ht="15" x14ac:dyDescent="0.25">
      <c r="A367" s="66" t="str">
        <f>IF(LARGE($A$11:A366,1)=$F$2,"",A366+1)</f>
        <v/>
      </c>
      <c r="B367" s="27" t="str">
        <f t="shared" si="250"/>
        <v/>
      </c>
      <c r="C367" s="28" t="str">
        <f t="shared" si="277"/>
        <v/>
      </c>
      <c r="D367" s="28" t="str">
        <f t="shared" si="251"/>
        <v/>
      </c>
      <c r="E367" s="28" t="str">
        <f t="shared" si="252"/>
        <v/>
      </c>
      <c r="F367" s="29" t="str">
        <f t="shared" si="253"/>
        <v/>
      </c>
      <c r="G367" s="29" t="str">
        <f t="shared" si="254"/>
        <v/>
      </c>
      <c r="H367" s="30" t="str">
        <f t="shared" si="255"/>
        <v/>
      </c>
      <c r="I367" s="30" t="str">
        <f t="shared" si="256"/>
        <v/>
      </c>
      <c r="J367" s="30" t="str">
        <f>IF(A367="","",H367+CUSTOS!B367)</f>
        <v/>
      </c>
      <c r="K367" s="30" t="str">
        <f t="shared" si="278"/>
        <v/>
      </c>
      <c r="L367" s="30" t="str">
        <f t="shared" si="279"/>
        <v/>
      </c>
      <c r="M367" s="30" t="str">
        <f t="shared" si="280"/>
        <v/>
      </c>
      <c r="N367" s="30" t="str">
        <f t="shared" si="257"/>
        <v/>
      </c>
      <c r="O367" s="31" t="str">
        <f t="shared" si="281"/>
        <v/>
      </c>
      <c r="P367" s="32"/>
      <c r="Q367" s="33" t="str">
        <f t="shared" si="258"/>
        <v/>
      </c>
      <c r="R367" s="33" t="str">
        <f t="shared" si="259"/>
        <v/>
      </c>
      <c r="S367" s="33" t="str">
        <f t="shared" si="260"/>
        <v/>
      </c>
      <c r="T367" s="33" t="str">
        <f t="shared" si="261"/>
        <v/>
      </c>
      <c r="U367" s="33" t="str">
        <f t="shared" si="262"/>
        <v/>
      </c>
      <c r="V367" s="33" t="str">
        <f t="shared" si="263"/>
        <v/>
      </c>
      <c r="X367" s="33" t="str">
        <f t="shared" si="249"/>
        <v/>
      </c>
      <c r="Y367" s="30" t="str">
        <f t="shared" si="264"/>
        <v/>
      </c>
      <c r="Z367" s="30" t="str">
        <f t="shared" si="265"/>
        <v/>
      </c>
      <c r="AA367" s="30" t="str">
        <f t="shared" si="266"/>
        <v/>
      </c>
      <c r="AB367" s="30" t="str">
        <f t="shared" si="267"/>
        <v/>
      </c>
      <c r="AD367" s="33" t="str">
        <f t="shared" si="268"/>
        <v/>
      </c>
      <c r="AE367" s="30" t="str">
        <f t="shared" si="269"/>
        <v/>
      </c>
      <c r="AF367" s="30" t="str">
        <f t="shared" si="270"/>
        <v/>
      </c>
      <c r="AG367" s="30" t="str">
        <f t="shared" si="271"/>
        <v/>
      </c>
      <c r="AH367" s="30" t="str">
        <f t="shared" si="272"/>
        <v/>
      </c>
      <c r="AJ367" s="85" t="str">
        <f t="shared" si="282"/>
        <v/>
      </c>
      <c r="AK367" s="86" t="str">
        <f t="shared" si="292"/>
        <v/>
      </c>
      <c r="AL367" s="86" t="str">
        <f t="shared" si="293"/>
        <v/>
      </c>
      <c r="AM367" s="86" t="str">
        <f t="shared" si="294"/>
        <v/>
      </c>
      <c r="AN367" s="86" t="str">
        <f t="shared" si="295"/>
        <v/>
      </c>
      <c r="AO367" s="86" t="str">
        <f t="shared" si="296"/>
        <v/>
      </c>
      <c r="AQ367" s="33" t="str">
        <f t="shared" si="273"/>
        <v/>
      </c>
      <c r="AR367" s="30" t="str">
        <f t="shared" si="274"/>
        <v/>
      </c>
      <c r="AU367" s="20">
        <f t="shared" si="275"/>
        <v>0</v>
      </c>
      <c r="AV367" s="20">
        <f t="shared" si="276"/>
        <v>0</v>
      </c>
      <c r="AW367" s="19">
        <f t="shared" si="283"/>
        <v>0</v>
      </c>
      <c r="AX367" s="19">
        <f t="shared" si="284"/>
        <v>0</v>
      </c>
      <c r="AY367" s="19">
        <f t="shared" si="285"/>
        <v>0</v>
      </c>
      <c r="AZ367" s="19">
        <f t="shared" si="286"/>
        <v>0</v>
      </c>
      <c r="BA367" s="19">
        <f t="shared" si="287"/>
        <v>0</v>
      </c>
      <c r="BB367" s="19">
        <f t="shared" si="288"/>
        <v>0</v>
      </c>
      <c r="BC367" s="19">
        <f t="shared" si="289"/>
        <v>0</v>
      </c>
      <c r="BD367" s="19">
        <f>-IF(CUSTOS!B367="",0,CUSTOS!B367)</f>
        <v>0</v>
      </c>
      <c r="BF367" s="20">
        <f t="shared" si="290"/>
        <v>0</v>
      </c>
      <c r="BG367" s="20">
        <f t="shared" si="291"/>
        <v>0</v>
      </c>
      <c r="BH367" s="116">
        <f t="shared" si="291"/>
        <v>0</v>
      </c>
    </row>
    <row r="368" spans="1:60" ht="15" x14ac:dyDescent="0.25">
      <c r="A368" s="66" t="str">
        <f>IF(LARGE($A$11:A367,1)=$F$2,"",A367+1)</f>
        <v/>
      </c>
      <c r="B368" s="27" t="str">
        <f t="shared" si="250"/>
        <v/>
      </c>
      <c r="C368" s="28" t="str">
        <f t="shared" si="277"/>
        <v/>
      </c>
      <c r="D368" s="28" t="str">
        <f t="shared" si="251"/>
        <v/>
      </c>
      <c r="E368" s="28" t="str">
        <f t="shared" si="252"/>
        <v/>
      </c>
      <c r="F368" s="29" t="str">
        <f t="shared" si="253"/>
        <v/>
      </c>
      <c r="G368" s="29" t="str">
        <f t="shared" si="254"/>
        <v/>
      </c>
      <c r="H368" s="30" t="str">
        <f t="shared" si="255"/>
        <v/>
      </c>
      <c r="I368" s="30" t="str">
        <f t="shared" si="256"/>
        <v/>
      </c>
      <c r="J368" s="30" t="str">
        <f>IF(A368="","",H368+CUSTOS!B368)</f>
        <v/>
      </c>
      <c r="K368" s="30" t="str">
        <f t="shared" si="278"/>
        <v/>
      </c>
      <c r="L368" s="30" t="str">
        <f t="shared" si="279"/>
        <v/>
      </c>
      <c r="M368" s="30" t="str">
        <f t="shared" si="280"/>
        <v/>
      </c>
      <c r="N368" s="30" t="str">
        <f t="shared" si="257"/>
        <v/>
      </c>
      <c r="O368" s="31" t="str">
        <f t="shared" si="281"/>
        <v/>
      </c>
      <c r="P368" s="32"/>
      <c r="Q368" s="33" t="str">
        <f t="shared" si="258"/>
        <v/>
      </c>
      <c r="R368" s="33" t="str">
        <f t="shared" si="259"/>
        <v/>
      </c>
      <c r="S368" s="33" t="str">
        <f t="shared" si="260"/>
        <v/>
      </c>
      <c r="T368" s="33" t="str">
        <f t="shared" si="261"/>
        <v/>
      </c>
      <c r="U368" s="33" t="str">
        <f t="shared" si="262"/>
        <v/>
      </c>
      <c r="V368" s="33" t="str">
        <f t="shared" si="263"/>
        <v/>
      </c>
      <c r="X368" s="33" t="str">
        <f t="shared" si="249"/>
        <v/>
      </c>
      <c r="Y368" s="30" t="str">
        <f t="shared" si="264"/>
        <v/>
      </c>
      <c r="Z368" s="30" t="str">
        <f t="shared" si="265"/>
        <v/>
      </c>
      <c r="AA368" s="30" t="str">
        <f t="shared" si="266"/>
        <v/>
      </c>
      <c r="AB368" s="30" t="str">
        <f t="shared" si="267"/>
        <v/>
      </c>
      <c r="AD368" s="33" t="str">
        <f t="shared" si="268"/>
        <v/>
      </c>
      <c r="AE368" s="30" t="str">
        <f t="shared" si="269"/>
        <v/>
      </c>
      <c r="AF368" s="30" t="str">
        <f t="shared" si="270"/>
        <v/>
      </c>
      <c r="AG368" s="30" t="str">
        <f t="shared" si="271"/>
        <v/>
      </c>
      <c r="AH368" s="30" t="str">
        <f t="shared" si="272"/>
        <v/>
      </c>
      <c r="AJ368" s="85" t="str">
        <f t="shared" si="282"/>
        <v/>
      </c>
      <c r="AK368" s="86" t="str">
        <f t="shared" si="292"/>
        <v/>
      </c>
      <c r="AL368" s="86" t="str">
        <f t="shared" si="293"/>
        <v/>
      </c>
      <c r="AM368" s="86" t="str">
        <f t="shared" si="294"/>
        <v/>
      </c>
      <c r="AN368" s="86" t="str">
        <f t="shared" si="295"/>
        <v/>
      </c>
      <c r="AO368" s="86" t="str">
        <f t="shared" si="296"/>
        <v/>
      </c>
      <c r="AQ368" s="33" t="str">
        <f t="shared" si="273"/>
        <v/>
      </c>
      <c r="AR368" s="30" t="str">
        <f t="shared" si="274"/>
        <v/>
      </c>
      <c r="AU368" s="20">
        <f t="shared" si="275"/>
        <v>0</v>
      </c>
      <c r="AV368" s="20">
        <f t="shared" si="276"/>
        <v>0</v>
      </c>
      <c r="AW368" s="19">
        <f t="shared" si="283"/>
        <v>0</v>
      </c>
      <c r="AX368" s="19">
        <f t="shared" si="284"/>
        <v>0</v>
      </c>
      <c r="AY368" s="19">
        <f t="shared" si="285"/>
        <v>0</v>
      </c>
      <c r="AZ368" s="19">
        <f t="shared" si="286"/>
        <v>0</v>
      </c>
      <c r="BA368" s="19">
        <f t="shared" si="287"/>
        <v>0</v>
      </c>
      <c r="BB368" s="19">
        <f t="shared" si="288"/>
        <v>0</v>
      </c>
      <c r="BC368" s="19">
        <f t="shared" si="289"/>
        <v>0</v>
      </c>
      <c r="BD368" s="19">
        <f>-IF(CUSTOS!B368="",0,CUSTOS!B368)</f>
        <v>0</v>
      </c>
      <c r="BF368" s="20">
        <f t="shared" si="290"/>
        <v>0</v>
      </c>
      <c r="BG368" s="20">
        <f t="shared" si="291"/>
        <v>0</v>
      </c>
      <c r="BH368" s="116">
        <f t="shared" si="291"/>
        <v>0</v>
      </c>
    </row>
    <row r="369" spans="1:60" ht="15" x14ac:dyDescent="0.25">
      <c r="A369" s="66" t="str">
        <f>IF(LARGE($A$11:A368,1)=$F$2,"",A368+1)</f>
        <v/>
      </c>
      <c r="B369" s="27" t="str">
        <f t="shared" si="250"/>
        <v/>
      </c>
      <c r="C369" s="28" t="str">
        <f t="shared" si="277"/>
        <v/>
      </c>
      <c r="D369" s="28" t="str">
        <f t="shared" si="251"/>
        <v/>
      </c>
      <c r="E369" s="28" t="str">
        <f t="shared" si="252"/>
        <v/>
      </c>
      <c r="F369" s="29" t="str">
        <f t="shared" si="253"/>
        <v/>
      </c>
      <c r="G369" s="29" t="str">
        <f t="shared" si="254"/>
        <v/>
      </c>
      <c r="H369" s="30" t="str">
        <f t="shared" si="255"/>
        <v/>
      </c>
      <c r="I369" s="30" t="str">
        <f t="shared" si="256"/>
        <v/>
      </c>
      <c r="J369" s="30" t="str">
        <f>IF(A369="","",H369+CUSTOS!B369)</f>
        <v/>
      </c>
      <c r="K369" s="30" t="str">
        <f t="shared" si="278"/>
        <v/>
      </c>
      <c r="L369" s="30" t="str">
        <f t="shared" si="279"/>
        <v/>
      </c>
      <c r="M369" s="30" t="str">
        <f t="shared" si="280"/>
        <v/>
      </c>
      <c r="N369" s="30" t="str">
        <f t="shared" si="257"/>
        <v/>
      </c>
      <c r="O369" s="31" t="str">
        <f t="shared" si="281"/>
        <v/>
      </c>
      <c r="P369" s="32"/>
      <c r="Q369" s="33" t="str">
        <f t="shared" si="258"/>
        <v/>
      </c>
      <c r="R369" s="33" t="str">
        <f t="shared" si="259"/>
        <v/>
      </c>
      <c r="S369" s="33" t="str">
        <f t="shared" si="260"/>
        <v/>
      </c>
      <c r="T369" s="33" t="str">
        <f t="shared" si="261"/>
        <v/>
      </c>
      <c r="U369" s="33" t="str">
        <f t="shared" si="262"/>
        <v/>
      </c>
      <c r="V369" s="33" t="str">
        <f t="shared" si="263"/>
        <v/>
      </c>
      <c r="X369" s="33" t="str">
        <f t="shared" si="249"/>
        <v/>
      </c>
      <c r="Y369" s="30" t="str">
        <f t="shared" si="264"/>
        <v/>
      </c>
      <c r="Z369" s="30" t="str">
        <f t="shared" si="265"/>
        <v/>
      </c>
      <c r="AA369" s="30" t="str">
        <f t="shared" si="266"/>
        <v/>
      </c>
      <c r="AB369" s="30" t="str">
        <f t="shared" si="267"/>
        <v/>
      </c>
      <c r="AD369" s="33" t="str">
        <f t="shared" si="268"/>
        <v/>
      </c>
      <c r="AE369" s="30" t="str">
        <f t="shared" si="269"/>
        <v/>
      </c>
      <c r="AF369" s="30" t="str">
        <f t="shared" si="270"/>
        <v/>
      </c>
      <c r="AG369" s="30" t="str">
        <f t="shared" si="271"/>
        <v/>
      </c>
      <c r="AH369" s="30" t="str">
        <f t="shared" si="272"/>
        <v/>
      </c>
      <c r="AJ369" s="85" t="str">
        <f t="shared" si="282"/>
        <v/>
      </c>
      <c r="AK369" s="86" t="str">
        <f t="shared" si="292"/>
        <v/>
      </c>
      <c r="AL369" s="86" t="str">
        <f t="shared" si="293"/>
        <v/>
      </c>
      <c r="AM369" s="86" t="str">
        <f t="shared" si="294"/>
        <v/>
      </c>
      <c r="AN369" s="86" t="str">
        <f t="shared" si="295"/>
        <v/>
      </c>
      <c r="AO369" s="86" t="str">
        <f t="shared" si="296"/>
        <v/>
      </c>
      <c r="AQ369" s="33" t="str">
        <f t="shared" si="273"/>
        <v/>
      </c>
      <c r="AR369" s="30" t="str">
        <f t="shared" si="274"/>
        <v/>
      </c>
      <c r="AU369" s="20">
        <f t="shared" si="275"/>
        <v>0</v>
      </c>
      <c r="AV369" s="20">
        <f t="shared" si="276"/>
        <v>0</v>
      </c>
      <c r="AW369" s="19">
        <f t="shared" si="283"/>
        <v>0</v>
      </c>
      <c r="AX369" s="19">
        <f t="shared" si="284"/>
        <v>0</v>
      </c>
      <c r="AY369" s="19">
        <f t="shared" si="285"/>
        <v>0</v>
      </c>
      <c r="AZ369" s="19">
        <f t="shared" si="286"/>
        <v>0</v>
      </c>
      <c r="BA369" s="19">
        <f t="shared" si="287"/>
        <v>0</v>
      </c>
      <c r="BB369" s="19">
        <f t="shared" si="288"/>
        <v>0</v>
      </c>
      <c r="BC369" s="19">
        <f t="shared" si="289"/>
        <v>0</v>
      </c>
      <c r="BD369" s="19">
        <f>-IF(CUSTOS!B369="",0,CUSTOS!B369)</f>
        <v>0</v>
      </c>
      <c r="BF369" s="20">
        <f t="shared" si="290"/>
        <v>0</v>
      </c>
      <c r="BG369" s="20">
        <f t="shared" si="291"/>
        <v>0</v>
      </c>
      <c r="BH369" s="116">
        <f t="shared" si="291"/>
        <v>0</v>
      </c>
    </row>
    <row r="370" spans="1:60" ht="15" x14ac:dyDescent="0.25">
      <c r="A370" s="66" t="str">
        <f>IF(LARGE($A$11:A369,1)=$F$2,"",A369+1)</f>
        <v/>
      </c>
      <c r="B370" s="27" t="str">
        <f t="shared" si="250"/>
        <v/>
      </c>
      <c r="C370" s="28" t="str">
        <f t="shared" si="277"/>
        <v/>
      </c>
      <c r="D370" s="28" t="str">
        <f t="shared" si="251"/>
        <v/>
      </c>
      <c r="E370" s="28" t="str">
        <f t="shared" si="252"/>
        <v/>
      </c>
      <c r="F370" s="29" t="str">
        <f t="shared" si="253"/>
        <v/>
      </c>
      <c r="G370" s="29" t="str">
        <f t="shared" si="254"/>
        <v/>
      </c>
      <c r="H370" s="30" t="str">
        <f t="shared" si="255"/>
        <v/>
      </c>
      <c r="I370" s="30" t="str">
        <f t="shared" si="256"/>
        <v/>
      </c>
      <c r="J370" s="30" t="str">
        <f>IF(A370="","",H370+CUSTOS!B370)</f>
        <v/>
      </c>
      <c r="K370" s="30" t="str">
        <f t="shared" si="278"/>
        <v/>
      </c>
      <c r="L370" s="30" t="str">
        <f t="shared" si="279"/>
        <v/>
      </c>
      <c r="M370" s="30" t="str">
        <f t="shared" si="280"/>
        <v/>
      </c>
      <c r="N370" s="30" t="str">
        <f t="shared" si="257"/>
        <v/>
      </c>
      <c r="O370" s="31" t="str">
        <f t="shared" si="281"/>
        <v/>
      </c>
      <c r="P370" s="32"/>
      <c r="Q370" s="33" t="str">
        <f t="shared" si="258"/>
        <v/>
      </c>
      <c r="R370" s="33" t="str">
        <f t="shared" si="259"/>
        <v/>
      </c>
      <c r="S370" s="33" t="str">
        <f t="shared" si="260"/>
        <v/>
      </c>
      <c r="T370" s="33" t="str">
        <f t="shared" si="261"/>
        <v/>
      </c>
      <c r="U370" s="33" t="str">
        <f t="shared" si="262"/>
        <v/>
      </c>
      <c r="V370" s="33" t="str">
        <f t="shared" si="263"/>
        <v/>
      </c>
      <c r="X370" s="33" t="str">
        <f t="shared" si="249"/>
        <v/>
      </c>
      <c r="Y370" s="30" t="str">
        <f t="shared" si="264"/>
        <v/>
      </c>
      <c r="Z370" s="30" t="str">
        <f t="shared" si="265"/>
        <v/>
      </c>
      <c r="AA370" s="30" t="str">
        <f t="shared" si="266"/>
        <v/>
      </c>
      <c r="AB370" s="30" t="str">
        <f t="shared" si="267"/>
        <v/>
      </c>
      <c r="AD370" s="33" t="str">
        <f t="shared" si="268"/>
        <v/>
      </c>
      <c r="AE370" s="30" t="str">
        <f t="shared" si="269"/>
        <v/>
      </c>
      <c r="AF370" s="30" t="str">
        <f t="shared" si="270"/>
        <v/>
      </c>
      <c r="AG370" s="30" t="str">
        <f t="shared" si="271"/>
        <v/>
      </c>
      <c r="AH370" s="30" t="str">
        <f t="shared" si="272"/>
        <v/>
      </c>
      <c r="AJ370" s="85" t="str">
        <f t="shared" si="282"/>
        <v/>
      </c>
      <c r="AK370" s="86" t="str">
        <f t="shared" si="292"/>
        <v/>
      </c>
      <c r="AL370" s="86" t="str">
        <f t="shared" si="293"/>
        <v/>
      </c>
      <c r="AM370" s="86" t="str">
        <f t="shared" si="294"/>
        <v/>
      </c>
      <c r="AN370" s="86" t="str">
        <f t="shared" si="295"/>
        <v/>
      </c>
      <c r="AO370" s="86" t="str">
        <f t="shared" si="296"/>
        <v/>
      </c>
      <c r="AQ370" s="33" t="str">
        <f t="shared" si="273"/>
        <v/>
      </c>
      <c r="AR370" s="30" t="str">
        <f t="shared" si="274"/>
        <v/>
      </c>
      <c r="AU370" s="20">
        <f t="shared" si="275"/>
        <v>0</v>
      </c>
      <c r="AV370" s="20">
        <f t="shared" si="276"/>
        <v>0</v>
      </c>
      <c r="AW370" s="19">
        <f t="shared" si="283"/>
        <v>0</v>
      </c>
      <c r="AX370" s="19">
        <f t="shared" si="284"/>
        <v>0</v>
      </c>
      <c r="AY370" s="19">
        <f t="shared" si="285"/>
        <v>0</v>
      </c>
      <c r="AZ370" s="19">
        <f t="shared" si="286"/>
        <v>0</v>
      </c>
      <c r="BA370" s="19">
        <f t="shared" si="287"/>
        <v>0</v>
      </c>
      <c r="BB370" s="19">
        <f t="shared" si="288"/>
        <v>0</v>
      </c>
      <c r="BC370" s="19">
        <f t="shared" si="289"/>
        <v>0</v>
      </c>
      <c r="BD370" s="19">
        <f>-IF(CUSTOS!B370="",0,CUSTOS!B370)</f>
        <v>0</v>
      </c>
      <c r="BF370" s="20">
        <f t="shared" si="290"/>
        <v>0</v>
      </c>
      <c r="BG370" s="20">
        <f t="shared" si="291"/>
        <v>0</v>
      </c>
      <c r="BH370" s="116">
        <f t="shared" si="291"/>
        <v>0</v>
      </c>
    </row>
    <row r="371" spans="1:60" ht="15" x14ac:dyDescent="0.25">
      <c r="A371" s="66" t="str">
        <f>IF(LARGE($A$11:A370,1)=$F$2,"",A370+1)</f>
        <v/>
      </c>
      <c r="B371" s="27" t="str">
        <f t="shared" si="250"/>
        <v/>
      </c>
      <c r="C371" s="28" t="str">
        <f t="shared" si="277"/>
        <v/>
      </c>
      <c r="D371" s="28" t="str">
        <f t="shared" si="251"/>
        <v/>
      </c>
      <c r="E371" s="28" t="str">
        <f t="shared" si="252"/>
        <v/>
      </c>
      <c r="F371" s="29" t="str">
        <f t="shared" si="253"/>
        <v/>
      </c>
      <c r="G371" s="29" t="str">
        <f t="shared" si="254"/>
        <v/>
      </c>
      <c r="H371" s="30" t="str">
        <f t="shared" si="255"/>
        <v/>
      </c>
      <c r="I371" s="30" t="str">
        <f t="shared" si="256"/>
        <v/>
      </c>
      <c r="J371" s="30" t="str">
        <f>IF(A371="","",H371+CUSTOS!B371)</f>
        <v/>
      </c>
      <c r="K371" s="30" t="str">
        <f t="shared" si="278"/>
        <v/>
      </c>
      <c r="L371" s="30" t="str">
        <f t="shared" si="279"/>
        <v/>
      </c>
      <c r="M371" s="30" t="str">
        <f t="shared" si="280"/>
        <v/>
      </c>
      <c r="N371" s="30" t="str">
        <f t="shared" si="257"/>
        <v/>
      </c>
      <c r="O371" s="31" t="str">
        <f t="shared" si="281"/>
        <v/>
      </c>
      <c r="P371" s="32"/>
      <c r="Q371" s="33" t="str">
        <f t="shared" si="258"/>
        <v/>
      </c>
      <c r="R371" s="33" t="str">
        <f t="shared" si="259"/>
        <v/>
      </c>
      <c r="S371" s="33" t="str">
        <f t="shared" si="260"/>
        <v/>
      </c>
      <c r="T371" s="33" t="str">
        <f t="shared" si="261"/>
        <v/>
      </c>
      <c r="U371" s="33" t="str">
        <f t="shared" si="262"/>
        <v/>
      </c>
      <c r="V371" s="33" t="str">
        <f t="shared" si="263"/>
        <v/>
      </c>
      <c r="X371" s="33" t="str">
        <f t="shared" si="249"/>
        <v/>
      </c>
      <c r="Y371" s="30" t="str">
        <f t="shared" si="264"/>
        <v/>
      </c>
      <c r="Z371" s="30" t="str">
        <f t="shared" si="265"/>
        <v/>
      </c>
      <c r="AA371" s="30" t="str">
        <f t="shared" si="266"/>
        <v/>
      </c>
      <c r="AB371" s="30" t="str">
        <f t="shared" si="267"/>
        <v/>
      </c>
      <c r="AD371" s="33" t="str">
        <f t="shared" si="268"/>
        <v/>
      </c>
      <c r="AE371" s="30" t="str">
        <f t="shared" si="269"/>
        <v/>
      </c>
      <c r="AF371" s="30" t="str">
        <f t="shared" si="270"/>
        <v/>
      </c>
      <c r="AG371" s="30" t="str">
        <f t="shared" si="271"/>
        <v/>
      </c>
      <c r="AH371" s="30" t="str">
        <f t="shared" si="272"/>
        <v/>
      </c>
      <c r="AJ371" s="85" t="str">
        <f t="shared" si="282"/>
        <v/>
      </c>
      <c r="AK371" s="86" t="str">
        <f t="shared" si="292"/>
        <v/>
      </c>
      <c r="AL371" s="86" t="str">
        <f t="shared" si="293"/>
        <v/>
      </c>
      <c r="AM371" s="86" t="str">
        <f t="shared" si="294"/>
        <v/>
      </c>
      <c r="AN371" s="86" t="str">
        <f t="shared" si="295"/>
        <v/>
      </c>
      <c r="AO371" s="86" t="str">
        <f t="shared" si="296"/>
        <v/>
      </c>
      <c r="AQ371" s="33" t="str">
        <f t="shared" si="273"/>
        <v/>
      </c>
      <c r="AR371" s="30" t="str">
        <f t="shared" si="274"/>
        <v/>
      </c>
      <c r="AU371" s="20">
        <f t="shared" si="275"/>
        <v>0</v>
      </c>
      <c r="AV371" s="20">
        <f t="shared" si="276"/>
        <v>0</v>
      </c>
      <c r="AW371" s="19">
        <f t="shared" si="283"/>
        <v>0</v>
      </c>
      <c r="AX371" s="19">
        <f t="shared" si="284"/>
        <v>0</v>
      </c>
      <c r="AY371" s="19">
        <f t="shared" si="285"/>
        <v>0</v>
      </c>
      <c r="AZ371" s="19">
        <f t="shared" si="286"/>
        <v>0</v>
      </c>
      <c r="BA371" s="19">
        <f t="shared" si="287"/>
        <v>0</v>
      </c>
      <c r="BB371" s="19">
        <f t="shared" si="288"/>
        <v>0</v>
      </c>
      <c r="BC371" s="19">
        <f t="shared" si="289"/>
        <v>0</v>
      </c>
      <c r="BD371" s="19">
        <f>-IF(CUSTOS!B371="",0,CUSTOS!B371)</f>
        <v>0</v>
      </c>
      <c r="BF371" s="20">
        <f t="shared" si="290"/>
        <v>0</v>
      </c>
      <c r="BG371" s="20">
        <f t="shared" si="291"/>
        <v>0</v>
      </c>
      <c r="BH371" s="116">
        <f t="shared" si="291"/>
        <v>0</v>
      </c>
    </row>
  </sheetData>
  <dataConsolidate link="1"/>
  <mergeCells count="39">
    <mergeCell ref="AQ8:AR8"/>
    <mergeCell ref="AQ9:AQ10"/>
    <mergeCell ref="AR9:AR10"/>
    <mergeCell ref="AJ9:AJ10"/>
    <mergeCell ref="AK9:AK10"/>
    <mergeCell ref="AL9:AL10"/>
    <mergeCell ref="AM9:AM10"/>
    <mergeCell ref="AN9:AN10"/>
    <mergeCell ref="AJ8:AO8"/>
    <mergeCell ref="AO9:AO10"/>
    <mergeCell ref="AD8:AH8"/>
    <mergeCell ref="AD9:AD10"/>
    <mergeCell ref="AE9:AE10"/>
    <mergeCell ref="AF9:AF10"/>
    <mergeCell ref="AG9:AG10"/>
    <mergeCell ref="AH9:AH10"/>
    <mergeCell ref="B8:G8"/>
    <mergeCell ref="H8:O8"/>
    <mergeCell ref="Q8:V8"/>
    <mergeCell ref="L9:L10"/>
    <mergeCell ref="M9:M10"/>
    <mergeCell ref="O9:O10"/>
    <mergeCell ref="S9:S10"/>
    <mergeCell ref="T9:T10"/>
    <mergeCell ref="Q9:Q10"/>
    <mergeCell ref="N9:N10"/>
    <mergeCell ref="V9:V10"/>
    <mergeCell ref="U9:U10"/>
    <mergeCell ref="I9:I10"/>
    <mergeCell ref="X8:AB8"/>
    <mergeCell ref="X9:X10"/>
    <mergeCell ref="H9:H10"/>
    <mergeCell ref="K9:K10"/>
    <mergeCell ref="R9:R10"/>
    <mergeCell ref="J9:J10"/>
    <mergeCell ref="Y9:Y10"/>
    <mergeCell ref="Z9:Z10"/>
    <mergeCell ref="AA9:AA10"/>
    <mergeCell ref="AB9:AB10"/>
  </mergeCells>
  <conditionalFormatting sqref="A21:A193 R12:V12 A12:E12 B21:D371 A13:D20 B11:B371 AR12 H12 K12:P12 P13:P371 U12:V371 S13:V371">
    <cfRule type="containsBlanks" dxfId="72" priority="183">
      <formula>LEN(TRIM(A11))=0</formula>
    </cfRule>
  </conditionalFormatting>
  <conditionalFormatting sqref="A194:A219">
    <cfRule type="containsBlanks" dxfId="71" priority="180">
      <formula>LEN(TRIM(A194))=0</formula>
    </cfRule>
  </conditionalFormatting>
  <conditionalFormatting sqref="A220:A246">
    <cfRule type="containsBlanks" dxfId="70" priority="174">
      <formula>LEN(TRIM(A220))=0</formula>
    </cfRule>
  </conditionalFormatting>
  <conditionalFormatting sqref="A247:A273">
    <cfRule type="containsBlanks" dxfId="69" priority="168">
      <formula>LEN(TRIM(A247))=0</formula>
    </cfRule>
  </conditionalFormatting>
  <conditionalFormatting sqref="A274:A326">
    <cfRule type="containsBlanks" dxfId="68" priority="162">
      <formula>LEN(TRIM(A274))=0</formula>
    </cfRule>
  </conditionalFormatting>
  <conditionalFormatting sqref="A327:A366">
    <cfRule type="containsBlanks" dxfId="67" priority="156">
      <formula>LEN(TRIM(A327))=0</formula>
    </cfRule>
  </conditionalFormatting>
  <conditionalFormatting sqref="A367:A371">
    <cfRule type="containsBlanks" dxfId="66" priority="150">
      <formula>LEN(TRIM(A367))=0</formula>
    </cfRule>
  </conditionalFormatting>
  <conditionalFormatting sqref="U21:V371">
    <cfRule type="containsBlanks" dxfId="65" priority="144">
      <formula>LEN(TRIM(U21))=0</formula>
    </cfRule>
  </conditionalFormatting>
  <conditionalFormatting sqref="Q12">
    <cfRule type="containsBlanks" dxfId="64" priority="131">
      <formula>LEN(TRIM(Q12))=0</formula>
    </cfRule>
  </conditionalFormatting>
  <conditionalFormatting sqref="AE12:AH12">
    <cfRule type="containsBlanks" dxfId="63" priority="74">
      <formula>LEN(TRIM(AE12))=0</formula>
    </cfRule>
  </conditionalFormatting>
  <conditionalFormatting sqref="J12">
    <cfRule type="containsBlanks" dxfId="62" priority="84">
      <formula>LEN(TRIM(J12))=0</formula>
    </cfRule>
  </conditionalFormatting>
  <conditionalFormatting sqref="Y12:AB12">
    <cfRule type="containsBlanks" dxfId="61" priority="83">
      <formula>LEN(TRIM(Y12))=0</formula>
    </cfRule>
  </conditionalFormatting>
  <conditionalFormatting sqref="AQ12">
    <cfRule type="containsBlanks" dxfId="60" priority="57">
      <formula>LEN(TRIM(AQ12))=0</formula>
    </cfRule>
  </conditionalFormatting>
  <conditionalFormatting sqref="I12">
    <cfRule type="containsBlanks" dxfId="59" priority="52">
      <formula>LEN(TRIM(I12))=0</formula>
    </cfRule>
  </conditionalFormatting>
  <conditionalFormatting sqref="E13:E371">
    <cfRule type="containsBlanks" dxfId="58" priority="65">
      <formula>LEN(TRIM(E13))=0</formula>
    </cfRule>
  </conditionalFormatting>
  <conditionalFormatting sqref="AK12:AN12">
    <cfRule type="containsBlanks" dxfId="57" priority="64">
      <formula>LEN(TRIM(AK12))=0</formula>
    </cfRule>
  </conditionalFormatting>
  <conditionalFormatting sqref="I13:I371">
    <cfRule type="containsBlanks" dxfId="56" priority="50">
      <formula>LEN(TRIM(I13))=0</formula>
    </cfRule>
  </conditionalFormatting>
  <conditionalFormatting sqref="L13:O371">
    <cfRule type="containsBlanks" dxfId="55" priority="54">
      <formula>LEN(TRIM(L13))=0</formula>
    </cfRule>
  </conditionalFormatting>
  <conditionalFormatting sqref="J13:J371">
    <cfRule type="containsBlanks" dxfId="54" priority="53">
      <formula>LEN(TRIM(J13))=0</formula>
    </cfRule>
  </conditionalFormatting>
  <conditionalFormatting sqref="AN13:AN371">
    <cfRule type="containsBlanks" dxfId="53" priority="8">
      <formula>LEN(TRIM(AN13))=0</formula>
    </cfRule>
  </conditionalFormatting>
  <conditionalFormatting sqref="Q12:V371">
    <cfRule type="containsBlanks" dxfId="52" priority="46">
      <formula>LEN(TRIM(Q12))=0</formula>
    </cfRule>
  </conditionalFormatting>
  <conditionalFormatting sqref="AH13:AH371">
    <cfRule type="containsBlanks" dxfId="51" priority="9">
      <formula>LEN(TRIM(AH13))=0</formula>
    </cfRule>
  </conditionalFormatting>
  <conditionalFormatting sqref="S14:S371">
    <cfRule type="containsBlanks" dxfId="50" priority="43">
      <formula>LEN(TRIM(S14))=0</formula>
    </cfRule>
  </conditionalFormatting>
  <conditionalFormatting sqref="R13:R371">
    <cfRule type="containsBlanks" dxfId="49" priority="42">
      <formula>LEN(TRIM(R13))=0</formula>
    </cfRule>
  </conditionalFormatting>
  <conditionalFormatting sqref="T13:T371">
    <cfRule type="containsBlanks" dxfId="48" priority="41">
      <formula>LEN(TRIM(T13))=0</formula>
    </cfRule>
  </conditionalFormatting>
  <conditionalFormatting sqref="AJ11:AJ371">
    <cfRule type="containsBlanks" dxfId="47" priority="18">
      <formula>LEN(TRIM(AJ11))=0</formula>
    </cfRule>
  </conditionalFormatting>
  <conditionalFormatting sqref="R13:R371">
    <cfRule type="containsBlanks" dxfId="46" priority="37">
      <formula>LEN(TRIM(R13))=0</formula>
    </cfRule>
  </conditionalFormatting>
  <conditionalFormatting sqref="R13:R371">
    <cfRule type="containsBlanks" dxfId="45" priority="36">
      <formula>LEN(TRIM(R13))=0</formula>
    </cfRule>
  </conditionalFormatting>
  <conditionalFormatting sqref="AQ13:AQ371">
    <cfRule type="containsBlanks" dxfId="44" priority="13">
      <formula>LEN(TRIM(AQ13))=0</formula>
    </cfRule>
  </conditionalFormatting>
  <conditionalFormatting sqref="AR13:AR371">
    <cfRule type="containsBlanks" dxfId="43" priority="14">
      <formula>LEN(TRIM(AR13))=0</formula>
    </cfRule>
  </conditionalFormatting>
  <conditionalFormatting sqref="AD12:AD371">
    <cfRule type="containsBlanks" dxfId="42" priority="11">
      <formula>LEN(TRIM(AD12))=0</formula>
    </cfRule>
  </conditionalFormatting>
  <conditionalFormatting sqref="Z13:AA371">
    <cfRule type="containsBlanks" dxfId="41" priority="27">
      <formula>LEN(TRIM(Z13))=0</formula>
    </cfRule>
  </conditionalFormatting>
  <conditionalFormatting sqref="R13:R371">
    <cfRule type="containsBlanks" dxfId="40" priority="30">
      <formula>LEN(TRIM(R13))=0</formula>
    </cfRule>
  </conditionalFormatting>
  <conditionalFormatting sqref="AE13:AE371">
    <cfRule type="containsBlanks" dxfId="39" priority="21">
      <formula>LEN(TRIM(AE13))=0</formula>
    </cfRule>
  </conditionalFormatting>
  <conditionalFormatting sqref="AB13:AB371">
    <cfRule type="containsBlanks" dxfId="38" priority="10">
      <formula>LEN(TRIM(AB13))=0</formula>
    </cfRule>
  </conditionalFormatting>
  <conditionalFormatting sqref="AF13:AF371">
    <cfRule type="containsBlanks" dxfId="37" priority="24">
      <formula>LEN(TRIM(AF13))=0</formula>
    </cfRule>
  </conditionalFormatting>
  <conditionalFormatting sqref="AG13:AG371">
    <cfRule type="containsBlanks" dxfId="36" priority="23">
      <formula>LEN(TRIM(AG13))=0</formula>
    </cfRule>
  </conditionalFormatting>
  <conditionalFormatting sqref="Y13:Y371">
    <cfRule type="containsBlanks" dxfId="35" priority="20">
      <formula>LEN(TRIM(Y13))=0</formula>
    </cfRule>
  </conditionalFormatting>
  <conditionalFormatting sqref="AK13:AK371">
    <cfRule type="containsBlanks" dxfId="34" priority="17">
      <formula>LEN(TRIM(AK13))=0</formula>
    </cfRule>
  </conditionalFormatting>
  <conditionalFormatting sqref="AM13:AM371">
    <cfRule type="containsBlanks" dxfId="33" priority="16">
      <formula>LEN(TRIM(AM13))=0</formula>
    </cfRule>
  </conditionalFormatting>
  <conditionalFormatting sqref="AL13:AL371">
    <cfRule type="containsBlanks" dxfId="32" priority="15">
      <formula>LEN(TRIM(AL13))=0</formula>
    </cfRule>
  </conditionalFormatting>
  <conditionalFormatting sqref="X12:X371">
    <cfRule type="containsBlanks" dxfId="31" priority="12">
      <formula>LEN(TRIM(X12))=0</formula>
    </cfRule>
  </conditionalFormatting>
  <conditionalFormatting sqref="AO12">
    <cfRule type="containsBlanks" dxfId="30" priority="5">
      <formula>LEN(TRIM(AO12))=0</formula>
    </cfRule>
  </conditionalFormatting>
  <conditionalFormatting sqref="AO13:AO371">
    <cfRule type="containsBlanks" dxfId="29" priority="3">
      <formula>LEN(TRIM(AO13))=0</formula>
    </cfRule>
  </conditionalFormatting>
  <conditionalFormatting sqref="K13:K371">
    <cfRule type="containsBlanks" dxfId="28" priority="2">
      <formula>LEN(TRIM(K13))=0</formula>
    </cfRule>
  </conditionalFormatting>
  <conditionalFormatting sqref="H13:H371">
    <cfRule type="containsBlanks" dxfId="27" priority="1">
      <formula>LEN(TRIM(H13))=0</formula>
    </cfRule>
  </conditionalFormatting>
  <dataValidations count="6">
    <dataValidation type="list" allowBlank="1" showInputMessage="1" showErrorMessage="1" sqref="C2">
      <formula1>"365,360,252"</formula1>
    </dataValidation>
    <dataValidation type="list" allowBlank="1" showInputMessage="1" showErrorMessage="1" sqref="C3">
      <formula1>"0,1,2"</formula1>
    </dataValidation>
    <dataValidation type="list" allowBlank="1" showInputMessage="1" showErrorMessage="1" sqref="R6">
      <formula1>"A + J, % PMT"</formula1>
    </dataValidation>
    <dataValidation type="list" allowBlank="1" showInputMessage="1" showErrorMessage="1" sqref="Y6">
      <formula1>"PMT [diferença],A + J, % PMT"</formula1>
    </dataValidation>
    <dataValidation type="list" allowBlank="1" showInputMessage="1" showErrorMessage="1" sqref="AE6">
      <formula1>"PMT [diferença], % PMT"</formula1>
    </dataValidation>
    <dataValidation type="list" allowBlank="1" showInputMessage="1" showErrorMessage="1" sqref="I2">
      <formula1>"Corporativo,Aluguel,Pulverizado"</formula1>
    </dataValidation>
  </dataValidations>
  <hyperlinks>
    <hyperlink ref="V9" r:id="rId1"/>
    <hyperlink ref="U9" r:id="rId2"/>
    <hyperlink ref="AB9" r:id="rId3"/>
    <hyperlink ref="AH9" r:id="rId4"/>
    <hyperlink ref="AN9" r:id="rId5"/>
    <hyperlink ref="I9" r:id="rId6" display="VP@CART"/>
    <hyperlink ref="N9" r:id="rId7" display="VP@CART"/>
    <hyperlink ref="AO9" r:id="rId8" display="VP@EMISSÂO"/>
  </hyperlinks>
  <pageMargins left="0.511811024" right="0.511811024" top="0.78740157499999996" bottom="0.78740157499999996" header="0.31496062000000002" footer="0.31496062000000002"/>
  <pageSetup paperSize="9" orientation="portrait" r:id="rId9"/>
  <ignoredErrors>
    <ignoredError sqref="Q13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K371"/>
  <sheetViews>
    <sheetView showGridLines="0" zoomScale="70" zoomScaleNormal="70" workbookViewId="0">
      <pane xSplit="1" ySplit="10" topLeftCell="B11" activePane="bottomRight" state="frozen"/>
      <selection activeCell="L20" sqref="L20"/>
      <selection pane="topRight" activeCell="L20" sqref="L20"/>
      <selection pane="bottomLeft" activeCell="L20" sqref="L20"/>
      <selection pane="bottomRight" activeCell="AG6" sqref="AG6"/>
    </sheetView>
  </sheetViews>
  <sheetFormatPr defaultColWidth="0" defaultRowHeight="14.25" x14ac:dyDescent="0.2"/>
  <cols>
    <col min="1" max="1" width="13.375" style="3" customWidth="1"/>
    <col min="2" max="2" width="21.375" style="3" customWidth="1" collapsed="1"/>
    <col min="3" max="9" width="26.25" style="3" customWidth="1"/>
    <col min="10" max="10" width="29.875" style="3" customWidth="1"/>
    <col min="11" max="20" width="26.25" style="3" customWidth="1"/>
    <col min="21" max="21" width="34.375" style="3" bestFit="1" customWidth="1"/>
    <col min="22" max="36" width="26.25" style="3" customWidth="1"/>
    <col min="37" max="37" width="9" style="3" customWidth="1"/>
    <col min="38" max="16384" width="9" style="3" hidden="1"/>
  </cols>
  <sheetData>
    <row r="2" spans="1:36" x14ac:dyDescent="0.2">
      <c r="B2" s="57" t="s">
        <v>481</v>
      </c>
      <c r="C2" s="61" t="s">
        <v>559</v>
      </c>
    </row>
    <row r="4" spans="1:36" x14ac:dyDescent="0.2">
      <c r="Q4" s="68"/>
    </row>
    <row r="5" spans="1:36" x14ac:dyDescent="0.2">
      <c r="C5" s="57" t="s">
        <v>434</v>
      </c>
      <c r="D5" s="57" t="s">
        <v>448</v>
      </c>
      <c r="E5" s="117" t="s">
        <v>473</v>
      </c>
      <c r="F5" s="117" t="s">
        <v>525</v>
      </c>
      <c r="G5" s="117" t="s">
        <v>56</v>
      </c>
      <c r="H5" s="117" t="s">
        <v>457</v>
      </c>
      <c r="I5" s="117" t="s">
        <v>458</v>
      </c>
      <c r="J5" s="117" t="s">
        <v>459</v>
      </c>
      <c r="K5" s="117" t="s">
        <v>490</v>
      </c>
      <c r="L5" s="117" t="s">
        <v>491</v>
      </c>
      <c r="M5" s="117" t="s">
        <v>445</v>
      </c>
      <c r="N5" s="117" t="s">
        <v>443</v>
      </c>
      <c r="O5" s="117" t="s">
        <v>444</v>
      </c>
      <c r="P5" s="117" t="s">
        <v>479</v>
      </c>
      <c r="Q5" s="117" t="s">
        <v>461</v>
      </c>
      <c r="R5" s="117" t="s">
        <v>462</v>
      </c>
      <c r="S5" s="117" t="s">
        <v>437</v>
      </c>
      <c r="T5" s="117" t="s">
        <v>438</v>
      </c>
      <c r="U5" s="117" t="s">
        <v>463</v>
      </c>
      <c r="V5" s="117" t="s">
        <v>489</v>
      </c>
      <c r="W5" s="117" t="s">
        <v>12</v>
      </c>
      <c r="X5" s="117" t="s">
        <v>435</v>
      </c>
      <c r="Y5" s="117" t="s">
        <v>11</v>
      </c>
      <c r="Z5" s="117" t="s">
        <v>436</v>
      </c>
      <c r="AA5" s="117" t="s">
        <v>450</v>
      </c>
      <c r="AB5" s="117" t="s">
        <v>472</v>
      </c>
      <c r="AC5" s="117" t="s">
        <v>14</v>
      </c>
      <c r="AD5" s="117" t="s">
        <v>442</v>
      </c>
      <c r="AE5" s="117" t="s">
        <v>440</v>
      </c>
      <c r="AF5" s="117" t="s">
        <v>456</v>
      </c>
      <c r="AG5" s="117" t="s">
        <v>38</v>
      </c>
      <c r="AH5" s="117" t="s">
        <v>48</v>
      </c>
      <c r="AI5" s="117" t="s">
        <v>439</v>
      </c>
      <c r="AJ5" s="117" t="s">
        <v>527</v>
      </c>
    </row>
    <row r="6" spans="1:36" x14ac:dyDescent="0.2">
      <c r="B6" s="57" t="s">
        <v>474</v>
      </c>
      <c r="C6" s="61" t="s">
        <v>476</v>
      </c>
      <c r="D6" s="61" t="s">
        <v>476</v>
      </c>
      <c r="E6" s="61" t="s">
        <v>476</v>
      </c>
      <c r="F6" s="61" t="s">
        <v>476</v>
      </c>
      <c r="G6" s="61" t="s">
        <v>476</v>
      </c>
      <c r="H6" s="61" t="s">
        <v>476</v>
      </c>
      <c r="I6" s="61" t="s">
        <v>476</v>
      </c>
      <c r="J6" s="61" t="s">
        <v>476</v>
      </c>
      <c r="K6" s="61" t="s">
        <v>476</v>
      </c>
      <c r="L6" s="61" t="s">
        <v>476</v>
      </c>
      <c r="M6" s="61" t="s">
        <v>476</v>
      </c>
      <c r="N6" s="61" t="s">
        <v>476</v>
      </c>
      <c r="O6" s="61" t="s">
        <v>476</v>
      </c>
      <c r="P6" s="61" t="s">
        <v>476</v>
      </c>
      <c r="Q6" s="61" t="s">
        <v>476</v>
      </c>
      <c r="R6" s="61" t="s">
        <v>476</v>
      </c>
      <c r="S6" s="61" t="s">
        <v>476</v>
      </c>
      <c r="T6" s="61" t="s">
        <v>476</v>
      </c>
      <c r="U6" s="61" t="s">
        <v>476</v>
      </c>
      <c r="V6" s="61" t="s">
        <v>476</v>
      </c>
      <c r="W6" s="61" t="s">
        <v>476</v>
      </c>
      <c r="X6" s="61" t="s">
        <v>476</v>
      </c>
      <c r="Y6" s="61" t="s">
        <v>476</v>
      </c>
      <c r="Z6" s="61" t="s">
        <v>476</v>
      </c>
      <c r="AA6" s="61" t="s">
        <v>476</v>
      </c>
      <c r="AB6" s="61" t="s">
        <v>476</v>
      </c>
      <c r="AC6" s="61" t="s">
        <v>476</v>
      </c>
      <c r="AD6" s="61" t="s">
        <v>476</v>
      </c>
      <c r="AE6" s="61" t="s">
        <v>476</v>
      </c>
      <c r="AF6" s="61" t="s">
        <v>476</v>
      </c>
      <c r="AG6" s="61" t="s">
        <v>476</v>
      </c>
      <c r="AH6" s="61" t="s">
        <v>476</v>
      </c>
      <c r="AI6" s="61" t="s">
        <v>476</v>
      </c>
      <c r="AJ6" s="61" t="s">
        <v>476</v>
      </c>
    </row>
    <row r="7" spans="1:36" x14ac:dyDescent="0.2">
      <c r="B7" s="57" t="s">
        <v>75</v>
      </c>
      <c r="C7" s="61" t="str">
        <f>VLOOKUP(C5,Tabela!$A:$C,3,0)</f>
        <v>FLAT</v>
      </c>
      <c r="D7" s="59" t="str">
        <f>VLOOKUP(D5,Tabela!$A:$C,3,0)</f>
        <v>FLAT</v>
      </c>
      <c r="E7" s="61" t="str">
        <f>VLOOKUP(E5,Tabela!$A:$C,3,0)</f>
        <v>FLAT</v>
      </c>
      <c r="F7" s="59" t="str">
        <f>VLOOKUP(F5,Tabela!$A:$C,3,0)</f>
        <v>MENSAL/CLIENTE</v>
      </c>
      <c r="G7" s="61" t="str">
        <f>VLOOKUP(G5,Tabela!$A:$C,3,0)</f>
        <v>FLAT</v>
      </c>
      <c r="H7" s="59" t="str">
        <f>VLOOKUP(H5,Tabela!$A:$C,3,0)</f>
        <v>MENSAL</v>
      </c>
      <c r="I7" s="61" t="str">
        <f>VLOOKUP(I5,Tabela!$A:$C,3,0)</f>
        <v>FLAT</v>
      </c>
      <c r="J7" s="59" t="str">
        <f>VLOOKUP(J5,Tabela!$A:$C,3,0)</f>
        <v>MENSAL</v>
      </c>
      <c r="K7" s="61" t="str">
        <f>VLOOKUP(K5,Tabela!$A:$C,3,0)</f>
        <v>FLAT</v>
      </c>
      <c r="L7" s="59" t="str">
        <f>VLOOKUP(L5,Tabela!$A:$C,3,0)</f>
        <v>FLAT</v>
      </c>
      <c r="M7" s="61" t="str">
        <f>VLOOKUP(M5,Tabela!$A:$C,3,0)</f>
        <v>FLAT</v>
      </c>
      <c r="N7" s="59" t="str">
        <f>VLOOKUP(N5,Tabela!$A:$C,3,0)</f>
        <v>FLAT</v>
      </c>
      <c r="O7" s="61" t="str">
        <f>VLOOKUP(O5,Tabela!$A:$C,3,0)</f>
        <v>FLAT</v>
      </c>
      <c r="P7" s="59" t="str">
        <f>VLOOKUP(P5,Tabela!$A:$C,3,0)</f>
        <v>FLAT</v>
      </c>
      <c r="Q7" s="61" t="str">
        <f>VLOOKUP(Q5,Tabela!$A:$C,3,0)</f>
        <v>FLAT</v>
      </c>
      <c r="R7" s="59" t="str">
        <f>VLOOKUP(R5,Tabela!$A:$C,3,0)</f>
        <v>FLAT</v>
      </c>
      <c r="S7" s="61" t="str">
        <f>VLOOKUP(S5,Tabela!$A:$C,3,0)</f>
        <v>MENSAL</v>
      </c>
      <c r="T7" s="59" t="str">
        <f>VLOOKUP(T5,Tabela!$A:$C,3,0)</f>
        <v>MENSAL</v>
      </c>
      <c r="U7" s="61" t="str">
        <f>VLOOKUP(U5,Tabela!$A:$C,3,0)</f>
        <v>FLAT</v>
      </c>
      <c r="V7" s="59" t="str">
        <f>VLOOKUP(V5,Tabela!$A:$C,3,0)</f>
        <v>MENSAL</v>
      </c>
      <c r="W7" s="61" t="str">
        <f>VLOOKUP(W5,Tabela!$A:$C,3,0)</f>
        <v>FLAT</v>
      </c>
      <c r="X7" s="59" t="str">
        <f>VLOOKUP(X5,Tabela!$A:$C,3,0)</f>
        <v>FLAT</v>
      </c>
      <c r="Y7" s="61" t="str">
        <f>VLOOKUP(Y5,Tabela!$A:$C,3,0)</f>
        <v>ANUAL</v>
      </c>
      <c r="Z7" s="59" t="str">
        <f>VLOOKUP(Z5,Tabela!$A:$C,3,0)</f>
        <v>FLAT</v>
      </c>
      <c r="AA7" s="61" t="str">
        <f>VLOOKUP(AA5,Tabela!$A:$C,3,0)</f>
        <v>MENSAL</v>
      </c>
      <c r="AB7" s="59" t="str">
        <f>VLOOKUP(AB5,Tabela!$A:$C,3,0)</f>
        <v>FLAT</v>
      </c>
      <c r="AC7" s="61" t="str">
        <f>VLOOKUP(AC5,Tabela!$A:$C,3,0)</f>
        <v>TRIMESTRAL</v>
      </c>
      <c r="AD7" s="59" t="str">
        <f>VLOOKUP(AD5,Tabela!$A:$C,3,0)</f>
        <v>FLAT</v>
      </c>
      <c r="AE7" s="61" t="str">
        <f>VLOOKUP(AE5,Tabela!$A:$C,3,0)</f>
        <v>FLAT</v>
      </c>
      <c r="AF7" s="59" t="str">
        <f>VLOOKUP(AF5,Tabela!$A:$C,3,0)</f>
        <v>ANUAL</v>
      </c>
      <c r="AG7" s="61" t="str">
        <f>VLOOKUP(AG5,Tabela!$A:$C,3,0)</f>
        <v>FLAT</v>
      </c>
      <c r="AH7" s="59" t="str">
        <f>VLOOKUP(AH5,Tabela!$A:$C,3,0)</f>
        <v>FLAT</v>
      </c>
      <c r="AI7" s="61" t="str">
        <f>VLOOKUP(AI5,Tabela!$A:$C,3,0)</f>
        <v>MENSAL</v>
      </c>
      <c r="AJ7" s="59" t="s">
        <v>475</v>
      </c>
    </row>
    <row r="8" spans="1:36" x14ac:dyDescent="0.2">
      <c r="B8" s="57" t="s">
        <v>35</v>
      </c>
      <c r="C8" s="62">
        <f>SUM(C11:C1048576)</f>
        <v>0</v>
      </c>
      <c r="D8" s="63">
        <f t="shared" ref="D8:AJ8" si="0">SUM(D11:D1048576)</f>
        <v>0</v>
      </c>
      <c r="E8" s="62">
        <f t="shared" si="0"/>
        <v>0</v>
      </c>
      <c r="F8" s="63">
        <f t="shared" ref="F8" si="1">SUM(F11:F1048576)</f>
        <v>0</v>
      </c>
      <c r="G8" s="62">
        <f t="shared" si="0"/>
        <v>0</v>
      </c>
      <c r="H8" s="63">
        <f t="shared" si="0"/>
        <v>0</v>
      </c>
      <c r="I8" s="62">
        <f t="shared" si="0"/>
        <v>0</v>
      </c>
      <c r="J8" s="63">
        <f t="shared" si="0"/>
        <v>0</v>
      </c>
      <c r="K8" s="62">
        <f t="shared" si="0"/>
        <v>0</v>
      </c>
      <c r="L8" s="63">
        <f t="shared" si="0"/>
        <v>0</v>
      </c>
      <c r="M8" s="62">
        <f t="shared" si="0"/>
        <v>0</v>
      </c>
      <c r="N8" s="63">
        <f t="shared" si="0"/>
        <v>0</v>
      </c>
      <c r="O8" s="62">
        <f t="shared" si="0"/>
        <v>0</v>
      </c>
      <c r="P8" s="63">
        <f t="shared" ref="P8" si="2">SUM(P11:P1048576)</f>
        <v>0</v>
      </c>
      <c r="Q8" s="62">
        <f t="shared" si="0"/>
        <v>0</v>
      </c>
      <c r="R8" s="63">
        <f t="shared" si="0"/>
        <v>0</v>
      </c>
      <c r="S8" s="62">
        <f t="shared" si="0"/>
        <v>0</v>
      </c>
      <c r="T8" s="63">
        <f t="shared" si="0"/>
        <v>0</v>
      </c>
      <c r="U8" s="62">
        <f t="shared" si="0"/>
        <v>0</v>
      </c>
      <c r="V8" s="63">
        <f t="shared" si="0"/>
        <v>0</v>
      </c>
      <c r="W8" s="62">
        <f t="shared" si="0"/>
        <v>0</v>
      </c>
      <c r="X8" s="63">
        <f t="shared" si="0"/>
        <v>0</v>
      </c>
      <c r="Y8" s="62">
        <f t="shared" si="0"/>
        <v>0</v>
      </c>
      <c r="Z8" s="63">
        <f t="shared" si="0"/>
        <v>0</v>
      </c>
      <c r="AA8" s="62">
        <f t="shared" si="0"/>
        <v>0</v>
      </c>
      <c r="AB8" s="63">
        <f t="shared" si="0"/>
        <v>0</v>
      </c>
      <c r="AC8" s="62">
        <f t="shared" si="0"/>
        <v>0</v>
      </c>
      <c r="AD8" s="63">
        <f t="shared" si="0"/>
        <v>0</v>
      </c>
      <c r="AE8" s="62">
        <f t="shared" si="0"/>
        <v>0</v>
      </c>
      <c r="AF8" s="63">
        <f t="shared" si="0"/>
        <v>0</v>
      </c>
      <c r="AG8" s="62">
        <f t="shared" si="0"/>
        <v>0</v>
      </c>
      <c r="AH8" s="63">
        <f t="shared" si="0"/>
        <v>0</v>
      </c>
      <c r="AI8" s="62">
        <f t="shared" si="0"/>
        <v>0</v>
      </c>
      <c r="AJ8" s="63">
        <f t="shared" si="0"/>
        <v>0</v>
      </c>
    </row>
    <row r="9" spans="1:36" x14ac:dyDescent="0.2"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</row>
    <row r="10" spans="1:36" x14ac:dyDescent="0.2">
      <c r="B10" s="64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</row>
    <row r="11" spans="1:36" ht="15" x14ac:dyDescent="0.25">
      <c r="A11" s="66">
        <f>ESTRUTURA!A11</f>
        <v>0</v>
      </c>
      <c r="B11" s="65">
        <f>IF($C$2="SIM",-SUM(C11:AJ371),-SUM(C11:AJ11))</f>
        <v>0</v>
      </c>
      <c r="C11" s="60">
        <f>IF($A11="","",IF(C$6="NÃO",0,MIN(Tabela!$F$2,MAX((sd_se+sd_subp+sd_sub)*Tabela!$G$2,Tabela!$E$2))))</f>
        <v>0</v>
      </c>
      <c r="D11" s="30">
        <f>IF($A11="","",IF(D$6="NÃO",0,Tabela!$H$3))</f>
        <v>0</v>
      </c>
      <c r="E11" s="60">
        <f>IF($A11="","",IF(E$6="NÃO",0,Tabela!$H$4))</f>
        <v>0</v>
      </c>
      <c r="F11" s="30">
        <f>IF($A11="","",IF(F$6="NÃO",0,Tabela!$H$34*ESTRUTURA!$I$4))</f>
        <v>0</v>
      </c>
      <c r="G11" s="60">
        <f>IF($A11="","",IF(G$6="NÃO",0,Tabela!$H$5))</f>
        <v>0</v>
      </c>
      <c r="H11" s="30">
        <f>IF($A11="","",IF(H$6="NÃO",0,IF($A11=0,DATEDIF(ESTRUTURA!$F$3,ESTRUTURA!$F$4,"m")*Tabela!$H$6,Tabela!$H$6)))</f>
        <v>0</v>
      </c>
      <c r="I11" s="60">
        <f>IF($A11="","",IF(I$6="NÃO",0,Tabela!$H$7))</f>
        <v>0</v>
      </c>
      <c r="J11" s="30">
        <f>IF($A11="","",IF(J$6="NÃO",0,IF($A11=0,DATEDIF(ESTRUTURA!$F$3,ESTRUTURA!$F$4,"m")*Tabela!$H$8,IF(J$6="NÃO",0,Tabela!$H$8))))</f>
        <v>0</v>
      </c>
      <c r="K11" s="60">
        <f>IF($A11="","",IF(K$6="NÃO",0,MIN(Tabela!$F$9,MAX((sd_se+sd_subp+sd_sub)*Tabela!$G$9,Tabela!$E$9))))</f>
        <v>0</v>
      </c>
      <c r="L11" s="30">
        <f>IF($A11="","",IF(L$6="NÃO",0,(sd_se+sd_subp+sd_sub)*Tabela!$G$10))</f>
        <v>0</v>
      </c>
      <c r="M11" s="60">
        <f>IF($A11="","",IF(M$6="NÃO",0,MIN(Tabela!$F$11,MAX((sd_se+sd_subp+sd_sub)*Tabela!$G$11,Tabela!$E$11))))</f>
        <v>0</v>
      </c>
      <c r="N11" s="30">
        <f>IF($A11="","",IF(N$6="NÃO",0,(sd_se+sd_subp+sd_sub)*Tabela!$G$12))</f>
        <v>0</v>
      </c>
      <c r="O11" s="60">
        <f>IF($A11="","",IF(O$6="NÃO",0,(sd_se+sd_subp+sd_sub)*Tabela!$G$13))</f>
        <v>0</v>
      </c>
      <c r="P11" s="30">
        <f>IF($A11="","",IF(P$6="NÃO",0,Tabela!$H$14*nm_elegíveis))</f>
        <v>0</v>
      </c>
      <c r="Q11" s="60">
        <f t="shared" ref="D11:U26" si="3">IF($A11="","",IF(Q$6="NÃO",0,0))</f>
        <v>0</v>
      </c>
      <c r="R11" s="30">
        <f>IF($A11="","",IF(R$6="NÃO",0,MIN(Tabela!$F$16,MAX((sd_se+sd_subp+sd_sub)*Tabela!$G$16,Tabela!$E$16))))</f>
        <v>0</v>
      </c>
      <c r="S11" s="60">
        <f>IF($A11="","",IF(S$6="NÃO",0,IF($A11=0,DATEDIF(ESTRUTURA!$F$3,ESTRUTURA!$F$4,"m")*Tabela!$H$17,Tabela!$H$17)))</f>
        <v>0</v>
      </c>
      <c r="T11" s="30">
        <f>IF($A11="","",IF(T$6="NÃO",0,IF($A11=0,DATEDIF(ESTRUTURA!$F$3,ESTRUTURA!$F$4,"m")*Tabela!$H$18,Tabela!$H$18)))</f>
        <v>0</v>
      </c>
      <c r="U11" s="60">
        <f>IF($A11="","",IF(U$6="NÃO",0,(sd_se+sd_subp+sd_sub)*Tabela!$G$19+Tabela!$H$19))</f>
        <v>0</v>
      </c>
      <c r="V11" s="30">
        <f>IF($A11="","",IF(V$6="NÃO",0,IF($A11=0,DATEDIF(ESTRUTURA!$F$3,ESTRUTURA!$F$4,"m")*Tabela!$H$20,Tabela!$H$20)))</f>
        <v>0</v>
      </c>
      <c r="W11" s="60">
        <f>IF($A11="","",IF(W$6="NÃO",0,(sd_se+sd_subp+sd_sub)*Tabela!$G$21))</f>
        <v>0</v>
      </c>
      <c r="X11" s="30">
        <f>IF($A11="","",IF(X$6="NÃO",0,Tabela!$H$22))</f>
        <v>0</v>
      </c>
      <c r="Y11" s="60">
        <f>IF($A11="","",IF(Y$6="NÃO",0,IF(A11=0,Tabela!$H$23,IF(Y$7="mensal",Tabela!$H$23,IF(AND(MONTH(ESTRUTURA!C11)=MONTH(ESTRUTURA!$F$3),A11&gt;0),Tabela!$H$23,0)))))</f>
        <v>0</v>
      </c>
      <c r="Z11" s="30">
        <f>IF($A11="","",IF(Z$6="NÃO",0,MIN(Tabela!$F$24,MAX((sd_se+sd_subp+sd_sub)*Tabela!$G$24,Tabela!$E$24))))</f>
        <v>0</v>
      </c>
      <c r="AA11" s="60">
        <f>IF($A11="","",IF(AA$6="NÃO",0,Tabela!$H$25*nm_séries))</f>
        <v>0</v>
      </c>
      <c r="AB11" s="30">
        <f>IF($A11="","",IF(AB$6="NÃO",0,Tabela!$H$26))</f>
        <v>0</v>
      </c>
      <c r="AC11" s="60">
        <f>IF($A11="","",IF(AC$6="NÃO",0,IF(A11=0,Tabela!$H$27,IF(MOD(A11,3)=0,Tabela!$H$27,0))))</f>
        <v>0</v>
      </c>
      <c r="AD11" s="30">
        <f>IF($A11="","",IF(AD$6="NÃO",0,Tabela!$H$28))</f>
        <v>0</v>
      </c>
      <c r="AE11" s="60">
        <f>IF($A11="","",IF(AE$6="NÃO",0,Tabela!$H$29))</f>
        <v>0</v>
      </c>
      <c r="AF11" s="30">
        <f>IF($A11="","",IF(AF$6="NÃO",0,IF(AND(MONTH(ESTRUTURA!C11)=MONTH(ESTRUTURA!$F$3),A11&gt;0),Tabela!$H$30,0)))</f>
        <v>0</v>
      </c>
      <c r="AG11" s="60">
        <f>IF($A11="","",IF(AG$6="NÃO",0,Tabela!$H$31))</f>
        <v>0</v>
      </c>
      <c r="AH11" s="30">
        <f>IF($A11="","",IF(AH$6="NÃO",0,(sd_se+sd_subp+sd_sub)*Tabela!$G$32))</f>
        <v>0</v>
      </c>
      <c r="AI11" s="60">
        <f>IF($A11="","",IF(AI$6="NÃO",0,IF($A11=0,DATEDIF(ESTRUTURA!$F$3,ESTRUTURA!$F$4,"m")*Tabela!$H$33,Tabela!$H$33)))</f>
        <v>0</v>
      </c>
      <c r="AJ11" s="30">
        <f>IF($A11="","",IF(AJ$6="NÃO",0,MAX(Tabela!$E$35,Tabela!G35*(sd_se+sd_subp+sd_sub)/(1-11.15%))))</f>
        <v>0</v>
      </c>
    </row>
    <row r="12" spans="1:36" x14ac:dyDescent="0.2">
      <c r="A12" s="66" t="str">
        <f>ESTRUTURA!A12</f>
        <v/>
      </c>
      <c r="B12" s="58">
        <f>IF($C$2="SIM",0,-SUM(C12:AJ12))</f>
        <v>0</v>
      </c>
      <c r="C12" s="60" t="str">
        <f t="shared" ref="C12:R27" si="4">IF($A12="","",IF(C$6="NÃO",0,0))</f>
        <v/>
      </c>
      <c r="D12" s="30" t="str">
        <f t="shared" si="3"/>
        <v/>
      </c>
      <c r="E12" s="60" t="str">
        <f t="shared" si="3"/>
        <v/>
      </c>
      <c r="F12" s="30" t="str">
        <f>IF($A12="","",IF(F$6="NÃO",0,Tabela!$H$34*ESTRUTURA!$I$4))</f>
        <v/>
      </c>
      <c r="G12" s="60" t="str">
        <f t="shared" si="3"/>
        <v/>
      </c>
      <c r="H12" s="30" t="str">
        <f>IF($A12="","",IF(H$6="NÃO",0,IF($A12=0,DATEDIF(ESTRUTURA!$F$3,ESTRUTURA!$F$4,"m")*Tabela!$H$6,Tabela!$H$6)))</f>
        <v/>
      </c>
      <c r="I12" s="60" t="str">
        <f t="shared" si="3"/>
        <v/>
      </c>
      <c r="J12" s="30" t="str">
        <f>IF($A12="","",IF(J$6="NÃO",0,IF($A12=0,DATEDIF(ESTRUTURA!$F$3,ESTRUTURA!$F$4,"m")*Tabela!$H$8,IF(J$6="NÃO",0,Tabela!$H$8))))</f>
        <v/>
      </c>
      <c r="K12" s="60" t="str">
        <f t="shared" si="3"/>
        <v/>
      </c>
      <c r="L12" s="30" t="str">
        <f t="shared" si="3"/>
        <v/>
      </c>
      <c r="M12" s="60" t="str">
        <f t="shared" si="3"/>
        <v/>
      </c>
      <c r="N12" s="30" t="str">
        <f t="shared" si="3"/>
        <v/>
      </c>
      <c r="O12" s="60" t="str">
        <f t="shared" si="3"/>
        <v/>
      </c>
      <c r="P12" s="30" t="str">
        <f t="shared" ref="P12:P26" si="5">IF($A12="","",IF(P$6="NÃO",0,0))</f>
        <v/>
      </c>
      <c r="Q12" s="60" t="str">
        <f t="shared" si="3"/>
        <v/>
      </c>
      <c r="R12" s="30" t="str">
        <f t="shared" si="3"/>
        <v/>
      </c>
      <c r="S12" s="60" t="str">
        <f>IF($A12="","",IF(S$6="NÃO",0,IF($A12=0,DATEDIF(ESTRUTURA!$F$3,ESTRUTURA!$F$4,"m")*Tabela!$H$17,Tabela!$H$17)))</f>
        <v/>
      </c>
      <c r="T12" s="30" t="str">
        <f>IF($A12="","",IF(T$6="NÃO",0,IF($A12=0,DATEDIF(ESTRUTURA!$F$3,ESTRUTURA!$F$4,"m")*Tabela!$H$18,Tabela!$H$18)))</f>
        <v/>
      </c>
      <c r="U12" s="60" t="str">
        <f t="shared" si="3"/>
        <v/>
      </c>
      <c r="V12" s="30" t="str">
        <f>IF($A12="","",IF(V$6="NÃO",0,IF($A12=0,DATEDIF(ESTRUTURA!$F$3,ESTRUTURA!$F$4,"m")*Tabela!$H$20,Tabela!$H$20)))</f>
        <v/>
      </c>
      <c r="W12" s="60" t="str">
        <f t="shared" ref="W12:AJ26" si="6">IF($A12="","",IF(W$6="NÃO",0,0))</f>
        <v/>
      </c>
      <c r="X12" s="30" t="str">
        <f t="shared" si="6"/>
        <v/>
      </c>
      <c r="Y12" s="60" t="str">
        <f>IF($A12="","",IF(Y$6="NÃO",0,IF(A12=0,Tabela!$H$23,IF(Y$7="mensal",Tabela!$H$23,IF(AND(MONTH(ESTRUTURA!C12)=MONTH(ESTRUTURA!$F$3),A12&gt;0),Tabela!$H$23,0)))))</f>
        <v/>
      </c>
      <c r="Z12" s="30" t="str">
        <f t="shared" si="6"/>
        <v/>
      </c>
      <c r="AA12" s="60" t="str">
        <f>IF($A12="","",IF(AA$6="NÃO",0,Tabela!$H$25*nm_séries))</f>
        <v/>
      </c>
      <c r="AB12" s="30" t="str">
        <f t="shared" si="6"/>
        <v/>
      </c>
      <c r="AC12" s="60" t="str">
        <f>IF($A12="","",IF(AC$6="NÃO",0,IF(A12=0,Tabela!$H$27,IF(MOD(A12,3)=0,Tabela!$H$27,0))))</f>
        <v/>
      </c>
      <c r="AD12" s="30" t="str">
        <f t="shared" si="6"/>
        <v/>
      </c>
      <c r="AE12" s="60" t="str">
        <f t="shared" si="6"/>
        <v/>
      </c>
      <c r="AF12" s="30" t="str">
        <f>IF($A12="","",IF(AF$6="NÃO",0,IF(AND(MONTH(ESTRUTURA!C12)=MONTH(ESTRUTURA!$F$3),A12&gt;0),Tabela!$H$30,0)))</f>
        <v/>
      </c>
      <c r="AG12" s="60" t="str">
        <f t="shared" si="6"/>
        <v/>
      </c>
      <c r="AH12" s="30" t="str">
        <f t="shared" si="6"/>
        <v/>
      </c>
      <c r="AI12" s="60" t="str">
        <f>IF($A12="","",IF(AI$6="NÃO",0,IF($A12=0,DATEDIF(ESTRUTURA!$F$3,ESTRUTURA!$F$4,"m")*Tabela!$H$33,Tabela!$H$33)))</f>
        <v/>
      </c>
      <c r="AJ12" s="30" t="str">
        <f t="shared" si="6"/>
        <v/>
      </c>
    </row>
    <row r="13" spans="1:36" x14ac:dyDescent="0.2">
      <c r="A13" s="66" t="str">
        <f>ESTRUTURA!A13</f>
        <v/>
      </c>
      <c r="B13" s="58">
        <f t="shared" ref="B13:B76" si="7">IF($C$2="SIM",0,-SUM(C13:AJ13))</f>
        <v>0</v>
      </c>
      <c r="C13" s="60" t="str">
        <f t="shared" si="4"/>
        <v/>
      </c>
      <c r="D13" s="30" t="str">
        <f t="shared" si="3"/>
        <v/>
      </c>
      <c r="E13" s="60" t="str">
        <f t="shared" si="3"/>
        <v/>
      </c>
      <c r="F13" s="30" t="str">
        <f>IF($A13="","",IF(F$6="NÃO",0,Tabela!$H$34*ESTRUTURA!$I$4))</f>
        <v/>
      </c>
      <c r="G13" s="60" t="str">
        <f t="shared" si="3"/>
        <v/>
      </c>
      <c r="H13" s="30" t="str">
        <f>IF($A13="","",IF(H$6="NÃO",0,IF($A13=0,DATEDIF(ESTRUTURA!$F$3,ESTRUTURA!$F$4,"m")*Tabela!$H$6,Tabela!$H$6)))</f>
        <v/>
      </c>
      <c r="I13" s="60" t="str">
        <f t="shared" si="3"/>
        <v/>
      </c>
      <c r="J13" s="30" t="str">
        <f>IF($A13="","",IF(J$6="NÃO",0,IF($A13=0,DATEDIF(ESTRUTURA!$F$3,ESTRUTURA!$F$4,"m")*Tabela!$H$8,IF(J$6="NÃO",0,Tabela!$H$8))))</f>
        <v/>
      </c>
      <c r="K13" s="60" t="str">
        <f t="shared" si="3"/>
        <v/>
      </c>
      <c r="L13" s="30" t="str">
        <f t="shared" si="3"/>
        <v/>
      </c>
      <c r="M13" s="60" t="str">
        <f t="shared" si="3"/>
        <v/>
      </c>
      <c r="N13" s="30" t="str">
        <f t="shared" si="3"/>
        <v/>
      </c>
      <c r="O13" s="60" t="str">
        <f t="shared" si="3"/>
        <v/>
      </c>
      <c r="P13" s="30" t="str">
        <f t="shared" si="5"/>
        <v/>
      </c>
      <c r="Q13" s="60" t="str">
        <f t="shared" si="3"/>
        <v/>
      </c>
      <c r="R13" s="30" t="str">
        <f t="shared" si="3"/>
        <v/>
      </c>
      <c r="S13" s="60" t="str">
        <f>IF($A13="","",IF(S$6="NÃO",0,IF($A13=0,DATEDIF(ESTRUTURA!$F$3,ESTRUTURA!$F$4,"m")*Tabela!$H$17,Tabela!$H$17)))</f>
        <v/>
      </c>
      <c r="T13" s="30" t="str">
        <f>IF($A13="","",IF(T$6="NÃO",0,IF($A13=0,DATEDIF(ESTRUTURA!$F$3,ESTRUTURA!$F$4,"m")*Tabela!$H$18,Tabela!$H$18)))</f>
        <v/>
      </c>
      <c r="U13" s="60" t="str">
        <f t="shared" si="3"/>
        <v/>
      </c>
      <c r="V13" s="30" t="str">
        <f>IF($A13="","",IF(V$6="NÃO",0,IF($A13=0,DATEDIF(ESTRUTURA!$F$3,ESTRUTURA!$F$4,"m")*Tabela!$H$20,Tabela!$H$20)))</f>
        <v/>
      </c>
      <c r="W13" s="60" t="str">
        <f t="shared" si="6"/>
        <v/>
      </c>
      <c r="X13" s="30" t="str">
        <f t="shared" si="6"/>
        <v/>
      </c>
      <c r="Y13" s="60" t="str">
        <f>IF($A13="","",IF(Y$6="NÃO",0,IF(A13=0,Tabela!$H$23,IF(Y$7="mensal",Tabela!$H$23,IF(AND(MONTH(ESTRUTURA!C13)=MONTH(ESTRUTURA!$F$3),A13&gt;0),Tabela!$H$23,0)))))</f>
        <v/>
      </c>
      <c r="Z13" s="30" t="str">
        <f t="shared" si="6"/>
        <v/>
      </c>
      <c r="AA13" s="60" t="str">
        <f>IF($A13="","",IF(AA$6="NÃO",0,Tabela!$H$25*nm_séries))</f>
        <v/>
      </c>
      <c r="AB13" s="30" t="str">
        <f t="shared" si="6"/>
        <v/>
      </c>
      <c r="AC13" s="60" t="str">
        <f>IF($A13="","",IF(AC$6="NÃO",0,IF(A13=0,Tabela!$H$27,IF(MOD(A13,3)=0,Tabela!$H$27,0))))</f>
        <v/>
      </c>
      <c r="AD13" s="30" t="str">
        <f t="shared" si="6"/>
        <v/>
      </c>
      <c r="AE13" s="60" t="str">
        <f t="shared" si="6"/>
        <v/>
      </c>
      <c r="AF13" s="30" t="str">
        <f>IF($A13="","",IF(AF$6="NÃO",0,IF(AND(MONTH(ESTRUTURA!C13)=MONTH(ESTRUTURA!$F$3),A13&gt;0),Tabela!$H$30,0)))</f>
        <v/>
      </c>
      <c r="AG13" s="60" t="str">
        <f t="shared" si="6"/>
        <v/>
      </c>
      <c r="AH13" s="30" t="str">
        <f t="shared" si="6"/>
        <v/>
      </c>
      <c r="AI13" s="60" t="str">
        <f>IF($A13="","",IF(AI$6="NÃO",0,IF($A13=0,DATEDIF(ESTRUTURA!$F$3,ESTRUTURA!$F$4,"m")*Tabela!$H$33,Tabela!$H$33)))</f>
        <v/>
      </c>
      <c r="AJ13" s="30" t="str">
        <f t="shared" si="6"/>
        <v/>
      </c>
    </row>
    <row r="14" spans="1:36" x14ac:dyDescent="0.2">
      <c r="A14" s="66" t="str">
        <f>ESTRUTURA!A14</f>
        <v/>
      </c>
      <c r="B14" s="58">
        <f t="shared" si="7"/>
        <v>0</v>
      </c>
      <c r="C14" s="60" t="str">
        <f t="shared" si="4"/>
        <v/>
      </c>
      <c r="D14" s="30" t="str">
        <f t="shared" si="3"/>
        <v/>
      </c>
      <c r="E14" s="60" t="str">
        <f t="shared" si="3"/>
        <v/>
      </c>
      <c r="F14" s="30" t="str">
        <f>IF($A14="","",IF(F$6="NÃO",0,Tabela!$H$34*ESTRUTURA!$I$4))</f>
        <v/>
      </c>
      <c r="G14" s="60" t="str">
        <f t="shared" si="3"/>
        <v/>
      </c>
      <c r="H14" s="30" t="str">
        <f>IF($A14="","",IF(H$6="NÃO",0,IF($A14=0,DATEDIF(ESTRUTURA!$F$3,ESTRUTURA!$F$4,"m")*Tabela!$H$6,Tabela!$H$6)))</f>
        <v/>
      </c>
      <c r="I14" s="60" t="str">
        <f t="shared" si="3"/>
        <v/>
      </c>
      <c r="J14" s="30" t="str">
        <f>IF($A14="","",IF(J$6="NÃO",0,IF($A14=0,DATEDIF(ESTRUTURA!$F$3,ESTRUTURA!$F$4,"m")*Tabela!$H$8,IF(J$6="NÃO",0,Tabela!$H$8))))</f>
        <v/>
      </c>
      <c r="K14" s="60" t="str">
        <f t="shared" si="3"/>
        <v/>
      </c>
      <c r="L14" s="30" t="str">
        <f t="shared" si="3"/>
        <v/>
      </c>
      <c r="M14" s="60" t="str">
        <f t="shared" si="3"/>
        <v/>
      </c>
      <c r="N14" s="30" t="str">
        <f t="shared" si="3"/>
        <v/>
      </c>
      <c r="O14" s="60" t="str">
        <f t="shared" si="3"/>
        <v/>
      </c>
      <c r="P14" s="30" t="str">
        <f t="shared" si="5"/>
        <v/>
      </c>
      <c r="Q14" s="60" t="str">
        <f t="shared" si="3"/>
        <v/>
      </c>
      <c r="R14" s="30" t="str">
        <f t="shared" si="3"/>
        <v/>
      </c>
      <c r="S14" s="60" t="str">
        <f>IF($A14="","",IF(S$6="NÃO",0,IF($A14=0,DATEDIF(ESTRUTURA!$F$3,ESTRUTURA!$F$4,"m")*Tabela!$H$17,Tabela!$H$17)))</f>
        <v/>
      </c>
      <c r="T14" s="30" t="str">
        <f>IF($A14="","",IF(T$6="NÃO",0,IF($A14=0,DATEDIF(ESTRUTURA!$F$3,ESTRUTURA!$F$4,"m")*Tabela!$H$18,Tabela!$H$18)))</f>
        <v/>
      </c>
      <c r="U14" s="60" t="str">
        <f t="shared" si="3"/>
        <v/>
      </c>
      <c r="V14" s="30" t="str">
        <f>IF($A14="","",IF(V$6="NÃO",0,IF($A14=0,DATEDIF(ESTRUTURA!$F$3,ESTRUTURA!$F$4,"m")*Tabela!$H$20,Tabela!$H$20)))</f>
        <v/>
      </c>
      <c r="W14" s="60" t="str">
        <f t="shared" si="6"/>
        <v/>
      </c>
      <c r="X14" s="30" t="str">
        <f t="shared" si="6"/>
        <v/>
      </c>
      <c r="Y14" s="60" t="str">
        <f>IF($A14="","",IF(Y$6="NÃO",0,IF(A14=0,Tabela!$H$23,IF(Y$7="mensal",Tabela!$H$23,IF(AND(MONTH(ESTRUTURA!C14)=MONTH(ESTRUTURA!$F$3),A14&gt;0),Tabela!$H$23,0)))))</f>
        <v/>
      </c>
      <c r="Z14" s="30" t="str">
        <f t="shared" si="6"/>
        <v/>
      </c>
      <c r="AA14" s="60" t="str">
        <f>IF($A14="","",IF(AA$6="NÃO",0,Tabela!$H$25*nm_séries))</f>
        <v/>
      </c>
      <c r="AB14" s="30" t="str">
        <f t="shared" si="6"/>
        <v/>
      </c>
      <c r="AC14" s="60" t="str">
        <f>IF($A14="","",IF(AC$6="NÃO",0,IF(A14=0,Tabela!$H$27,IF(MOD(A14,3)=0,Tabela!$H$27,0))))</f>
        <v/>
      </c>
      <c r="AD14" s="30" t="str">
        <f t="shared" si="6"/>
        <v/>
      </c>
      <c r="AE14" s="60" t="str">
        <f t="shared" si="6"/>
        <v/>
      </c>
      <c r="AF14" s="30" t="str">
        <f>IF($A14="","",IF(AF$6="NÃO",0,IF(AND(MONTH(ESTRUTURA!C14)=MONTH(ESTRUTURA!$F$3),A14&gt;0),Tabela!$H$30,0)))</f>
        <v/>
      </c>
      <c r="AG14" s="60" t="str">
        <f t="shared" si="6"/>
        <v/>
      </c>
      <c r="AH14" s="30" t="str">
        <f t="shared" si="6"/>
        <v/>
      </c>
      <c r="AI14" s="60" t="str">
        <f>IF($A14="","",IF(AI$6="NÃO",0,IF($A14=0,DATEDIF(ESTRUTURA!$F$3,ESTRUTURA!$F$4,"m")*Tabela!$H$33,Tabela!$H$33)))</f>
        <v/>
      </c>
      <c r="AJ14" s="30" t="str">
        <f t="shared" si="6"/>
        <v/>
      </c>
    </row>
    <row r="15" spans="1:36" x14ac:dyDescent="0.2">
      <c r="A15" s="66" t="str">
        <f>ESTRUTURA!A15</f>
        <v/>
      </c>
      <c r="B15" s="58">
        <f t="shared" si="7"/>
        <v>0</v>
      </c>
      <c r="C15" s="60" t="str">
        <f t="shared" si="4"/>
        <v/>
      </c>
      <c r="D15" s="30" t="str">
        <f t="shared" si="3"/>
        <v/>
      </c>
      <c r="E15" s="60" t="str">
        <f t="shared" si="3"/>
        <v/>
      </c>
      <c r="F15" s="30" t="str">
        <f>IF($A15="","",IF(F$6="NÃO",0,Tabela!$H$34*ESTRUTURA!$I$4))</f>
        <v/>
      </c>
      <c r="G15" s="60" t="str">
        <f t="shared" si="3"/>
        <v/>
      </c>
      <c r="H15" s="30" t="str">
        <f>IF($A15="","",IF(H$6="NÃO",0,IF($A15=0,DATEDIF(ESTRUTURA!$F$3,ESTRUTURA!$F$4,"m")*Tabela!$H$6,Tabela!$H$6)))</f>
        <v/>
      </c>
      <c r="I15" s="60" t="str">
        <f t="shared" si="3"/>
        <v/>
      </c>
      <c r="J15" s="30" t="str">
        <f>IF($A15="","",IF(J$6="NÃO",0,IF($A15=0,DATEDIF(ESTRUTURA!$F$3,ESTRUTURA!$F$4,"m")*Tabela!$H$8,IF(J$6="NÃO",0,Tabela!$H$8))))</f>
        <v/>
      </c>
      <c r="K15" s="60" t="str">
        <f t="shared" si="3"/>
        <v/>
      </c>
      <c r="L15" s="30" t="str">
        <f t="shared" si="3"/>
        <v/>
      </c>
      <c r="M15" s="60" t="str">
        <f t="shared" si="3"/>
        <v/>
      </c>
      <c r="N15" s="30" t="str">
        <f t="shared" si="3"/>
        <v/>
      </c>
      <c r="O15" s="60" t="str">
        <f t="shared" si="3"/>
        <v/>
      </c>
      <c r="P15" s="30" t="str">
        <f t="shared" si="5"/>
        <v/>
      </c>
      <c r="Q15" s="60" t="str">
        <f t="shared" si="3"/>
        <v/>
      </c>
      <c r="R15" s="30" t="str">
        <f t="shared" si="3"/>
        <v/>
      </c>
      <c r="S15" s="60" t="str">
        <f>IF($A15="","",IF(S$6="NÃO",0,IF($A15=0,DATEDIF(ESTRUTURA!$F$3,ESTRUTURA!$F$4,"m")*Tabela!$H$17,Tabela!$H$17)))</f>
        <v/>
      </c>
      <c r="T15" s="30" t="str">
        <f>IF($A15="","",IF(T$6="NÃO",0,IF($A15=0,DATEDIF(ESTRUTURA!$F$3,ESTRUTURA!$F$4,"m")*Tabela!$H$18,Tabela!$H$18)))</f>
        <v/>
      </c>
      <c r="U15" s="60" t="str">
        <f t="shared" si="3"/>
        <v/>
      </c>
      <c r="V15" s="30" t="str">
        <f>IF($A15="","",IF(V$6="NÃO",0,IF($A15=0,DATEDIF(ESTRUTURA!$F$3,ESTRUTURA!$F$4,"m")*Tabela!$H$20,Tabela!$H$20)))</f>
        <v/>
      </c>
      <c r="W15" s="60" t="str">
        <f t="shared" si="6"/>
        <v/>
      </c>
      <c r="X15" s="30" t="str">
        <f t="shared" si="6"/>
        <v/>
      </c>
      <c r="Y15" s="60" t="str">
        <f>IF($A15="","",IF(Y$6="NÃO",0,IF(A15=0,Tabela!$H$23,IF(Y$7="mensal",Tabela!$H$23,IF(AND(MONTH(ESTRUTURA!C15)=MONTH(ESTRUTURA!$F$3),A15&gt;0),Tabela!$H$23,0)))))</f>
        <v/>
      </c>
      <c r="Z15" s="30" t="str">
        <f t="shared" si="6"/>
        <v/>
      </c>
      <c r="AA15" s="60" t="str">
        <f>IF($A15="","",IF(AA$6="NÃO",0,Tabela!$H$25*nm_séries))</f>
        <v/>
      </c>
      <c r="AB15" s="30" t="str">
        <f t="shared" si="6"/>
        <v/>
      </c>
      <c r="AC15" s="60" t="str">
        <f>IF($A15="","",IF(AC$6="NÃO",0,IF(A15=0,Tabela!$H$27,IF(MOD(A15,3)=0,Tabela!$H$27,0))))</f>
        <v/>
      </c>
      <c r="AD15" s="30" t="str">
        <f t="shared" si="6"/>
        <v/>
      </c>
      <c r="AE15" s="60" t="str">
        <f t="shared" si="6"/>
        <v/>
      </c>
      <c r="AF15" s="30" t="str">
        <f>IF($A15="","",IF(AF$6="NÃO",0,IF(AND(MONTH(ESTRUTURA!C15)=MONTH(ESTRUTURA!$F$3),A15&gt;0),Tabela!$H$30,0)))</f>
        <v/>
      </c>
      <c r="AG15" s="60" t="str">
        <f t="shared" si="6"/>
        <v/>
      </c>
      <c r="AH15" s="30" t="str">
        <f t="shared" si="6"/>
        <v/>
      </c>
      <c r="AI15" s="60" t="str">
        <f>IF($A15="","",IF(AI$6="NÃO",0,IF($A15=0,DATEDIF(ESTRUTURA!$F$3,ESTRUTURA!$F$4,"m")*Tabela!$H$33,Tabela!$H$33)))</f>
        <v/>
      </c>
      <c r="AJ15" s="30" t="str">
        <f t="shared" si="6"/>
        <v/>
      </c>
    </row>
    <row r="16" spans="1:36" x14ac:dyDescent="0.2">
      <c r="A16" s="66" t="str">
        <f>ESTRUTURA!A16</f>
        <v/>
      </c>
      <c r="B16" s="58">
        <f t="shared" si="7"/>
        <v>0</v>
      </c>
      <c r="C16" s="60" t="str">
        <f t="shared" si="4"/>
        <v/>
      </c>
      <c r="D16" s="30" t="str">
        <f t="shared" si="3"/>
        <v/>
      </c>
      <c r="E16" s="60" t="str">
        <f t="shared" si="3"/>
        <v/>
      </c>
      <c r="F16" s="30" t="str">
        <f>IF($A16="","",IF(F$6="NÃO",0,Tabela!$H$34*ESTRUTURA!$I$4))</f>
        <v/>
      </c>
      <c r="G16" s="60" t="str">
        <f t="shared" si="3"/>
        <v/>
      </c>
      <c r="H16" s="30" t="str">
        <f>IF($A16="","",IF(H$6="NÃO",0,IF($A16=0,DATEDIF(ESTRUTURA!$F$3,ESTRUTURA!$F$4,"m")*Tabela!$H$6,Tabela!$H$6)))</f>
        <v/>
      </c>
      <c r="I16" s="60" t="str">
        <f t="shared" si="3"/>
        <v/>
      </c>
      <c r="J16" s="30" t="str">
        <f>IF($A16="","",IF(J$6="NÃO",0,IF($A16=0,DATEDIF(ESTRUTURA!$F$3,ESTRUTURA!$F$4,"m")*Tabela!$H$8,IF(J$6="NÃO",0,Tabela!$H$8))))</f>
        <v/>
      </c>
      <c r="K16" s="60" t="str">
        <f t="shared" si="3"/>
        <v/>
      </c>
      <c r="L16" s="30" t="str">
        <f t="shared" si="3"/>
        <v/>
      </c>
      <c r="M16" s="60" t="str">
        <f t="shared" si="3"/>
        <v/>
      </c>
      <c r="N16" s="30" t="str">
        <f t="shared" si="3"/>
        <v/>
      </c>
      <c r="O16" s="60" t="str">
        <f t="shared" si="3"/>
        <v/>
      </c>
      <c r="P16" s="30" t="str">
        <f t="shared" si="5"/>
        <v/>
      </c>
      <c r="Q16" s="60" t="str">
        <f t="shared" si="3"/>
        <v/>
      </c>
      <c r="R16" s="30" t="str">
        <f t="shared" si="3"/>
        <v/>
      </c>
      <c r="S16" s="60" t="str">
        <f>IF($A16="","",IF(S$6="NÃO",0,IF($A16=0,DATEDIF(ESTRUTURA!$F$3,ESTRUTURA!$F$4,"m")*Tabela!$H$17,Tabela!$H$17)))</f>
        <v/>
      </c>
      <c r="T16" s="30" t="str">
        <f>IF($A16="","",IF(T$6="NÃO",0,IF($A16=0,DATEDIF(ESTRUTURA!$F$3,ESTRUTURA!$F$4,"m")*Tabela!$H$18,Tabela!$H$18)))</f>
        <v/>
      </c>
      <c r="U16" s="60" t="str">
        <f t="shared" si="3"/>
        <v/>
      </c>
      <c r="V16" s="30" t="str">
        <f>IF($A16="","",IF(V$6="NÃO",0,IF($A16=0,DATEDIF(ESTRUTURA!$F$3,ESTRUTURA!$F$4,"m")*Tabela!$H$20,Tabela!$H$20)))</f>
        <v/>
      </c>
      <c r="W16" s="60" t="str">
        <f t="shared" si="6"/>
        <v/>
      </c>
      <c r="X16" s="30" t="str">
        <f t="shared" si="6"/>
        <v/>
      </c>
      <c r="Y16" s="60" t="str">
        <f>IF($A16="","",IF(Y$6="NÃO",0,IF(A16=0,Tabela!$H$23,IF(Y$7="mensal",Tabela!$H$23,IF(AND(MONTH(ESTRUTURA!C16)=MONTH(ESTRUTURA!$F$3),A16&gt;0),Tabela!$H$23,0)))))</f>
        <v/>
      </c>
      <c r="Z16" s="30" t="str">
        <f t="shared" si="6"/>
        <v/>
      </c>
      <c r="AA16" s="60" t="str">
        <f>IF($A16="","",IF(AA$6="NÃO",0,Tabela!$H$25*nm_séries))</f>
        <v/>
      </c>
      <c r="AB16" s="30" t="str">
        <f t="shared" si="6"/>
        <v/>
      </c>
      <c r="AC16" s="60" t="str">
        <f>IF($A16="","",IF(AC$6="NÃO",0,IF(A16=0,Tabela!$H$27,IF(MOD(A16,3)=0,Tabela!$H$27,0))))</f>
        <v/>
      </c>
      <c r="AD16" s="30" t="str">
        <f t="shared" si="6"/>
        <v/>
      </c>
      <c r="AE16" s="60" t="str">
        <f t="shared" si="6"/>
        <v/>
      </c>
      <c r="AF16" s="30" t="str">
        <f>IF($A16="","",IF(AF$6="NÃO",0,IF(AND(MONTH(ESTRUTURA!C16)=MONTH(ESTRUTURA!$F$3),A16&gt;0),Tabela!$H$30,0)))</f>
        <v/>
      </c>
      <c r="AG16" s="60" t="str">
        <f t="shared" si="6"/>
        <v/>
      </c>
      <c r="AH16" s="30" t="str">
        <f t="shared" si="6"/>
        <v/>
      </c>
      <c r="AI16" s="60" t="str">
        <f>IF($A16="","",IF(AI$6="NÃO",0,IF($A16=0,DATEDIF(ESTRUTURA!$F$3,ESTRUTURA!$F$4,"m")*Tabela!$H$33,Tabela!$H$33)))</f>
        <v/>
      </c>
      <c r="AJ16" s="30" t="str">
        <f t="shared" si="6"/>
        <v/>
      </c>
    </row>
    <row r="17" spans="1:36" x14ac:dyDescent="0.2">
      <c r="A17" s="66" t="str">
        <f>ESTRUTURA!A17</f>
        <v/>
      </c>
      <c r="B17" s="58">
        <f t="shared" si="7"/>
        <v>0</v>
      </c>
      <c r="C17" s="60" t="str">
        <f t="shared" si="4"/>
        <v/>
      </c>
      <c r="D17" s="30" t="str">
        <f t="shared" si="3"/>
        <v/>
      </c>
      <c r="E17" s="60" t="str">
        <f t="shared" si="3"/>
        <v/>
      </c>
      <c r="F17" s="30" t="str">
        <f>IF($A17="","",IF(F$6="NÃO",0,Tabela!$H$34*ESTRUTURA!$I$4))</f>
        <v/>
      </c>
      <c r="G17" s="60" t="str">
        <f t="shared" si="3"/>
        <v/>
      </c>
      <c r="H17" s="30" t="str">
        <f>IF($A17="","",IF(H$6="NÃO",0,IF($A17=0,DATEDIF(ESTRUTURA!$F$3,ESTRUTURA!$F$4,"m")*Tabela!$H$6,Tabela!$H$6)))</f>
        <v/>
      </c>
      <c r="I17" s="60" t="str">
        <f t="shared" si="3"/>
        <v/>
      </c>
      <c r="J17" s="30" t="str">
        <f>IF($A17="","",IF(J$6="NÃO",0,IF($A17=0,DATEDIF(ESTRUTURA!$F$3,ESTRUTURA!$F$4,"m")*Tabela!$H$8,IF(J$6="NÃO",0,Tabela!$H$8))))</f>
        <v/>
      </c>
      <c r="K17" s="60" t="str">
        <f t="shared" si="3"/>
        <v/>
      </c>
      <c r="L17" s="30" t="str">
        <f t="shared" si="3"/>
        <v/>
      </c>
      <c r="M17" s="60" t="str">
        <f t="shared" si="3"/>
        <v/>
      </c>
      <c r="N17" s="30" t="str">
        <f t="shared" si="3"/>
        <v/>
      </c>
      <c r="O17" s="60" t="str">
        <f t="shared" si="3"/>
        <v/>
      </c>
      <c r="P17" s="30" t="str">
        <f t="shared" si="5"/>
        <v/>
      </c>
      <c r="Q17" s="60" t="str">
        <f t="shared" si="3"/>
        <v/>
      </c>
      <c r="R17" s="30" t="str">
        <f t="shared" si="3"/>
        <v/>
      </c>
      <c r="S17" s="60" t="str">
        <f>IF($A17="","",IF(S$6="NÃO",0,IF($A17=0,DATEDIF(ESTRUTURA!$F$3,ESTRUTURA!$F$4,"m")*Tabela!$H$17,Tabela!$H$17)))</f>
        <v/>
      </c>
      <c r="T17" s="30" t="str">
        <f>IF($A17="","",IF(T$6="NÃO",0,IF($A17=0,DATEDIF(ESTRUTURA!$F$3,ESTRUTURA!$F$4,"m")*Tabela!$H$18,Tabela!$H$18)))</f>
        <v/>
      </c>
      <c r="U17" s="60" t="str">
        <f t="shared" si="3"/>
        <v/>
      </c>
      <c r="V17" s="30" t="str">
        <f>IF($A17="","",IF(V$6="NÃO",0,IF($A17=0,DATEDIF(ESTRUTURA!$F$3,ESTRUTURA!$F$4,"m")*Tabela!$H$20,Tabela!$H$20)))</f>
        <v/>
      </c>
      <c r="W17" s="60" t="str">
        <f t="shared" si="6"/>
        <v/>
      </c>
      <c r="X17" s="30" t="str">
        <f t="shared" si="6"/>
        <v/>
      </c>
      <c r="Y17" s="60" t="str">
        <f>IF($A17="","",IF(Y$6="NÃO",0,IF(A17=0,Tabela!$H$23,IF(Y$7="mensal",Tabela!$H$23,IF(AND(MONTH(ESTRUTURA!C17)=MONTH(ESTRUTURA!$F$3),A17&gt;0),Tabela!$H$23,0)))))</f>
        <v/>
      </c>
      <c r="Z17" s="30" t="str">
        <f t="shared" si="6"/>
        <v/>
      </c>
      <c r="AA17" s="60" t="str">
        <f>IF($A17="","",IF(AA$6="NÃO",0,Tabela!$H$25*nm_séries))</f>
        <v/>
      </c>
      <c r="AB17" s="30" t="str">
        <f t="shared" si="6"/>
        <v/>
      </c>
      <c r="AC17" s="60" t="str">
        <f>IF($A17="","",IF(AC$6="NÃO",0,IF(A17=0,Tabela!$H$27,IF(MOD(A17,3)=0,Tabela!$H$27,0))))</f>
        <v/>
      </c>
      <c r="AD17" s="30" t="str">
        <f t="shared" si="6"/>
        <v/>
      </c>
      <c r="AE17" s="60" t="str">
        <f t="shared" si="6"/>
        <v/>
      </c>
      <c r="AF17" s="30" t="str">
        <f>IF($A17="","",IF(AF$6="NÃO",0,IF(AND(MONTH(ESTRUTURA!C17)=MONTH(ESTRUTURA!$F$3),A17&gt;0),Tabela!$H$30,0)))</f>
        <v/>
      </c>
      <c r="AG17" s="60" t="str">
        <f t="shared" si="6"/>
        <v/>
      </c>
      <c r="AH17" s="30" t="str">
        <f t="shared" si="6"/>
        <v/>
      </c>
      <c r="AI17" s="60" t="str">
        <f>IF($A17="","",IF(AI$6="NÃO",0,IF($A17=0,DATEDIF(ESTRUTURA!$F$3,ESTRUTURA!$F$4,"m")*Tabela!$H$33,Tabela!$H$33)))</f>
        <v/>
      </c>
      <c r="AJ17" s="30" t="str">
        <f t="shared" si="6"/>
        <v/>
      </c>
    </row>
    <row r="18" spans="1:36" x14ac:dyDescent="0.2">
      <c r="A18" s="66" t="str">
        <f>ESTRUTURA!A18</f>
        <v/>
      </c>
      <c r="B18" s="58">
        <f t="shared" si="7"/>
        <v>0</v>
      </c>
      <c r="C18" s="60" t="str">
        <f t="shared" si="4"/>
        <v/>
      </c>
      <c r="D18" s="30" t="str">
        <f t="shared" si="3"/>
        <v/>
      </c>
      <c r="E18" s="60" t="str">
        <f t="shared" si="3"/>
        <v/>
      </c>
      <c r="F18" s="30" t="str">
        <f>IF($A18="","",IF(F$6="NÃO",0,Tabela!$H$34*ESTRUTURA!$I$4))</f>
        <v/>
      </c>
      <c r="G18" s="60" t="str">
        <f t="shared" si="3"/>
        <v/>
      </c>
      <c r="H18" s="30" t="str">
        <f>IF($A18="","",IF(H$6="NÃO",0,IF($A18=0,DATEDIF(ESTRUTURA!$F$3,ESTRUTURA!$F$4,"m")*Tabela!$H$6,Tabela!$H$6)))</f>
        <v/>
      </c>
      <c r="I18" s="60" t="str">
        <f t="shared" si="3"/>
        <v/>
      </c>
      <c r="J18" s="30" t="str">
        <f>IF($A18="","",IF(J$6="NÃO",0,IF($A18=0,DATEDIF(ESTRUTURA!$F$3,ESTRUTURA!$F$4,"m")*Tabela!$H$8,IF(J$6="NÃO",0,Tabela!$H$8))))</f>
        <v/>
      </c>
      <c r="K18" s="60" t="str">
        <f t="shared" si="3"/>
        <v/>
      </c>
      <c r="L18" s="30" t="str">
        <f t="shared" si="3"/>
        <v/>
      </c>
      <c r="M18" s="60" t="str">
        <f t="shared" si="3"/>
        <v/>
      </c>
      <c r="N18" s="30" t="str">
        <f t="shared" si="3"/>
        <v/>
      </c>
      <c r="O18" s="60" t="str">
        <f t="shared" si="3"/>
        <v/>
      </c>
      <c r="P18" s="30" t="str">
        <f t="shared" si="5"/>
        <v/>
      </c>
      <c r="Q18" s="60" t="str">
        <f t="shared" si="3"/>
        <v/>
      </c>
      <c r="R18" s="30" t="str">
        <f t="shared" si="3"/>
        <v/>
      </c>
      <c r="S18" s="60" t="str">
        <f>IF($A18="","",IF(S$6="NÃO",0,IF($A18=0,DATEDIF(ESTRUTURA!$F$3,ESTRUTURA!$F$4,"m")*Tabela!$H$17,Tabela!$H$17)))</f>
        <v/>
      </c>
      <c r="T18" s="30" t="str">
        <f>IF($A18="","",IF(T$6="NÃO",0,IF($A18=0,DATEDIF(ESTRUTURA!$F$3,ESTRUTURA!$F$4,"m")*Tabela!$H$18,Tabela!$H$18)))</f>
        <v/>
      </c>
      <c r="U18" s="60" t="str">
        <f t="shared" si="3"/>
        <v/>
      </c>
      <c r="V18" s="30" t="str">
        <f>IF($A18="","",IF(V$6="NÃO",0,IF($A18=0,DATEDIF(ESTRUTURA!$F$3,ESTRUTURA!$F$4,"m")*Tabela!$H$20,Tabela!$H$20)))</f>
        <v/>
      </c>
      <c r="W18" s="60" t="str">
        <f t="shared" si="6"/>
        <v/>
      </c>
      <c r="X18" s="30" t="str">
        <f t="shared" si="6"/>
        <v/>
      </c>
      <c r="Y18" s="60" t="str">
        <f>IF($A18="","",IF(Y$6="NÃO",0,IF(A18=0,Tabela!$H$23,IF(Y$7="mensal",Tabela!$H$23,IF(AND(MONTH(ESTRUTURA!C18)=MONTH(ESTRUTURA!$F$3),A18&gt;0),Tabela!$H$23,0)))))</f>
        <v/>
      </c>
      <c r="Z18" s="30" t="str">
        <f t="shared" si="6"/>
        <v/>
      </c>
      <c r="AA18" s="60" t="str">
        <f>IF($A18="","",IF(AA$6="NÃO",0,Tabela!$H$25*nm_séries))</f>
        <v/>
      </c>
      <c r="AB18" s="30" t="str">
        <f t="shared" si="6"/>
        <v/>
      </c>
      <c r="AC18" s="60" t="str">
        <f>IF($A18="","",IF(AC$6="NÃO",0,IF(A18=0,Tabela!$H$27,IF(MOD(A18,3)=0,Tabela!$H$27,0))))</f>
        <v/>
      </c>
      <c r="AD18" s="30" t="str">
        <f t="shared" si="6"/>
        <v/>
      </c>
      <c r="AE18" s="60" t="str">
        <f t="shared" si="6"/>
        <v/>
      </c>
      <c r="AF18" s="30" t="str">
        <f>IF($A18="","",IF(AF$6="NÃO",0,IF(AND(MONTH(ESTRUTURA!C18)=MONTH(ESTRUTURA!$F$3),A18&gt;0),Tabela!$H$30,0)))</f>
        <v/>
      </c>
      <c r="AG18" s="60" t="str">
        <f t="shared" si="6"/>
        <v/>
      </c>
      <c r="AH18" s="30" t="str">
        <f t="shared" si="6"/>
        <v/>
      </c>
      <c r="AI18" s="60" t="str">
        <f>IF($A18="","",IF(AI$6="NÃO",0,IF($A18=0,DATEDIF(ESTRUTURA!$F$3,ESTRUTURA!$F$4,"m")*Tabela!$H$33,Tabela!$H$33)))</f>
        <v/>
      </c>
      <c r="AJ18" s="30" t="str">
        <f t="shared" si="6"/>
        <v/>
      </c>
    </row>
    <row r="19" spans="1:36" x14ac:dyDescent="0.2">
      <c r="A19" s="66" t="str">
        <f>ESTRUTURA!A19</f>
        <v/>
      </c>
      <c r="B19" s="58">
        <f t="shared" si="7"/>
        <v>0</v>
      </c>
      <c r="C19" s="60" t="str">
        <f t="shared" si="4"/>
        <v/>
      </c>
      <c r="D19" s="30" t="str">
        <f t="shared" si="3"/>
        <v/>
      </c>
      <c r="E19" s="60" t="str">
        <f t="shared" si="3"/>
        <v/>
      </c>
      <c r="F19" s="30" t="str">
        <f>IF($A19="","",IF(F$6="NÃO",0,Tabela!$H$34*ESTRUTURA!$I$4))</f>
        <v/>
      </c>
      <c r="G19" s="60" t="str">
        <f t="shared" si="3"/>
        <v/>
      </c>
      <c r="H19" s="30" t="str">
        <f>IF($A19="","",IF(H$6="NÃO",0,IF($A19=0,DATEDIF(ESTRUTURA!$F$3,ESTRUTURA!$F$4,"m")*Tabela!$H$6,Tabela!$H$6)))</f>
        <v/>
      </c>
      <c r="I19" s="60" t="str">
        <f t="shared" si="3"/>
        <v/>
      </c>
      <c r="J19" s="30" t="str">
        <f>IF($A19="","",IF(J$6="NÃO",0,IF($A19=0,DATEDIF(ESTRUTURA!$F$3,ESTRUTURA!$F$4,"m")*Tabela!$H$8,IF(J$6="NÃO",0,Tabela!$H$8))))</f>
        <v/>
      </c>
      <c r="K19" s="60" t="str">
        <f t="shared" si="3"/>
        <v/>
      </c>
      <c r="L19" s="30" t="str">
        <f t="shared" si="3"/>
        <v/>
      </c>
      <c r="M19" s="60" t="str">
        <f t="shared" si="3"/>
        <v/>
      </c>
      <c r="N19" s="30" t="str">
        <f t="shared" si="3"/>
        <v/>
      </c>
      <c r="O19" s="60" t="str">
        <f t="shared" si="3"/>
        <v/>
      </c>
      <c r="P19" s="30" t="str">
        <f t="shared" si="5"/>
        <v/>
      </c>
      <c r="Q19" s="60" t="str">
        <f t="shared" si="3"/>
        <v/>
      </c>
      <c r="R19" s="30" t="str">
        <f t="shared" si="3"/>
        <v/>
      </c>
      <c r="S19" s="60" t="str">
        <f>IF($A19="","",IF(S$6="NÃO",0,IF($A19=0,DATEDIF(ESTRUTURA!$F$3,ESTRUTURA!$F$4,"m")*Tabela!$H$17,Tabela!$H$17)))</f>
        <v/>
      </c>
      <c r="T19" s="30" t="str">
        <f>IF($A19="","",IF(T$6="NÃO",0,IF($A19=0,DATEDIF(ESTRUTURA!$F$3,ESTRUTURA!$F$4,"m")*Tabela!$H$18,Tabela!$H$18)))</f>
        <v/>
      </c>
      <c r="U19" s="60" t="str">
        <f t="shared" si="3"/>
        <v/>
      </c>
      <c r="V19" s="30" t="str">
        <f>IF($A19="","",IF(V$6="NÃO",0,IF($A19=0,DATEDIF(ESTRUTURA!$F$3,ESTRUTURA!$F$4,"m")*Tabela!$H$20,Tabela!$H$20)))</f>
        <v/>
      </c>
      <c r="W19" s="60" t="str">
        <f t="shared" si="6"/>
        <v/>
      </c>
      <c r="X19" s="30" t="str">
        <f t="shared" si="6"/>
        <v/>
      </c>
      <c r="Y19" s="60" t="str">
        <f>IF($A19="","",IF(Y$6="NÃO",0,IF(A19=0,Tabela!$H$23,IF(Y$7="mensal",Tabela!$H$23,IF(AND(MONTH(ESTRUTURA!C19)=MONTH(ESTRUTURA!$F$3),A19&gt;0),Tabela!$H$23,0)))))</f>
        <v/>
      </c>
      <c r="Z19" s="30" t="str">
        <f t="shared" si="6"/>
        <v/>
      </c>
      <c r="AA19" s="60" t="str">
        <f>IF($A19="","",IF(AA$6="NÃO",0,Tabela!$H$25*nm_séries))</f>
        <v/>
      </c>
      <c r="AB19" s="30" t="str">
        <f t="shared" si="6"/>
        <v/>
      </c>
      <c r="AC19" s="60" t="str">
        <f>IF($A19="","",IF(AC$6="NÃO",0,IF(A19=0,Tabela!$H$27,IF(MOD(A19,3)=0,Tabela!$H$27,0))))</f>
        <v/>
      </c>
      <c r="AD19" s="30" t="str">
        <f t="shared" si="6"/>
        <v/>
      </c>
      <c r="AE19" s="60" t="str">
        <f t="shared" si="6"/>
        <v/>
      </c>
      <c r="AF19" s="30" t="str">
        <f>IF($A19="","",IF(AF$6="NÃO",0,IF(AND(MONTH(ESTRUTURA!C19)=MONTH(ESTRUTURA!$F$3),A19&gt;0),Tabela!$H$30,0)))</f>
        <v/>
      </c>
      <c r="AG19" s="60" t="str">
        <f t="shared" si="6"/>
        <v/>
      </c>
      <c r="AH19" s="30" t="str">
        <f t="shared" si="6"/>
        <v/>
      </c>
      <c r="AI19" s="60" t="str">
        <f>IF($A19="","",IF(AI$6="NÃO",0,IF($A19=0,DATEDIF(ESTRUTURA!$F$3,ESTRUTURA!$F$4,"m")*Tabela!$H$33,Tabela!$H$33)))</f>
        <v/>
      </c>
      <c r="AJ19" s="30" t="str">
        <f t="shared" si="6"/>
        <v/>
      </c>
    </row>
    <row r="20" spans="1:36" x14ac:dyDescent="0.2">
      <c r="A20" s="66" t="str">
        <f>ESTRUTURA!A20</f>
        <v/>
      </c>
      <c r="B20" s="58">
        <f t="shared" si="7"/>
        <v>0</v>
      </c>
      <c r="C20" s="60" t="str">
        <f t="shared" si="4"/>
        <v/>
      </c>
      <c r="D20" s="30" t="str">
        <f t="shared" si="3"/>
        <v/>
      </c>
      <c r="E20" s="60" t="str">
        <f t="shared" si="3"/>
        <v/>
      </c>
      <c r="F20" s="30" t="str">
        <f>IF($A20="","",IF(F$6="NÃO",0,Tabela!$H$34*ESTRUTURA!$I$4))</f>
        <v/>
      </c>
      <c r="G20" s="60" t="str">
        <f t="shared" si="3"/>
        <v/>
      </c>
      <c r="H20" s="30" t="str">
        <f>IF($A20="","",IF(H$6="NÃO",0,IF($A20=0,DATEDIF(ESTRUTURA!$F$3,ESTRUTURA!$F$4,"m")*Tabela!$H$6,Tabela!$H$6)))</f>
        <v/>
      </c>
      <c r="I20" s="60" t="str">
        <f t="shared" si="3"/>
        <v/>
      </c>
      <c r="J20" s="30" t="str">
        <f>IF($A20="","",IF(J$6="NÃO",0,IF($A20=0,DATEDIF(ESTRUTURA!$F$3,ESTRUTURA!$F$4,"m")*Tabela!$H$8,IF(J$6="NÃO",0,Tabela!$H$8))))</f>
        <v/>
      </c>
      <c r="K20" s="60" t="str">
        <f t="shared" si="3"/>
        <v/>
      </c>
      <c r="L20" s="30" t="str">
        <f t="shared" si="3"/>
        <v/>
      </c>
      <c r="M20" s="60" t="str">
        <f t="shared" si="3"/>
        <v/>
      </c>
      <c r="N20" s="30" t="str">
        <f t="shared" si="3"/>
        <v/>
      </c>
      <c r="O20" s="60" t="str">
        <f t="shared" si="3"/>
        <v/>
      </c>
      <c r="P20" s="30" t="str">
        <f t="shared" si="5"/>
        <v/>
      </c>
      <c r="Q20" s="60" t="str">
        <f t="shared" si="3"/>
        <v/>
      </c>
      <c r="R20" s="30" t="str">
        <f t="shared" si="3"/>
        <v/>
      </c>
      <c r="S20" s="60" t="str">
        <f>IF($A20="","",IF(S$6="NÃO",0,IF($A20=0,DATEDIF(ESTRUTURA!$F$3,ESTRUTURA!$F$4,"m")*Tabela!$H$17,Tabela!$H$17)))</f>
        <v/>
      </c>
      <c r="T20" s="30" t="str">
        <f>IF($A20="","",IF(T$6="NÃO",0,IF($A20=0,DATEDIF(ESTRUTURA!$F$3,ESTRUTURA!$F$4,"m")*Tabela!$H$18,Tabela!$H$18)))</f>
        <v/>
      </c>
      <c r="U20" s="60" t="str">
        <f t="shared" si="3"/>
        <v/>
      </c>
      <c r="V20" s="30" t="str">
        <f>IF($A20="","",IF(V$6="NÃO",0,IF($A20=0,DATEDIF(ESTRUTURA!$F$3,ESTRUTURA!$F$4,"m")*Tabela!$H$20,Tabela!$H$20)))</f>
        <v/>
      </c>
      <c r="W20" s="60" t="str">
        <f t="shared" si="6"/>
        <v/>
      </c>
      <c r="X20" s="30" t="str">
        <f t="shared" si="6"/>
        <v/>
      </c>
      <c r="Y20" s="60" t="str">
        <f>IF($A20="","",IF(Y$6="NÃO",0,IF(A20=0,Tabela!$H$23,IF(Y$7="mensal",Tabela!$H$23,IF(AND(MONTH(ESTRUTURA!C20)=MONTH(ESTRUTURA!$F$3),A20&gt;0),Tabela!$H$23,0)))))</f>
        <v/>
      </c>
      <c r="Z20" s="30" t="str">
        <f t="shared" si="6"/>
        <v/>
      </c>
      <c r="AA20" s="60" t="str">
        <f>IF($A20="","",IF(AA$6="NÃO",0,Tabela!$H$25*nm_séries))</f>
        <v/>
      </c>
      <c r="AB20" s="30" t="str">
        <f t="shared" si="6"/>
        <v/>
      </c>
      <c r="AC20" s="60" t="str">
        <f>IF($A20="","",IF(AC$6="NÃO",0,IF(A20=0,Tabela!$H$27,IF(MOD(A20,3)=0,Tabela!$H$27,0))))</f>
        <v/>
      </c>
      <c r="AD20" s="30" t="str">
        <f t="shared" si="6"/>
        <v/>
      </c>
      <c r="AE20" s="60" t="str">
        <f t="shared" si="6"/>
        <v/>
      </c>
      <c r="AF20" s="30" t="str">
        <f>IF($A20="","",IF(AF$6="NÃO",0,IF(AND(MONTH(ESTRUTURA!C20)=MONTH(ESTRUTURA!$F$3),A20&gt;0),Tabela!$H$30,0)))</f>
        <v/>
      </c>
      <c r="AG20" s="60" t="str">
        <f t="shared" si="6"/>
        <v/>
      </c>
      <c r="AH20" s="30" t="str">
        <f t="shared" si="6"/>
        <v/>
      </c>
      <c r="AI20" s="60" t="str">
        <f>IF($A20="","",IF(AI$6="NÃO",0,IF($A20=0,DATEDIF(ESTRUTURA!$F$3,ESTRUTURA!$F$4,"m")*Tabela!$H$33,Tabela!$H$33)))</f>
        <v/>
      </c>
      <c r="AJ20" s="30" t="str">
        <f t="shared" si="6"/>
        <v/>
      </c>
    </row>
    <row r="21" spans="1:36" x14ac:dyDescent="0.2">
      <c r="A21" s="66" t="str">
        <f>ESTRUTURA!A21</f>
        <v/>
      </c>
      <c r="B21" s="58">
        <f t="shared" si="7"/>
        <v>0</v>
      </c>
      <c r="C21" s="60" t="str">
        <f t="shared" si="4"/>
        <v/>
      </c>
      <c r="D21" s="30" t="str">
        <f t="shared" si="3"/>
        <v/>
      </c>
      <c r="E21" s="60" t="str">
        <f t="shared" si="3"/>
        <v/>
      </c>
      <c r="F21" s="30" t="str">
        <f>IF($A21="","",IF(F$6="NÃO",0,Tabela!$H$34*ESTRUTURA!$I$4))</f>
        <v/>
      </c>
      <c r="G21" s="60" t="str">
        <f t="shared" si="3"/>
        <v/>
      </c>
      <c r="H21" s="30" t="str">
        <f>IF($A21="","",IF(H$6="NÃO",0,IF($A21=0,DATEDIF(ESTRUTURA!$F$3,ESTRUTURA!$F$4,"m")*Tabela!$H$6,Tabela!$H$6)))</f>
        <v/>
      </c>
      <c r="I21" s="60" t="str">
        <f t="shared" si="3"/>
        <v/>
      </c>
      <c r="J21" s="30" t="str">
        <f>IF($A21="","",IF(J$6="NÃO",0,IF($A21=0,DATEDIF(ESTRUTURA!$F$3,ESTRUTURA!$F$4,"m")*Tabela!$H$8,IF(J$6="NÃO",0,Tabela!$H$8))))</f>
        <v/>
      </c>
      <c r="K21" s="60" t="str">
        <f t="shared" si="3"/>
        <v/>
      </c>
      <c r="L21" s="30" t="str">
        <f t="shared" si="3"/>
        <v/>
      </c>
      <c r="M21" s="60" t="str">
        <f t="shared" si="3"/>
        <v/>
      </c>
      <c r="N21" s="30" t="str">
        <f t="shared" si="3"/>
        <v/>
      </c>
      <c r="O21" s="60" t="str">
        <f t="shared" si="3"/>
        <v/>
      </c>
      <c r="P21" s="30" t="str">
        <f t="shared" si="5"/>
        <v/>
      </c>
      <c r="Q21" s="60" t="str">
        <f t="shared" si="3"/>
        <v/>
      </c>
      <c r="R21" s="30" t="str">
        <f t="shared" si="3"/>
        <v/>
      </c>
      <c r="S21" s="60" t="str">
        <f>IF($A21="","",IF(S$6="NÃO",0,IF($A21=0,DATEDIF(ESTRUTURA!$F$3,ESTRUTURA!$F$4,"m")*Tabela!$H$17,Tabela!$H$17)))</f>
        <v/>
      </c>
      <c r="T21" s="30" t="str">
        <f>IF($A21="","",IF(T$6="NÃO",0,IF($A21=0,DATEDIF(ESTRUTURA!$F$3,ESTRUTURA!$F$4,"m")*Tabela!$H$18,Tabela!$H$18)))</f>
        <v/>
      </c>
      <c r="U21" s="60" t="str">
        <f t="shared" si="3"/>
        <v/>
      </c>
      <c r="V21" s="30" t="str">
        <f>IF($A21="","",IF(V$6="NÃO",0,IF($A21=0,DATEDIF(ESTRUTURA!$F$3,ESTRUTURA!$F$4,"m")*Tabela!$H$20,Tabela!$H$20)))</f>
        <v/>
      </c>
      <c r="W21" s="60" t="str">
        <f t="shared" si="6"/>
        <v/>
      </c>
      <c r="X21" s="30" t="str">
        <f t="shared" si="6"/>
        <v/>
      </c>
      <c r="Y21" s="60" t="str">
        <f>IF($A21="","",IF(Y$6="NÃO",0,IF(A21=0,Tabela!$H$23,IF(Y$7="mensal",Tabela!$H$23,IF(AND(MONTH(ESTRUTURA!C21)=MONTH(ESTRUTURA!$F$3),A21&gt;0),Tabela!$H$23,0)))))</f>
        <v/>
      </c>
      <c r="Z21" s="30" t="str">
        <f t="shared" si="6"/>
        <v/>
      </c>
      <c r="AA21" s="60" t="str">
        <f>IF($A21="","",IF(AA$6="NÃO",0,Tabela!$H$25*nm_séries))</f>
        <v/>
      </c>
      <c r="AB21" s="30" t="str">
        <f t="shared" si="6"/>
        <v/>
      </c>
      <c r="AC21" s="60" t="str">
        <f>IF($A21="","",IF(AC$6="NÃO",0,IF(A21=0,Tabela!$H$27,IF(MOD(A21,3)=0,Tabela!$H$27,0))))</f>
        <v/>
      </c>
      <c r="AD21" s="30" t="str">
        <f t="shared" si="6"/>
        <v/>
      </c>
      <c r="AE21" s="60" t="str">
        <f t="shared" si="6"/>
        <v/>
      </c>
      <c r="AF21" s="30" t="str">
        <f>IF($A21="","",IF(AF$6="NÃO",0,IF(AND(MONTH(ESTRUTURA!C21)=MONTH(ESTRUTURA!$F$3),A21&gt;0),Tabela!$H$30,0)))</f>
        <v/>
      </c>
      <c r="AG21" s="60" t="str">
        <f t="shared" si="6"/>
        <v/>
      </c>
      <c r="AH21" s="30" t="str">
        <f t="shared" si="6"/>
        <v/>
      </c>
      <c r="AI21" s="60" t="str">
        <f>IF($A21="","",IF(AI$6="NÃO",0,IF($A21=0,DATEDIF(ESTRUTURA!$F$3,ESTRUTURA!$F$4,"m")*Tabela!$H$33,Tabela!$H$33)))</f>
        <v/>
      </c>
      <c r="AJ21" s="30" t="str">
        <f t="shared" si="6"/>
        <v/>
      </c>
    </row>
    <row r="22" spans="1:36" x14ac:dyDescent="0.2">
      <c r="A22" s="66" t="str">
        <f>ESTRUTURA!A22</f>
        <v/>
      </c>
      <c r="B22" s="58">
        <f t="shared" si="7"/>
        <v>0</v>
      </c>
      <c r="C22" s="60" t="str">
        <f t="shared" si="4"/>
        <v/>
      </c>
      <c r="D22" s="30" t="str">
        <f t="shared" si="3"/>
        <v/>
      </c>
      <c r="E22" s="60" t="str">
        <f t="shared" si="3"/>
        <v/>
      </c>
      <c r="F22" s="30" t="str">
        <f>IF($A22="","",IF(F$6="NÃO",0,Tabela!$H$34*ESTRUTURA!$I$4))</f>
        <v/>
      </c>
      <c r="G22" s="60" t="str">
        <f t="shared" si="3"/>
        <v/>
      </c>
      <c r="H22" s="30" t="str">
        <f>IF($A22="","",IF(H$6="NÃO",0,IF($A22=0,DATEDIF(ESTRUTURA!$F$3,ESTRUTURA!$F$4,"m")*Tabela!$H$6,Tabela!$H$6)))</f>
        <v/>
      </c>
      <c r="I22" s="60" t="str">
        <f t="shared" si="3"/>
        <v/>
      </c>
      <c r="J22" s="30" t="str">
        <f>IF($A22="","",IF(J$6="NÃO",0,IF($A22=0,DATEDIF(ESTRUTURA!$F$3,ESTRUTURA!$F$4,"m")*Tabela!$H$8,IF(J$6="NÃO",0,Tabela!$H$8))))</f>
        <v/>
      </c>
      <c r="K22" s="60" t="str">
        <f t="shared" si="3"/>
        <v/>
      </c>
      <c r="L22" s="30" t="str">
        <f t="shared" si="3"/>
        <v/>
      </c>
      <c r="M22" s="60" t="str">
        <f t="shared" si="3"/>
        <v/>
      </c>
      <c r="N22" s="30" t="str">
        <f t="shared" si="3"/>
        <v/>
      </c>
      <c r="O22" s="60" t="str">
        <f t="shared" si="3"/>
        <v/>
      </c>
      <c r="P22" s="30" t="str">
        <f t="shared" si="5"/>
        <v/>
      </c>
      <c r="Q22" s="60" t="str">
        <f t="shared" si="3"/>
        <v/>
      </c>
      <c r="R22" s="30" t="str">
        <f t="shared" si="3"/>
        <v/>
      </c>
      <c r="S22" s="60" t="str">
        <f>IF($A22="","",IF(S$6="NÃO",0,IF($A22=0,DATEDIF(ESTRUTURA!$F$3,ESTRUTURA!$F$4,"m")*Tabela!$H$17,Tabela!$H$17)))</f>
        <v/>
      </c>
      <c r="T22" s="30" t="str">
        <f>IF($A22="","",IF(T$6="NÃO",0,IF($A22=0,DATEDIF(ESTRUTURA!$F$3,ESTRUTURA!$F$4,"m")*Tabela!$H$18,Tabela!$H$18)))</f>
        <v/>
      </c>
      <c r="U22" s="60" t="str">
        <f t="shared" si="3"/>
        <v/>
      </c>
      <c r="V22" s="30" t="str">
        <f>IF($A22="","",IF(V$6="NÃO",0,IF($A22=0,DATEDIF(ESTRUTURA!$F$3,ESTRUTURA!$F$4,"m")*Tabela!$H$20,Tabela!$H$20)))</f>
        <v/>
      </c>
      <c r="W22" s="60" t="str">
        <f t="shared" si="6"/>
        <v/>
      </c>
      <c r="X22" s="30" t="str">
        <f t="shared" si="6"/>
        <v/>
      </c>
      <c r="Y22" s="60" t="str">
        <f>IF($A22="","",IF(Y$6="NÃO",0,IF(A22=0,Tabela!$H$23,IF(Y$7="mensal",Tabela!$H$23,IF(AND(MONTH(ESTRUTURA!C22)=MONTH(ESTRUTURA!$F$3),A22&gt;0),Tabela!$H$23,0)))))</f>
        <v/>
      </c>
      <c r="Z22" s="30" t="str">
        <f t="shared" si="6"/>
        <v/>
      </c>
      <c r="AA22" s="60" t="str">
        <f>IF($A22="","",IF(AA$6="NÃO",0,Tabela!$H$25*nm_séries))</f>
        <v/>
      </c>
      <c r="AB22" s="30" t="str">
        <f t="shared" si="6"/>
        <v/>
      </c>
      <c r="AC22" s="60" t="str">
        <f>IF($A22="","",IF(AC$6="NÃO",0,IF(A22=0,Tabela!$H$27,IF(MOD(A22,3)=0,Tabela!$H$27,0))))</f>
        <v/>
      </c>
      <c r="AD22" s="30" t="str">
        <f t="shared" si="6"/>
        <v/>
      </c>
      <c r="AE22" s="60" t="str">
        <f t="shared" si="6"/>
        <v/>
      </c>
      <c r="AF22" s="30" t="str">
        <f>IF($A22="","",IF(AF$6="NÃO",0,IF(AND(MONTH(ESTRUTURA!C22)=MONTH(ESTRUTURA!$F$3),A22&gt;0),Tabela!$H$30,0)))</f>
        <v/>
      </c>
      <c r="AG22" s="60" t="str">
        <f t="shared" si="6"/>
        <v/>
      </c>
      <c r="AH22" s="30" t="str">
        <f t="shared" si="6"/>
        <v/>
      </c>
      <c r="AI22" s="60" t="str">
        <f>IF($A22="","",IF(AI$6="NÃO",0,IF($A22=0,DATEDIF(ESTRUTURA!$F$3,ESTRUTURA!$F$4,"m")*Tabela!$H$33,Tabela!$H$33)))</f>
        <v/>
      </c>
      <c r="AJ22" s="30" t="str">
        <f t="shared" si="6"/>
        <v/>
      </c>
    </row>
    <row r="23" spans="1:36" x14ac:dyDescent="0.2">
      <c r="A23" s="66" t="str">
        <f>ESTRUTURA!A23</f>
        <v/>
      </c>
      <c r="B23" s="58">
        <f t="shared" si="7"/>
        <v>0</v>
      </c>
      <c r="C23" s="60" t="str">
        <f t="shared" si="4"/>
        <v/>
      </c>
      <c r="D23" s="30" t="str">
        <f t="shared" si="3"/>
        <v/>
      </c>
      <c r="E23" s="60" t="str">
        <f t="shared" si="3"/>
        <v/>
      </c>
      <c r="F23" s="30" t="str">
        <f>IF($A23="","",IF(F$6="NÃO",0,Tabela!$H$34*ESTRUTURA!$I$4))</f>
        <v/>
      </c>
      <c r="G23" s="60" t="str">
        <f t="shared" si="3"/>
        <v/>
      </c>
      <c r="H23" s="30" t="str">
        <f>IF($A23="","",IF(H$6="NÃO",0,IF($A23=0,DATEDIF(ESTRUTURA!$F$3,ESTRUTURA!$F$4,"m")*Tabela!$H$6,Tabela!$H$6)))</f>
        <v/>
      </c>
      <c r="I23" s="60" t="str">
        <f t="shared" si="3"/>
        <v/>
      </c>
      <c r="J23" s="30" t="str">
        <f>IF($A23="","",IF(J$6="NÃO",0,IF($A23=0,DATEDIF(ESTRUTURA!$F$3,ESTRUTURA!$F$4,"m")*Tabela!$H$8,IF(J$6="NÃO",0,Tabela!$H$8))))</f>
        <v/>
      </c>
      <c r="K23" s="60" t="str">
        <f t="shared" si="3"/>
        <v/>
      </c>
      <c r="L23" s="30" t="str">
        <f t="shared" si="3"/>
        <v/>
      </c>
      <c r="M23" s="60" t="str">
        <f t="shared" si="3"/>
        <v/>
      </c>
      <c r="N23" s="30" t="str">
        <f t="shared" si="3"/>
        <v/>
      </c>
      <c r="O23" s="60" t="str">
        <f t="shared" si="3"/>
        <v/>
      </c>
      <c r="P23" s="30" t="str">
        <f t="shared" si="5"/>
        <v/>
      </c>
      <c r="Q23" s="60" t="str">
        <f t="shared" si="3"/>
        <v/>
      </c>
      <c r="R23" s="30" t="str">
        <f t="shared" si="3"/>
        <v/>
      </c>
      <c r="S23" s="60" t="str">
        <f>IF($A23="","",IF(S$6="NÃO",0,IF($A23=0,DATEDIF(ESTRUTURA!$F$3,ESTRUTURA!$F$4,"m")*Tabela!$H$17,Tabela!$H$17)))</f>
        <v/>
      </c>
      <c r="T23" s="30" t="str">
        <f>IF($A23="","",IF(T$6="NÃO",0,IF($A23=0,DATEDIF(ESTRUTURA!$F$3,ESTRUTURA!$F$4,"m")*Tabela!$H$18,Tabela!$H$18)))</f>
        <v/>
      </c>
      <c r="U23" s="60" t="str">
        <f t="shared" si="3"/>
        <v/>
      </c>
      <c r="V23" s="30" t="str">
        <f>IF($A23="","",IF(V$6="NÃO",0,IF($A23=0,DATEDIF(ESTRUTURA!$F$3,ESTRUTURA!$F$4,"m")*Tabela!$H$20,Tabela!$H$20)))</f>
        <v/>
      </c>
      <c r="W23" s="60" t="str">
        <f t="shared" si="6"/>
        <v/>
      </c>
      <c r="X23" s="30" t="str">
        <f t="shared" si="6"/>
        <v/>
      </c>
      <c r="Y23" s="60" t="str">
        <f>IF($A23="","",IF(Y$6="NÃO",0,IF(A23=0,Tabela!$H$23,IF(Y$7="mensal",Tabela!$H$23,IF(AND(MONTH(ESTRUTURA!C23)=MONTH(ESTRUTURA!$F$3),A23&gt;0),Tabela!$H$23,0)))))</f>
        <v/>
      </c>
      <c r="Z23" s="30" t="str">
        <f t="shared" si="6"/>
        <v/>
      </c>
      <c r="AA23" s="60" t="str">
        <f>IF($A23="","",IF(AA$6="NÃO",0,Tabela!$H$25*nm_séries))</f>
        <v/>
      </c>
      <c r="AB23" s="30" t="str">
        <f t="shared" si="6"/>
        <v/>
      </c>
      <c r="AC23" s="60" t="str">
        <f>IF($A23="","",IF(AC$6="NÃO",0,IF(A23=0,Tabela!$H$27,IF(MOD(A23,3)=0,Tabela!$H$27,0))))</f>
        <v/>
      </c>
      <c r="AD23" s="30" t="str">
        <f t="shared" si="6"/>
        <v/>
      </c>
      <c r="AE23" s="60" t="str">
        <f t="shared" si="6"/>
        <v/>
      </c>
      <c r="AF23" s="30" t="str">
        <f>IF($A23="","",IF(AF$6="NÃO",0,IF(AND(MONTH(ESTRUTURA!C23)=MONTH(ESTRUTURA!$F$3),A23&gt;0),Tabela!$H$30,0)))</f>
        <v/>
      </c>
      <c r="AG23" s="60" t="str">
        <f t="shared" si="6"/>
        <v/>
      </c>
      <c r="AH23" s="30" t="str">
        <f t="shared" si="6"/>
        <v/>
      </c>
      <c r="AI23" s="60" t="str">
        <f>IF($A23="","",IF(AI$6="NÃO",0,IF($A23=0,DATEDIF(ESTRUTURA!$F$3,ESTRUTURA!$F$4,"m")*Tabela!$H$33,Tabela!$H$33)))</f>
        <v/>
      </c>
      <c r="AJ23" s="30" t="str">
        <f t="shared" si="6"/>
        <v/>
      </c>
    </row>
    <row r="24" spans="1:36" x14ac:dyDescent="0.2">
      <c r="A24" s="66" t="str">
        <f>ESTRUTURA!A24</f>
        <v/>
      </c>
      <c r="B24" s="58">
        <f t="shared" si="7"/>
        <v>0</v>
      </c>
      <c r="C24" s="60" t="str">
        <f t="shared" si="4"/>
        <v/>
      </c>
      <c r="D24" s="30" t="str">
        <f t="shared" si="3"/>
        <v/>
      </c>
      <c r="E24" s="60" t="str">
        <f t="shared" si="3"/>
        <v/>
      </c>
      <c r="F24" s="30" t="str">
        <f>IF($A24="","",IF(F$6="NÃO",0,Tabela!$H$34*ESTRUTURA!$I$4))</f>
        <v/>
      </c>
      <c r="G24" s="60" t="str">
        <f t="shared" si="3"/>
        <v/>
      </c>
      <c r="H24" s="30" t="str">
        <f>IF($A24="","",IF(H$6="NÃO",0,IF($A24=0,DATEDIF(ESTRUTURA!$F$3,ESTRUTURA!$F$4,"m")*Tabela!$H$6,Tabela!$H$6)))</f>
        <v/>
      </c>
      <c r="I24" s="60" t="str">
        <f t="shared" si="3"/>
        <v/>
      </c>
      <c r="J24" s="30" t="str">
        <f>IF($A24="","",IF(J$6="NÃO",0,IF($A24=0,DATEDIF(ESTRUTURA!$F$3,ESTRUTURA!$F$4,"m")*Tabela!$H$8,IF(J$6="NÃO",0,Tabela!$H$8))))</f>
        <v/>
      </c>
      <c r="K24" s="60" t="str">
        <f t="shared" si="3"/>
        <v/>
      </c>
      <c r="L24" s="30" t="str">
        <f t="shared" si="3"/>
        <v/>
      </c>
      <c r="M24" s="60" t="str">
        <f t="shared" si="3"/>
        <v/>
      </c>
      <c r="N24" s="30" t="str">
        <f t="shared" si="3"/>
        <v/>
      </c>
      <c r="O24" s="60" t="str">
        <f t="shared" si="3"/>
        <v/>
      </c>
      <c r="P24" s="30" t="str">
        <f t="shared" si="5"/>
        <v/>
      </c>
      <c r="Q24" s="60" t="str">
        <f t="shared" si="3"/>
        <v/>
      </c>
      <c r="R24" s="30" t="str">
        <f t="shared" si="3"/>
        <v/>
      </c>
      <c r="S24" s="60" t="str">
        <f>IF($A24="","",IF(S$6="NÃO",0,IF($A24=0,DATEDIF(ESTRUTURA!$F$3,ESTRUTURA!$F$4,"m")*Tabela!$H$17,Tabela!$H$17)))</f>
        <v/>
      </c>
      <c r="T24" s="30" t="str">
        <f>IF($A24="","",IF(T$6="NÃO",0,IF($A24=0,DATEDIF(ESTRUTURA!$F$3,ESTRUTURA!$F$4,"m")*Tabela!$H$18,Tabela!$H$18)))</f>
        <v/>
      </c>
      <c r="U24" s="60" t="str">
        <f t="shared" si="3"/>
        <v/>
      </c>
      <c r="V24" s="30" t="str">
        <f>IF($A24="","",IF(V$6="NÃO",0,IF($A24=0,DATEDIF(ESTRUTURA!$F$3,ESTRUTURA!$F$4,"m")*Tabela!$H$20,Tabela!$H$20)))</f>
        <v/>
      </c>
      <c r="W24" s="60" t="str">
        <f t="shared" si="6"/>
        <v/>
      </c>
      <c r="X24" s="30" t="str">
        <f t="shared" si="6"/>
        <v/>
      </c>
      <c r="Y24" s="60" t="str">
        <f>IF($A24="","",IF(Y$6="NÃO",0,IF(A24=0,Tabela!$H$23,IF(Y$7="mensal",Tabela!$H$23,IF(AND(MONTH(ESTRUTURA!C24)=MONTH(ESTRUTURA!$F$3),A24&gt;0),Tabela!$H$23,0)))))</f>
        <v/>
      </c>
      <c r="Z24" s="30" t="str">
        <f t="shared" si="6"/>
        <v/>
      </c>
      <c r="AA24" s="60" t="str">
        <f>IF($A24="","",IF(AA$6="NÃO",0,Tabela!$H$25*nm_séries))</f>
        <v/>
      </c>
      <c r="AB24" s="30" t="str">
        <f t="shared" si="6"/>
        <v/>
      </c>
      <c r="AC24" s="60" t="str">
        <f>IF($A24="","",IF(AC$6="NÃO",0,IF(A24=0,Tabela!$H$27,IF(MOD(A24,3)=0,Tabela!$H$27,0))))</f>
        <v/>
      </c>
      <c r="AD24" s="30" t="str">
        <f t="shared" si="6"/>
        <v/>
      </c>
      <c r="AE24" s="60" t="str">
        <f t="shared" si="6"/>
        <v/>
      </c>
      <c r="AF24" s="30" t="str">
        <f>IF($A24="","",IF(AF$6="NÃO",0,IF(AND(MONTH(ESTRUTURA!C24)=MONTH(ESTRUTURA!$F$3),A24&gt;0),Tabela!$H$30,0)))</f>
        <v/>
      </c>
      <c r="AG24" s="60" t="str">
        <f t="shared" si="6"/>
        <v/>
      </c>
      <c r="AH24" s="30" t="str">
        <f t="shared" si="6"/>
        <v/>
      </c>
      <c r="AI24" s="60" t="str">
        <f>IF($A24="","",IF(AI$6="NÃO",0,IF($A24=0,DATEDIF(ESTRUTURA!$F$3,ESTRUTURA!$F$4,"m")*Tabela!$H$33,Tabela!$H$33)))</f>
        <v/>
      </c>
      <c r="AJ24" s="30" t="str">
        <f t="shared" si="6"/>
        <v/>
      </c>
    </row>
    <row r="25" spans="1:36" x14ac:dyDescent="0.2">
      <c r="A25" s="66" t="str">
        <f>ESTRUTURA!A25</f>
        <v/>
      </c>
      <c r="B25" s="58">
        <f t="shared" si="7"/>
        <v>0</v>
      </c>
      <c r="C25" s="60" t="str">
        <f t="shared" si="4"/>
        <v/>
      </c>
      <c r="D25" s="30" t="str">
        <f t="shared" si="3"/>
        <v/>
      </c>
      <c r="E25" s="60" t="str">
        <f t="shared" si="3"/>
        <v/>
      </c>
      <c r="F25" s="30" t="str">
        <f>IF($A25="","",IF(F$6="NÃO",0,Tabela!$H$34*ESTRUTURA!$I$4))</f>
        <v/>
      </c>
      <c r="G25" s="60" t="str">
        <f t="shared" si="3"/>
        <v/>
      </c>
      <c r="H25" s="30" t="str">
        <f>IF($A25="","",IF(H$6="NÃO",0,IF($A25=0,DATEDIF(ESTRUTURA!$F$3,ESTRUTURA!$F$4,"m")*Tabela!$H$6,Tabela!$H$6)))</f>
        <v/>
      </c>
      <c r="I25" s="60" t="str">
        <f t="shared" si="3"/>
        <v/>
      </c>
      <c r="J25" s="30" t="str">
        <f>IF($A25="","",IF(J$6="NÃO",0,IF($A25=0,DATEDIF(ESTRUTURA!$F$3,ESTRUTURA!$F$4,"m")*Tabela!$H$8,IF(J$6="NÃO",0,Tabela!$H$8))))</f>
        <v/>
      </c>
      <c r="K25" s="60" t="str">
        <f t="shared" si="3"/>
        <v/>
      </c>
      <c r="L25" s="30" t="str">
        <f t="shared" si="3"/>
        <v/>
      </c>
      <c r="M25" s="60" t="str">
        <f t="shared" si="3"/>
        <v/>
      </c>
      <c r="N25" s="30" t="str">
        <f t="shared" si="3"/>
        <v/>
      </c>
      <c r="O25" s="60" t="str">
        <f t="shared" si="3"/>
        <v/>
      </c>
      <c r="P25" s="30" t="str">
        <f t="shared" si="5"/>
        <v/>
      </c>
      <c r="Q25" s="60" t="str">
        <f t="shared" si="3"/>
        <v/>
      </c>
      <c r="R25" s="30" t="str">
        <f t="shared" si="3"/>
        <v/>
      </c>
      <c r="S25" s="60" t="str">
        <f>IF($A25="","",IF(S$6="NÃO",0,IF($A25=0,DATEDIF(ESTRUTURA!$F$3,ESTRUTURA!$F$4,"m")*Tabela!$H$17,Tabela!$H$17)))</f>
        <v/>
      </c>
      <c r="T25" s="30" t="str">
        <f>IF($A25="","",IF(T$6="NÃO",0,IF($A25=0,DATEDIF(ESTRUTURA!$F$3,ESTRUTURA!$F$4,"m")*Tabela!$H$18,Tabela!$H$18)))</f>
        <v/>
      </c>
      <c r="U25" s="60" t="str">
        <f t="shared" si="3"/>
        <v/>
      </c>
      <c r="V25" s="30" t="str">
        <f>IF($A25="","",IF(V$6="NÃO",0,IF($A25=0,DATEDIF(ESTRUTURA!$F$3,ESTRUTURA!$F$4,"m")*Tabela!$H$20,Tabela!$H$20)))</f>
        <v/>
      </c>
      <c r="W25" s="60" t="str">
        <f t="shared" si="6"/>
        <v/>
      </c>
      <c r="X25" s="30" t="str">
        <f t="shared" si="6"/>
        <v/>
      </c>
      <c r="Y25" s="60" t="str">
        <f>IF($A25="","",IF(Y$6="NÃO",0,IF(A25=0,Tabela!$H$23,IF(Y$7="mensal",Tabela!$H$23,IF(AND(MONTH(ESTRUTURA!C25)=MONTH(ESTRUTURA!$F$3),A25&gt;0),Tabela!$H$23,0)))))</f>
        <v/>
      </c>
      <c r="Z25" s="30" t="str">
        <f t="shared" si="6"/>
        <v/>
      </c>
      <c r="AA25" s="60" t="str">
        <f>IF($A25="","",IF(AA$6="NÃO",0,Tabela!$H$25*nm_séries))</f>
        <v/>
      </c>
      <c r="AB25" s="30" t="str">
        <f t="shared" si="6"/>
        <v/>
      </c>
      <c r="AC25" s="60" t="str">
        <f>IF($A25="","",IF(AC$6="NÃO",0,IF(A25=0,Tabela!$H$27,IF(MOD(A25,3)=0,Tabela!$H$27,0))))</f>
        <v/>
      </c>
      <c r="AD25" s="30" t="str">
        <f t="shared" si="6"/>
        <v/>
      </c>
      <c r="AE25" s="60" t="str">
        <f t="shared" si="6"/>
        <v/>
      </c>
      <c r="AF25" s="30" t="str">
        <f>IF($A25="","",IF(AF$6="NÃO",0,IF(AND(MONTH(ESTRUTURA!C25)=MONTH(ESTRUTURA!$F$3),A25&gt;0),Tabela!$H$30,0)))</f>
        <v/>
      </c>
      <c r="AG25" s="60" t="str">
        <f t="shared" si="6"/>
        <v/>
      </c>
      <c r="AH25" s="30" t="str">
        <f t="shared" si="6"/>
        <v/>
      </c>
      <c r="AI25" s="60" t="str">
        <f>IF($A25="","",IF(AI$6="NÃO",0,IF($A25=0,DATEDIF(ESTRUTURA!$F$3,ESTRUTURA!$F$4,"m")*Tabela!$H$33,Tabela!$H$33)))</f>
        <v/>
      </c>
      <c r="AJ25" s="30" t="str">
        <f t="shared" si="6"/>
        <v/>
      </c>
    </row>
    <row r="26" spans="1:36" x14ac:dyDescent="0.2">
      <c r="A26" s="66" t="str">
        <f>ESTRUTURA!A26</f>
        <v/>
      </c>
      <c r="B26" s="58">
        <f t="shared" si="7"/>
        <v>0</v>
      </c>
      <c r="C26" s="60" t="str">
        <f t="shared" si="4"/>
        <v/>
      </c>
      <c r="D26" s="30" t="str">
        <f t="shared" si="3"/>
        <v/>
      </c>
      <c r="E26" s="60" t="str">
        <f t="shared" si="3"/>
        <v/>
      </c>
      <c r="F26" s="30" t="str">
        <f>IF($A26="","",IF(F$6="NÃO",0,Tabela!$H$34*ESTRUTURA!$I$4))</f>
        <v/>
      </c>
      <c r="G26" s="60" t="str">
        <f t="shared" si="3"/>
        <v/>
      </c>
      <c r="H26" s="30" t="str">
        <f>IF($A26="","",IF(H$6="NÃO",0,IF($A26=0,DATEDIF(ESTRUTURA!$F$3,ESTRUTURA!$F$4,"m")*Tabela!$H$6,Tabela!$H$6)))</f>
        <v/>
      </c>
      <c r="I26" s="60" t="str">
        <f t="shared" si="3"/>
        <v/>
      </c>
      <c r="J26" s="30" t="str">
        <f>IF($A26="","",IF(J$6="NÃO",0,IF($A26=0,DATEDIF(ESTRUTURA!$F$3,ESTRUTURA!$F$4,"m")*Tabela!$H$8,IF(J$6="NÃO",0,Tabela!$H$8))))</f>
        <v/>
      </c>
      <c r="K26" s="60" t="str">
        <f t="shared" si="3"/>
        <v/>
      </c>
      <c r="L26" s="30" t="str">
        <f t="shared" si="3"/>
        <v/>
      </c>
      <c r="M26" s="60" t="str">
        <f t="shared" si="3"/>
        <v/>
      </c>
      <c r="N26" s="30" t="str">
        <f t="shared" si="3"/>
        <v/>
      </c>
      <c r="O26" s="60" t="str">
        <f t="shared" si="3"/>
        <v/>
      </c>
      <c r="P26" s="30" t="str">
        <f t="shared" si="5"/>
        <v/>
      </c>
      <c r="Q26" s="60" t="str">
        <f t="shared" si="3"/>
        <v/>
      </c>
      <c r="R26" s="30" t="str">
        <f t="shared" si="3"/>
        <v/>
      </c>
      <c r="S26" s="60" t="str">
        <f>IF($A26="","",IF(S$6="NÃO",0,IF($A26=0,DATEDIF(ESTRUTURA!$F$3,ESTRUTURA!$F$4,"m")*Tabela!$H$17,Tabela!$H$17)))</f>
        <v/>
      </c>
      <c r="T26" s="30" t="str">
        <f>IF($A26="","",IF(T$6="NÃO",0,IF($A26=0,DATEDIF(ESTRUTURA!$F$3,ESTRUTURA!$F$4,"m")*Tabela!$H$18,Tabela!$H$18)))</f>
        <v/>
      </c>
      <c r="U26" s="60" t="str">
        <f t="shared" ref="U26:AJ41" si="8">IF($A26="","",IF(U$6="NÃO",0,0))</f>
        <v/>
      </c>
      <c r="V26" s="30" t="str">
        <f>IF($A26="","",IF(V$6="NÃO",0,IF($A26=0,DATEDIF(ESTRUTURA!$F$3,ESTRUTURA!$F$4,"m")*Tabela!$H$20,Tabela!$H$20)))</f>
        <v/>
      </c>
      <c r="W26" s="60" t="str">
        <f t="shared" si="6"/>
        <v/>
      </c>
      <c r="X26" s="30" t="str">
        <f t="shared" si="6"/>
        <v/>
      </c>
      <c r="Y26" s="60" t="str">
        <f>IF($A26="","",IF(Y$6="NÃO",0,IF(A26=0,Tabela!$H$23,IF(Y$7="mensal",Tabela!$H$23,IF(AND(MONTH(ESTRUTURA!C26)=MONTH(ESTRUTURA!$F$3),A26&gt;0),Tabela!$H$23,0)))))</f>
        <v/>
      </c>
      <c r="Z26" s="30" t="str">
        <f t="shared" si="6"/>
        <v/>
      </c>
      <c r="AA26" s="60" t="str">
        <f>IF($A26="","",IF(AA$6="NÃO",0,Tabela!$H$25*nm_séries))</f>
        <v/>
      </c>
      <c r="AB26" s="30" t="str">
        <f t="shared" si="6"/>
        <v/>
      </c>
      <c r="AC26" s="60" t="str">
        <f>IF($A26="","",IF(AC$6="NÃO",0,IF(A26=0,Tabela!$H$27,IF(MOD(A26,3)=0,Tabela!$H$27,0))))</f>
        <v/>
      </c>
      <c r="AD26" s="30" t="str">
        <f t="shared" si="6"/>
        <v/>
      </c>
      <c r="AE26" s="60" t="str">
        <f t="shared" si="6"/>
        <v/>
      </c>
      <c r="AF26" s="30" t="str">
        <f>IF($A26="","",IF(AF$6="NÃO",0,IF(AND(MONTH(ESTRUTURA!C26)=MONTH(ESTRUTURA!$F$3),A26&gt;0),Tabela!$H$30,0)))</f>
        <v/>
      </c>
      <c r="AG26" s="60" t="str">
        <f t="shared" si="6"/>
        <v/>
      </c>
      <c r="AH26" s="30" t="str">
        <f t="shared" si="6"/>
        <v/>
      </c>
      <c r="AI26" s="60" t="str">
        <f>IF($A26="","",IF(AI$6="NÃO",0,IF($A26=0,DATEDIF(ESTRUTURA!$F$3,ESTRUTURA!$F$4,"m")*Tabela!$H$33,Tabela!$H$33)))</f>
        <v/>
      </c>
      <c r="AJ26" s="30" t="str">
        <f t="shared" si="6"/>
        <v/>
      </c>
    </row>
    <row r="27" spans="1:36" x14ac:dyDescent="0.2">
      <c r="A27" s="66" t="str">
        <f>ESTRUTURA!A27</f>
        <v/>
      </c>
      <c r="B27" s="58">
        <f t="shared" si="7"/>
        <v>0</v>
      </c>
      <c r="C27" s="60" t="str">
        <f t="shared" si="4"/>
        <v/>
      </c>
      <c r="D27" s="30" t="str">
        <f t="shared" si="4"/>
        <v/>
      </c>
      <c r="E27" s="60" t="str">
        <f t="shared" si="4"/>
        <v/>
      </c>
      <c r="F27" s="30" t="str">
        <f>IF($A27="","",IF(F$6="NÃO",0,Tabela!$H$34*ESTRUTURA!$I$4))</f>
        <v/>
      </c>
      <c r="G27" s="60" t="str">
        <f t="shared" si="4"/>
        <v/>
      </c>
      <c r="H27" s="30" t="str">
        <f>IF($A27="","",IF(H$6="NÃO",0,IF($A27=0,DATEDIF(ESTRUTURA!$F$3,ESTRUTURA!$F$4,"m")*Tabela!$H$6,Tabela!$H$6)))</f>
        <v/>
      </c>
      <c r="I27" s="60" t="str">
        <f t="shared" si="4"/>
        <v/>
      </c>
      <c r="J27" s="30" t="str">
        <f>IF($A27="","",IF(J$6="NÃO",0,IF($A27=0,DATEDIF(ESTRUTURA!$F$3,ESTRUTURA!$F$4,"m")*Tabela!$H$8,IF(J$6="NÃO",0,Tabela!$H$8))))</f>
        <v/>
      </c>
      <c r="K27" s="60" t="str">
        <f t="shared" si="4"/>
        <v/>
      </c>
      <c r="L27" s="30" t="str">
        <f t="shared" si="4"/>
        <v/>
      </c>
      <c r="M27" s="60" t="str">
        <f t="shared" si="4"/>
        <v/>
      </c>
      <c r="N27" s="30" t="str">
        <f t="shared" si="4"/>
        <v/>
      </c>
      <c r="O27" s="60" t="str">
        <f t="shared" si="4"/>
        <v/>
      </c>
      <c r="P27" s="30" t="str">
        <f t="shared" si="4"/>
        <v/>
      </c>
      <c r="Q27" s="60" t="str">
        <f t="shared" si="4"/>
        <v/>
      </c>
      <c r="R27" s="30" t="str">
        <f t="shared" si="4"/>
        <v/>
      </c>
      <c r="S27" s="60" t="str">
        <f>IF($A27="","",IF(S$6="NÃO",0,IF($A27=0,DATEDIF(ESTRUTURA!$F$3,ESTRUTURA!$F$4,"m")*Tabela!$H$17,Tabela!$H$17)))</f>
        <v/>
      </c>
      <c r="T27" s="30" t="str">
        <f>IF($A27="","",IF(T$6="NÃO",0,IF($A27=0,DATEDIF(ESTRUTURA!$F$3,ESTRUTURA!$F$4,"m")*Tabela!$H$18,Tabela!$H$18)))</f>
        <v/>
      </c>
      <c r="U27" s="60" t="str">
        <f t="shared" si="8"/>
        <v/>
      </c>
      <c r="V27" s="30" t="str">
        <f>IF($A27="","",IF(V$6="NÃO",0,IF($A27=0,DATEDIF(ESTRUTURA!$F$3,ESTRUTURA!$F$4,"m")*Tabela!$H$20,Tabela!$H$20)))</f>
        <v/>
      </c>
      <c r="W27" s="60" t="str">
        <f t="shared" si="8"/>
        <v/>
      </c>
      <c r="X27" s="30" t="str">
        <f t="shared" si="8"/>
        <v/>
      </c>
      <c r="Y27" s="60" t="str">
        <f>IF($A27="","",IF(Y$6="NÃO",0,IF(A27=0,Tabela!$H$23,IF(Y$7="mensal",Tabela!$H$23,IF(AND(MONTH(ESTRUTURA!C27)=MONTH(ESTRUTURA!$F$3),A27&gt;0),Tabela!$H$23,0)))))</f>
        <v/>
      </c>
      <c r="Z27" s="30" t="str">
        <f t="shared" si="8"/>
        <v/>
      </c>
      <c r="AA27" s="60" t="str">
        <f>IF($A27="","",IF(AA$6="NÃO",0,Tabela!$H$25*nm_séries))</f>
        <v/>
      </c>
      <c r="AB27" s="30" t="str">
        <f t="shared" si="8"/>
        <v/>
      </c>
      <c r="AC27" s="60" t="str">
        <f>IF($A27="","",IF(AC$6="NÃO",0,IF(A27=0,Tabela!$H$27,IF(MOD(A27,3)=0,Tabela!$H$27,0))))</f>
        <v/>
      </c>
      <c r="AD27" s="30" t="str">
        <f t="shared" si="8"/>
        <v/>
      </c>
      <c r="AE27" s="60" t="str">
        <f t="shared" si="8"/>
        <v/>
      </c>
      <c r="AF27" s="30" t="str">
        <f>IF($A27="","",IF(AF$6="NÃO",0,IF(AND(MONTH(ESTRUTURA!C27)=MONTH(ESTRUTURA!$F$3),A27&gt;0),Tabela!$H$30,0)))</f>
        <v/>
      </c>
      <c r="AG27" s="60" t="str">
        <f t="shared" si="8"/>
        <v/>
      </c>
      <c r="AH27" s="30" t="str">
        <f t="shared" si="8"/>
        <v/>
      </c>
      <c r="AI27" s="60" t="str">
        <f>IF($A27="","",IF(AI$6="NÃO",0,IF($A27=0,DATEDIF(ESTRUTURA!$F$3,ESTRUTURA!$F$4,"m")*Tabela!$H$33,Tabela!$H$33)))</f>
        <v/>
      </c>
      <c r="AJ27" s="30" t="str">
        <f t="shared" si="8"/>
        <v/>
      </c>
    </row>
    <row r="28" spans="1:36" x14ac:dyDescent="0.2">
      <c r="A28" s="66" t="str">
        <f>ESTRUTURA!A28</f>
        <v/>
      </c>
      <c r="B28" s="58">
        <f t="shared" si="7"/>
        <v>0</v>
      </c>
      <c r="C28" s="60" t="str">
        <f t="shared" ref="C28:R43" si="9">IF($A28="","",IF(C$6="NÃO",0,0))</f>
        <v/>
      </c>
      <c r="D28" s="30" t="str">
        <f t="shared" si="9"/>
        <v/>
      </c>
      <c r="E28" s="60" t="str">
        <f t="shared" si="9"/>
        <v/>
      </c>
      <c r="F28" s="30" t="str">
        <f>IF($A28="","",IF(F$6="NÃO",0,Tabela!$H$34*ESTRUTURA!$I$4))</f>
        <v/>
      </c>
      <c r="G28" s="60" t="str">
        <f t="shared" si="9"/>
        <v/>
      </c>
      <c r="H28" s="30" t="str">
        <f>IF($A28="","",IF(H$6="NÃO",0,IF($A28=0,DATEDIF(ESTRUTURA!$F$3,ESTRUTURA!$F$4,"m")*Tabela!$H$6,Tabela!$H$6)))</f>
        <v/>
      </c>
      <c r="I28" s="60" t="str">
        <f t="shared" si="9"/>
        <v/>
      </c>
      <c r="J28" s="30" t="str">
        <f>IF($A28="","",IF(J$6="NÃO",0,IF($A28=0,DATEDIF(ESTRUTURA!$F$3,ESTRUTURA!$F$4,"m")*Tabela!$H$8,IF(J$6="NÃO",0,Tabela!$H$8))))</f>
        <v/>
      </c>
      <c r="K28" s="60" t="str">
        <f t="shared" si="9"/>
        <v/>
      </c>
      <c r="L28" s="30" t="str">
        <f t="shared" si="9"/>
        <v/>
      </c>
      <c r="M28" s="60" t="str">
        <f t="shared" si="9"/>
        <v/>
      </c>
      <c r="N28" s="30" t="str">
        <f t="shared" si="9"/>
        <v/>
      </c>
      <c r="O28" s="60" t="str">
        <f t="shared" si="9"/>
        <v/>
      </c>
      <c r="P28" s="30" t="str">
        <f t="shared" ref="P28:P43" si="10">IF($A28="","",IF(P$6="NÃO",0,0))</f>
        <v/>
      </c>
      <c r="Q28" s="60" t="str">
        <f t="shared" si="9"/>
        <v/>
      </c>
      <c r="R28" s="30" t="str">
        <f t="shared" si="9"/>
        <v/>
      </c>
      <c r="S28" s="60" t="str">
        <f>IF($A28="","",IF(S$6="NÃO",0,IF($A28=0,DATEDIF(ESTRUTURA!$F$3,ESTRUTURA!$F$4,"m")*Tabela!$H$17,Tabela!$H$17)))</f>
        <v/>
      </c>
      <c r="T28" s="30" t="str">
        <f>IF($A28="","",IF(T$6="NÃO",0,IF($A28=0,DATEDIF(ESTRUTURA!$F$3,ESTRUTURA!$F$4,"m")*Tabela!$H$18,Tabela!$H$18)))</f>
        <v/>
      </c>
      <c r="U28" s="60" t="str">
        <f t="shared" si="8"/>
        <v/>
      </c>
      <c r="V28" s="30" t="str">
        <f>IF($A28="","",IF(V$6="NÃO",0,IF($A28=0,DATEDIF(ESTRUTURA!$F$3,ESTRUTURA!$F$4,"m")*Tabela!$H$20,Tabela!$H$20)))</f>
        <v/>
      </c>
      <c r="W28" s="60" t="str">
        <f t="shared" si="8"/>
        <v/>
      </c>
      <c r="X28" s="30" t="str">
        <f t="shared" si="8"/>
        <v/>
      </c>
      <c r="Y28" s="60" t="str">
        <f>IF($A28="","",IF(Y$6="NÃO",0,IF(A28=0,Tabela!$H$23,IF(Y$7="mensal",Tabela!$H$23,IF(AND(MONTH(ESTRUTURA!C28)=MONTH(ESTRUTURA!$F$3),A28&gt;0),Tabela!$H$23,0)))))</f>
        <v/>
      </c>
      <c r="Z28" s="30" t="str">
        <f t="shared" si="8"/>
        <v/>
      </c>
      <c r="AA28" s="60" t="str">
        <f>IF($A28="","",IF(AA$6="NÃO",0,Tabela!$H$25*nm_séries))</f>
        <v/>
      </c>
      <c r="AB28" s="30" t="str">
        <f t="shared" si="8"/>
        <v/>
      </c>
      <c r="AC28" s="60" t="str">
        <f>IF($A28="","",IF(AC$6="NÃO",0,IF(A28=0,Tabela!$H$27,IF(MOD(A28,3)=0,Tabela!$H$27,0))))</f>
        <v/>
      </c>
      <c r="AD28" s="30" t="str">
        <f t="shared" si="8"/>
        <v/>
      </c>
      <c r="AE28" s="60" t="str">
        <f t="shared" si="8"/>
        <v/>
      </c>
      <c r="AF28" s="30" t="str">
        <f>IF($A28="","",IF(AF$6="NÃO",0,IF(AND(MONTH(ESTRUTURA!C28)=MONTH(ESTRUTURA!$F$3),A28&gt;0),Tabela!$H$30,0)))</f>
        <v/>
      </c>
      <c r="AG28" s="60" t="str">
        <f t="shared" si="8"/>
        <v/>
      </c>
      <c r="AH28" s="30" t="str">
        <f t="shared" si="8"/>
        <v/>
      </c>
      <c r="AI28" s="60" t="str">
        <f>IF($A28="","",IF(AI$6="NÃO",0,IF($A28=0,DATEDIF(ESTRUTURA!$F$3,ESTRUTURA!$F$4,"m")*Tabela!$H$33,Tabela!$H$33)))</f>
        <v/>
      </c>
      <c r="AJ28" s="30" t="str">
        <f t="shared" si="8"/>
        <v/>
      </c>
    </row>
    <row r="29" spans="1:36" x14ac:dyDescent="0.2">
      <c r="A29" s="66" t="str">
        <f>ESTRUTURA!A29</f>
        <v/>
      </c>
      <c r="B29" s="58">
        <f t="shared" si="7"/>
        <v>0</v>
      </c>
      <c r="C29" s="60" t="str">
        <f t="shared" si="9"/>
        <v/>
      </c>
      <c r="D29" s="30" t="str">
        <f t="shared" si="9"/>
        <v/>
      </c>
      <c r="E29" s="60" t="str">
        <f t="shared" si="9"/>
        <v/>
      </c>
      <c r="F29" s="30" t="str">
        <f>IF($A29="","",IF(F$6="NÃO",0,Tabela!$H$34*ESTRUTURA!$I$4))</f>
        <v/>
      </c>
      <c r="G29" s="60" t="str">
        <f t="shared" si="9"/>
        <v/>
      </c>
      <c r="H29" s="30" t="str">
        <f>IF($A29="","",IF(H$6="NÃO",0,IF($A29=0,DATEDIF(ESTRUTURA!$F$3,ESTRUTURA!$F$4,"m")*Tabela!$H$6,Tabela!$H$6)))</f>
        <v/>
      </c>
      <c r="I29" s="60" t="str">
        <f t="shared" si="9"/>
        <v/>
      </c>
      <c r="J29" s="30" t="str">
        <f>IF($A29="","",IF(J$6="NÃO",0,IF($A29=0,DATEDIF(ESTRUTURA!$F$3,ESTRUTURA!$F$4,"m")*Tabela!$H$8,IF(J$6="NÃO",0,Tabela!$H$8))))</f>
        <v/>
      </c>
      <c r="K29" s="60" t="str">
        <f t="shared" si="9"/>
        <v/>
      </c>
      <c r="L29" s="30" t="str">
        <f t="shared" si="9"/>
        <v/>
      </c>
      <c r="M29" s="60" t="str">
        <f t="shared" si="9"/>
        <v/>
      </c>
      <c r="N29" s="30" t="str">
        <f t="shared" si="9"/>
        <v/>
      </c>
      <c r="O29" s="60" t="str">
        <f t="shared" si="9"/>
        <v/>
      </c>
      <c r="P29" s="30" t="str">
        <f t="shared" si="10"/>
        <v/>
      </c>
      <c r="Q29" s="60" t="str">
        <f t="shared" si="9"/>
        <v/>
      </c>
      <c r="R29" s="30" t="str">
        <f t="shared" si="9"/>
        <v/>
      </c>
      <c r="S29" s="60" t="str">
        <f>IF($A29="","",IF(S$6="NÃO",0,IF($A29=0,DATEDIF(ESTRUTURA!$F$3,ESTRUTURA!$F$4,"m")*Tabela!$H$17,Tabela!$H$17)))</f>
        <v/>
      </c>
      <c r="T29" s="30" t="str">
        <f>IF($A29="","",IF(T$6="NÃO",0,IF($A29=0,DATEDIF(ESTRUTURA!$F$3,ESTRUTURA!$F$4,"m")*Tabela!$H$18,Tabela!$H$18)))</f>
        <v/>
      </c>
      <c r="U29" s="60" t="str">
        <f t="shared" si="8"/>
        <v/>
      </c>
      <c r="V29" s="30" t="str">
        <f>IF($A29="","",IF(V$6="NÃO",0,IF($A29=0,DATEDIF(ESTRUTURA!$F$3,ESTRUTURA!$F$4,"m")*Tabela!$H$20,Tabela!$H$20)))</f>
        <v/>
      </c>
      <c r="W29" s="60" t="str">
        <f t="shared" si="8"/>
        <v/>
      </c>
      <c r="X29" s="30" t="str">
        <f t="shared" si="8"/>
        <v/>
      </c>
      <c r="Y29" s="60" t="str">
        <f>IF($A29="","",IF(Y$6="NÃO",0,IF(A29=0,Tabela!$H$23,IF(Y$7="mensal",Tabela!$H$23,IF(AND(MONTH(ESTRUTURA!C29)=MONTH(ESTRUTURA!$F$3),A29&gt;0),Tabela!$H$23,0)))))</f>
        <v/>
      </c>
      <c r="Z29" s="30" t="str">
        <f t="shared" si="8"/>
        <v/>
      </c>
      <c r="AA29" s="60" t="str">
        <f>IF($A29="","",IF(AA$6="NÃO",0,Tabela!$H$25*nm_séries))</f>
        <v/>
      </c>
      <c r="AB29" s="30" t="str">
        <f t="shared" si="8"/>
        <v/>
      </c>
      <c r="AC29" s="60" t="str">
        <f>IF($A29="","",IF(AC$6="NÃO",0,IF(A29=0,Tabela!$H$27,IF(MOD(A29,3)=0,Tabela!$H$27,0))))</f>
        <v/>
      </c>
      <c r="AD29" s="30" t="str">
        <f t="shared" si="8"/>
        <v/>
      </c>
      <c r="AE29" s="60" t="str">
        <f t="shared" si="8"/>
        <v/>
      </c>
      <c r="AF29" s="30" t="str">
        <f>IF($A29="","",IF(AF$6="NÃO",0,IF(AND(MONTH(ESTRUTURA!C29)=MONTH(ESTRUTURA!$F$3),A29&gt;0),Tabela!$H$30,0)))</f>
        <v/>
      </c>
      <c r="AG29" s="60" t="str">
        <f t="shared" si="8"/>
        <v/>
      </c>
      <c r="AH29" s="30" t="str">
        <f t="shared" si="8"/>
        <v/>
      </c>
      <c r="AI29" s="60" t="str">
        <f>IF($A29="","",IF(AI$6="NÃO",0,IF($A29=0,DATEDIF(ESTRUTURA!$F$3,ESTRUTURA!$F$4,"m")*Tabela!$H$33,Tabela!$H$33)))</f>
        <v/>
      </c>
      <c r="AJ29" s="30" t="str">
        <f t="shared" si="8"/>
        <v/>
      </c>
    </row>
    <row r="30" spans="1:36" x14ac:dyDescent="0.2">
      <c r="A30" s="66" t="str">
        <f>ESTRUTURA!A30</f>
        <v/>
      </c>
      <c r="B30" s="58">
        <f t="shared" si="7"/>
        <v>0</v>
      </c>
      <c r="C30" s="60" t="str">
        <f t="shared" si="9"/>
        <v/>
      </c>
      <c r="D30" s="30" t="str">
        <f t="shared" si="9"/>
        <v/>
      </c>
      <c r="E30" s="60" t="str">
        <f t="shared" si="9"/>
        <v/>
      </c>
      <c r="F30" s="30" t="str">
        <f>IF($A30="","",IF(F$6="NÃO",0,Tabela!$H$34*ESTRUTURA!$I$4))</f>
        <v/>
      </c>
      <c r="G30" s="60" t="str">
        <f t="shared" si="9"/>
        <v/>
      </c>
      <c r="H30" s="30" t="str">
        <f>IF($A30="","",IF(H$6="NÃO",0,IF($A30=0,DATEDIF(ESTRUTURA!$F$3,ESTRUTURA!$F$4,"m")*Tabela!$H$6,Tabela!$H$6)))</f>
        <v/>
      </c>
      <c r="I30" s="60" t="str">
        <f t="shared" si="9"/>
        <v/>
      </c>
      <c r="J30" s="30" t="str">
        <f>IF($A30="","",IF(J$6="NÃO",0,IF($A30=0,DATEDIF(ESTRUTURA!$F$3,ESTRUTURA!$F$4,"m")*Tabela!$H$8,IF(J$6="NÃO",0,Tabela!$H$8))))</f>
        <v/>
      </c>
      <c r="K30" s="60" t="str">
        <f t="shared" si="9"/>
        <v/>
      </c>
      <c r="L30" s="30" t="str">
        <f t="shared" si="9"/>
        <v/>
      </c>
      <c r="M30" s="60" t="str">
        <f t="shared" si="9"/>
        <v/>
      </c>
      <c r="N30" s="30" t="str">
        <f t="shared" si="9"/>
        <v/>
      </c>
      <c r="O30" s="60" t="str">
        <f t="shared" si="9"/>
        <v/>
      </c>
      <c r="P30" s="30" t="str">
        <f t="shared" si="10"/>
        <v/>
      </c>
      <c r="Q30" s="60" t="str">
        <f t="shared" si="9"/>
        <v/>
      </c>
      <c r="R30" s="30" t="str">
        <f t="shared" si="9"/>
        <v/>
      </c>
      <c r="S30" s="60" t="str">
        <f>IF($A30="","",IF(S$6="NÃO",0,IF($A30=0,DATEDIF(ESTRUTURA!$F$3,ESTRUTURA!$F$4,"m")*Tabela!$H$17,Tabela!$H$17)))</f>
        <v/>
      </c>
      <c r="T30" s="30" t="str">
        <f>IF($A30="","",IF(T$6="NÃO",0,IF($A30=0,DATEDIF(ESTRUTURA!$F$3,ESTRUTURA!$F$4,"m")*Tabela!$H$18,Tabela!$H$18)))</f>
        <v/>
      </c>
      <c r="U30" s="60" t="str">
        <f t="shared" si="8"/>
        <v/>
      </c>
      <c r="V30" s="30" t="str">
        <f>IF($A30="","",IF(V$6="NÃO",0,IF($A30=0,DATEDIF(ESTRUTURA!$F$3,ESTRUTURA!$F$4,"m")*Tabela!$H$20,Tabela!$H$20)))</f>
        <v/>
      </c>
      <c r="W30" s="60" t="str">
        <f t="shared" si="8"/>
        <v/>
      </c>
      <c r="X30" s="30" t="str">
        <f t="shared" si="8"/>
        <v/>
      </c>
      <c r="Y30" s="60" t="str">
        <f>IF($A30="","",IF(Y$6="NÃO",0,IF(A30=0,Tabela!$H$23,IF(Y$7="mensal",Tabela!$H$23,IF(AND(MONTH(ESTRUTURA!C30)=MONTH(ESTRUTURA!$F$3),A30&gt;0),Tabela!$H$23,0)))))</f>
        <v/>
      </c>
      <c r="Z30" s="30" t="str">
        <f t="shared" si="8"/>
        <v/>
      </c>
      <c r="AA30" s="60" t="str">
        <f>IF($A30="","",IF(AA$6="NÃO",0,Tabela!$H$25*nm_séries))</f>
        <v/>
      </c>
      <c r="AB30" s="30" t="str">
        <f t="shared" si="8"/>
        <v/>
      </c>
      <c r="AC30" s="60" t="str">
        <f>IF($A30="","",IF(AC$6="NÃO",0,IF(A30=0,Tabela!$H$27,IF(MOD(A30,3)=0,Tabela!$H$27,0))))</f>
        <v/>
      </c>
      <c r="AD30" s="30" t="str">
        <f t="shared" si="8"/>
        <v/>
      </c>
      <c r="AE30" s="60" t="str">
        <f t="shared" si="8"/>
        <v/>
      </c>
      <c r="AF30" s="30" t="str">
        <f>IF($A30="","",IF(AF$6="NÃO",0,IF(AND(MONTH(ESTRUTURA!C30)=MONTH(ESTRUTURA!$F$3),A30&gt;0),Tabela!$H$30,0)))</f>
        <v/>
      </c>
      <c r="AG30" s="60" t="str">
        <f t="shared" si="8"/>
        <v/>
      </c>
      <c r="AH30" s="30" t="str">
        <f t="shared" si="8"/>
        <v/>
      </c>
      <c r="AI30" s="60" t="str">
        <f>IF($A30="","",IF(AI$6="NÃO",0,IF($A30=0,DATEDIF(ESTRUTURA!$F$3,ESTRUTURA!$F$4,"m")*Tabela!$H$33,Tabela!$H$33)))</f>
        <v/>
      </c>
      <c r="AJ30" s="30" t="str">
        <f t="shared" si="8"/>
        <v/>
      </c>
    </row>
    <row r="31" spans="1:36" x14ac:dyDescent="0.2">
      <c r="A31" s="66" t="str">
        <f>ESTRUTURA!A31</f>
        <v/>
      </c>
      <c r="B31" s="58">
        <f t="shared" si="7"/>
        <v>0</v>
      </c>
      <c r="C31" s="60" t="str">
        <f t="shared" si="9"/>
        <v/>
      </c>
      <c r="D31" s="30" t="str">
        <f t="shared" si="9"/>
        <v/>
      </c>
      <c r="E31" s="60" t="str">
        <f t="shared" si="9"/>
        <v/>
      </c>
      <c r="F31" s="30" t="str">
        <f>IF($A31="","",IF(F$6="NÃO",0,Tabela!$H$34*ESTRUTURA!$I$4))</f>
        <v/>
      </c>
      <c r="G31" s="60" t="str">
        <f t="shared" si="9"/>
        <v/>
      </c>
      <c r="H31" s="30" t="str">
        <f>IF($A31="","",IF(H$6="NÃO",0,IF($A31=0,DATEDIF(ESTRUTURA!$F$3,ESTRUTURA!$F$4,"m")*Tabela!$H$6,Tabela!$H$6)))</f>
        <v/>
      </c>
      <c r="I31" s="60" t="str">
        <f t="shared" si="9"/>
        <v/>
      </c>
      <c r="J31" s="30" t="str">
        <f>IF($A31="","",IF(J$6="NÃO",0,IF($A31=0,DATEDIF(ESTRUTURA!$F$3,ESTRUTURA!$F$4,"m")*Tabela!$H$8,IF(J$6="NÃO",0,Tabela!$H$8))))</f>
        <v/>
      </c>
      <c r="K31" s="60" t="str">
        <f t="shared" si="9"/>
        <v/>
      </c>
      <c r="L31" s="30" t="str">
        <f t="shared" si="9"/>
        <v/>
      </c>
      <c r="M31" s="60" t="str">
        <f t="shared" si="9"/>
        <v/>
      </c>
      <c r="N31" s="30" t="str">
        <f t="shared" si="9"/>
        <v/>
      </c>
      <c r="O31" s="60" t="str">
        <f t="shared" si="9"/>
        <v/>
      </c>
      <c r="P31" s="30" t="str">
        <f t="shared" si="10"/>
        <v/>
      </c>
      <c r="Q31" s="60" t="str">
        <f t="shared" si="9"/>
        <v/>
      </c>
      <c r="R31" s="30" t="str">
        <f t="shared" si="9"/>
        <v/>
      </c>
      <c r="S31" s="60" t="str">
        <f>IF($A31="","",IF(S$6="NÃO",0,IF($A31=0,DATEDIF(ESTRUTURA!$F$3,ESTRUTURA!$F$4,"m")*Tabela!$H$17,Tabela!$H$17)))</f>
        <v/>
      </c>
      <c r="T31" s="30" t="str">
        <f>IF($A31="","",IF(T$6="NÃO",0,IF($A31=0,DATEDIF(ESTRUTURA!$F$3,ESTRUTURA!$F$4,"m")*Tabela!$H$18,Tabela!$H$18)))</f>
        <v/>
      </c>
      <c r="U31" s="60" t="str">
        <f t="shared" si="8"/>
        <v/>
      </c>
      <c r="V31" s="30" t="str">
        <f>IF($A31="","",IF(V$6="NÃO",0,IF($A31=0,DATEDIF(ESTRUTURA!$F$3,ESTRUTURA!$F$4,"m")*Tabela!$H$20,Tabela!$H$20)))</f>
        <v/>
      </c>
      <c r="W31" s="60" t="str">
        <f t="shared" si="8"/>
        <v/>
      </c>
      <c r="X31" s="30" t="str">
        <f t="shared" si="8"/>
        <v/>
      </c>
      <c r="Y31" s="60" t="str">
        <f>IF($A31="","",IF(Y$6="NÃO",0,IF(A31=0,Tabela!$H$23,IF(Y$7="mensal",Tabela!$H$23,IF(AND(MONTH(ESTRUTURA!C31)=MONTH(ESTRUTURA!$F$3),A31&gt;0),Tabela!$H$23,0)))))</f>
        <v/>
      </c>
      <c r="Z31" s="30" t="str">
        <f t="shared" si="8"/>
        <v/>
      </c>
      <c r="AA31" s="60" t="str">
        <f>IF($A31="","",IF(AA$6="NÃO",0,Tabela!$H$25*nm_séries))</f>
        <v/>
      </c>
      <c r="AB31" s="30" t="str">
        <f t="shared" si="8"/>
        <v/>
      </c>
      <c r="AC31" s="60" t="str">
        <f>IF($A31="","",IF(AC$6="NÃO",0,IF(A31=0,Tabela!$H$27,IF(MOD(A31,3)=0,Tabela!$H$27,0))))</f>
        <v/>
      </c>
      <c r="AD31" s="30" t="str">
        <f t="shared" si="8"/>
        <v/>
      </c>
      <c r="AE31" s="60" t="str">
        <f t="shared" si="8"/>
        <v/>
      </c>
      <c r="AF31" s="30" t="str">
        <f>IF($A31="","",IF(AF$6="NÃO",0,IF(AND(MONTH(ESTRUTURA!C31)=MONTH(ESTRUTURA!$F$3),A31&gt;0),Tabela!$H$30,0)))</f>
        <v/>
      </c>
      <c r="AG31" s="60" t="str">
        <f t="shared" si="8"/>
        <v/>
      </c>
      <c r="AH31" s="30" t="str">
        <f t="shared" si="8"/>
        <v/>
      </c>
      <c r="AI31" s="60" t="str">
        <f>IF($A31="","",IF(AI$6="NÃO",0,IF($A31=0,DATEDIF(ESTRUTURA!$F$3,ESTRUTURA!$F$4,"m")*Tabela!$H$33,Tabela!$H$33)))</f>
        <v/>
      </c>
      <c r="AJ31" s="30" t="str">
        <f t="shared" si="8"/>
        <v/>
      </c>
    </row>
    <row r="32" spans="1:36" x14ac:dyDescent="0.2">
      <c r="A32" s="66" t="str">
        <f>ESTRUTURA!A32</f>
        <v/>
      </c>
      <c r="B32" s="58">
        <f t="shared" si="7"/>
        <v>0</v>
      </c>
      <c r="C32" s="60" t="str">
        <f t="shared" si="9"/>
        <v/>
      </c>
      <c r="D32" s="30" t="str">
        <f t="shared" si="9"/>
        <v/>
      </c>
      <c r="E32" s="60" t="str">
        <f t="shared" si="9"/>
        <v/>
      </c>
      <c r="F32" s="30" t="str">
        <f>IF($A32="","",IF(F$6="NÃO",0,Tabela!$H$34*ESTRUTURA!$I$4))</f>
        <v/>
      </c>
      <c r="G32" s="60" t="str">
        <f t="shared" si="9"/>
        <v/>
      </c>
      <c r="H32" s="30" t="str">
        <f>IF($A32="","",IF(H$6="NÃO",0,IF($A32=0,DATEDIF(ESTRUTURA!$F$3,ESTRUTURA!$F$4,"m")*Tabela!$H$6,Tabela!$H$6)))</f>
        <v/>
      </c>
      <c r="I32" s="60" t="str">
        <f t="shared" si="9"/>
        <v/>
      </c>
      <c r="J32" s="30" t="str">
        <f>IF($A32="","",IF(J$6="NÃO",0,IF($A32=0,DATEDIF(ESTRUTURA!$F$3,ESTRUTURA!$F$4,"m")*Tabela!$H$8,IF(J$6="NÃO",0,Tabela!$H$8))))</f>
        <v/>
      </c>
      <c r="K32" s="60" t="str">
        <f t="shared" si="9"/>
        <v/>
      </c>
      <c r="L32" s="30" t="str">
        <f t="shared" si="9"/>
        <v/>
      </c>
      <c r="M32" s="60" t="str">
        <f t="shared" si="9"/>
        <v/>
      </c>
      <c r="N32" s="30" t="str">
        <f t="shared" si="9"/>
        <v/>
      </c>
      <c r="O32" s="60" t="str">
        <f t="shared" si="9"/>
        <v/>
      </c>
      <c r="P32" s="30" t="str">
        <f t="shared" si="10"/>
        <v/>
      </c>
      <c r="Q32" s="60" t="str">
        <f t="shared" si="9"/>
        <v/>
      </c>
      <c r="R32" s="30" t="str">
        <f t="shared" si="9"/>
        <v/>
      </c>
      <c r="S32" s="60" t="str">
        <f>IF($A32="","",IF(S$6="NÃO",0,IF($A32=0,DATEDIF(ESTRUTURA!$F$3,ESTRUTURA!$F$4,"m")*Tabela!$H$17,Tabela!$H$17)))</f>
        <v/>
      </c>
      <c r="T32" s="30" t="str">
        <f>IF($A32="","",IF(T$6="NÃO",0,IF($A32=0,DATEDIF(ESTRUTURA!$F$3,ESTRUTURA!$F$4,"m")*Tabela!$H$18,Tabela!$H$18)))</f>
        <v/>
      </c>
      <c r="U32" s="60" t="str">
        <f t="shared" si="8"/>
        <v/>
      </c>
      <c r="V32" s="30" t="str">
        <f>IF($A32="","",IF(V$6="NÃO",0,IF($A32=0,DATEDIF(ESTRUTURA!$F$3,ESTRUTURA!$F$4,"m")*Tabela!$H$20,Tabela!$H$20)))</f>
        <v/>
      </c>
      <c r="W32" s="60" t="str">
        <f t="shared" si="8"/>
        <v/>
      </c>
      <c r="X32" s="30" t="str">
        <f t="shared" si="8"/>
        <v/>
      </c>
      <c r="Y32" s="60" t="str">
        <f>IF($A32="","",IF(Y$6="NÃO",0,IF(A32=0,Tabela!$H$23,IF(Y$7="mensal",Tabela!$H$23,IF(AND(MONTH(ESTRUTURA!C32)=MONTH(ESTRUTURA!$F$3),A32&gt;0),Tabela!$H$23,0)))))</f>
        <v/>
      </c>
      <c r="Z32" s="30" t="str">
        <f t="shared" si="8"/>
        <v/>
      </c>
      <c r="AA32" s="60" t="str">
        <f>IF($A32="","",IF(AA$6="NÃO",0,Tabela!$H$25*nm_séries))</f>
        <v/>
      </c>
      <c r="AB32" s="30" t="str">
        <f t="shared" si="8"/>
        <v/>
      </c>
      <c r="AC32" s="60" t="str">
        <f>IF($A32="","",IF(AC$6="NÃO",0,IF(A32=0,Tabela!$H$27,IF(MOD(A32,3)=0,Tabela!$H$27,0))))</f>
        <v/>
      </c>
      <c r="AD32" s="30" t="str">
        <f t="shared" si="8"/>
        <v/>
      </c>
      <c r="AE32" s="60" t="str">
        <f t="shared" si="8"/>
        <v/>
      </c>
      <c r="AF32" s="30" t="str">
        <f>IF($A32="","",IF(AF$6="NÃO",0,IF(AND(MONTH(ESTRUTURA!C32)=MONTH(ESTRUTURA!$F$3),A32&gt;0),Tabela!$H$30,0)))</f>
        <v/>
      </c>
      <c r="AG32" s="60" t="str">
        <f t="shared" si="8"/>
        <v/>
      </c>
      <c r="AH32" s="30" t="str">
        <f t="shared" si="8"/>
        <v/>
      </c>
      <c r="AI32" s="60" t="str">
        <f>IF($A32="","",IF(AI$6="NÃO",0,IF($A32=0,DATEDIF(ESTRUTURA!$F$3,ESTRUTURA!$F$4,"m")*Tabela!$H$33,Tabela!$H$33)))</f>
        <v/>
      </c>
      <c r="AJ32" s="30" t="str">
        <f t="shared" si="8"/>
        <v/>
      </c>
    </row>
    <row r="33" spans="1:36" x14ac:dyDescent="0.2">
      <c r="A33" s="66" t="str">
        <f>ESTRUTURA!A33</f>
        <v/>
      </c>
      <c r="B33" s="58">
        <f t="shared" si="7"/>
        <v>0</v>
      </c>
      <c r="C33" s="60" t="str">
        <f t="shared" si="9"/>
        <v/>
      </c>
      <c r="D33" s="30" t="str">
        <f t="shared" si="9"/>
        <v/>
      </c>
      <c r="E33" s="60" t="str">
        <f t="shared" si="9"/>
        <v/>
      </c>
      <c r="F33" s="30" t="str">
        <f>IF($A33="","",IF(F$6="NÃO",0,Tabela!$H$34*ESTRUTURA!$I$4))</f>
        <v/>
      </c>
      <c r="G33" s="60" t="str">
        <f t="shared" si="9"/>
        <v/>
      </c>
      <c r="H33" s="30" t="str">
        <f>IF($A33="","",IF(H$6="NÃO",0,IF($A33=0,DATEDIF(ESTRUTURA!$F$3,ESTRUTURA!$F$4,"m")*Tabela!$H$6,Tabela!$H$6)))</f>
        <v/>
      </c>
      <c r="I33" s="60" t="str">
        <f t="shared" si="9"/>
        <v/>
      </c>
      <c r="J33" s="30" t="str">
        <f>IF($A33="","",IF(J$6="NÃO",0,IF($A33=0,DATEDIF(ESTRUTURA!$F$3,ESTRUTURA!$F$4,"m")*Tabela!$H$8,IF(J$6="NÃO",0,Tabela!$H$8))))</f>
        <v/>
      </c>
      <c r="K33" s="60" t="str">
        <f t="shared" si="9"/>
        <v/>
      </c>
      <c r="L33" s="30" t="str">
        <f t="shared" si="9"/>
        <v/>
      </c>
      <c r="M33" s="60" t="str">
        <f t="shared" si="9"/>
        <v/>
      </c>
      <c r="N33" s="30" t="str">
        <f t="shared" si="9"/>
        <v/>
      </c>
      <c r="O33" s="60" t="str">
        <f t="shared" si="9"/>
        <v/>
      </c>
      <c r="P33" s="30" t="str">
        <f t="shared" si="10"/>
        <v/>
      </c>
      <c r="Q33" s="60" t="str">
        <f t="shared" si="9"/>
        <v/>
      </c>
      <c r="R33" s="30" t="str">
        <f t="shared" si="9"/>
        <v/>
      </c>
      <c r="S33" s="60" t="str">
        <f>IF($A33="","",IF(S$6="NÃO",0,IF($A33=0,DATEDIF(ESTRUTURA!$F$3,ESTRUTURA!$F$4,"m")*Tabela!$H$17,Tabela!$H$17)))</f>
        <v/>
      </c>
      <c r="T33" s="30" t="str">
        <f>IF($A33="","",IF(T$6="NÃO",0,IF($A33=0,DATEDIF(ESTRUTURA!$F$3,ESTRUTURA!$F$4,"m")*Tabela!$H$18,Tabela!$H$18)))</f>
        <v/>
      </c>
      <c r="U33" s="60" t="str">
        <f t="shared" si="8"/>
        <v/>
      </c>
      <c r="V33" s="30" t="str">
        <f>IF($A33="","",IF(V$6="NÃO",0,IF($A33=0,DATEDIF(ESTRUTURA!$F$3,ESTRUTURA!$F$4,"m")*Tabela!$H$20,Tabela!$H$20)))</f>
        <v/>
      </c>
      <c r="W33" s="60" t="str">
        <f t="shared" si="8"/>
        <v/>
      </c>
      <c r="X33" s="30" t="str">
        <f t="shared" si="8"/>
        <v/>
      </c>
      <c r="Y33" s="60" t="str">
        <f>IF($A33="","",IF(Y$6="NÃO",0,IF(A33=0,Tabela!$H$23,IF(Y$7="mensal",Tabela!$H$23,IF(AND(MONTH(ESTRUTURA!C33)=MONTH(ESTRUTURA!$F$3),A33&gt;0),Tabela!$H$23,0)))))</f>
        <v/>
      </c>
      <c r="Z33" s="30" t="str">
        <f t="shared" si="8"/>
        <v/>
      </c>
      <c r="AA33" s="60" t="str">
        <f>IF($A33="","",IF(AA$6="NÃO",0,Tabela!$H$25*nm_séries))</f>
        <v/>
      </c>
      <c r="AB33" s="30" t="str">
        <f t="shared" si="8"/>
        <v/>
      </c>
      <c r="AC33" s="60" t="str">
        <f>IF($A33="","",IF(AC$6="NÃO",0,IF(A33=0,Tabela!$H$27,IF(MOD(A33,3)=0,Tabela!$H$27,0))))</f>
        <v/>
      </c>
      <c r="AD33" s="30" t="str">
        <f t="shared" si="8"/>
        <v/>
      </c>
      <c r="AE33" s="60" t="str">
        <f t="shared" si="8"/>
        <v/>
      </c>
      <c r="AF33" s="30" t="str">
        <f>IF($A33="","",IF(AF$6="NÃO",0,IF(AND(MONTH(ESTRUTURA!C33)=MONTH(ESTRUTURA!$F$3),A33&gt;0),Tabela!$H$30,0)))</f>
        <v/>
      </c>
      <c r="AG33" s="60" t="str">
        <f t="shared" si="8"/>
        <v/>
      </c>
      <c r="AH33" s="30" t="str">
        <f t="shared" si="8"/>
        <v/>
      </c>
      <c r="AI33" s="60" t="str">
        <f>IF($A33="","",IF(AI$6="NÃO",0,IF($A33=0,DATEDIF(ESTRUTURA!$F$3,ESTRUTURA!$F$4,"m")*Tabela!$H$33,Tabela!$H$33)))</f>
        <v/>
      </c>
      <c r="AJ33" s="30" t="str">
        <f t="shared" si="8"/>
        <v/>
      </c>
    </row>
    <row r="34" spans="1:36" x14ac:dyDescent="0.2">
      <c r="A34" s="66" t="str">
        <f>ESTRUTURA!A34</f>
        <v/>
      </c>
      <c r="B34" s="58">
        <f t="shared" si="7"/>
        <v>0</v>
      </c>
      <c r="C34" s="60" t="str">
        <f t="shared" si="9"/>
        <v/>
      </c>
      <c r="D34" s="30" t="str">
        <f t="shared" si="9"/>
        <v/>
      </c>
      <c r="E34" s="60" t="str">
        <f t="shared" si="9"/>
        <v/>
      </c>
      <c r="F34" s="30" t="str">
        <f>IF($A34="","",IF(F$6="NÃO",0,Tabela!$H$34*ESTRUTURA!$I$4))</f>
        <v/>
      </c>
      <c r="G34" s="60" t="str">
        <f t="shared" si="9"/>
        <v/>
      </c>
      <c r="H34" s="30" t="str">
        <f>IF($A34="","",IF(H$6="NÃO",0,IF($A34=0,DATEDIF(ESTRUTURA!$F$3,ESTRUTURA!$F$4,"m")*Tabela!$H$6,Tabela!$H$6)))</f>
        <v/>
      </c>
      <c r="I34" s="60" t="str">
        <f t="shared" si="9"/>
        <v/>
      </c>
      <c r="J34" s="30" t="str">
        <f>IF($A34="","",IF(J$6="NÃO",0,IF($A34=0,DATEDIF(ESTRUTURA!$F$3,ESTRUTURA!$F$4,"m")*Tabela!$H$8,IF(J$6="NÃO",0,Tabela!$H$8))))</f>
        <v/>
      </c>
      <c r="K34" s="60" t="str">
        <f t="shared" si="9"/>
        <v/>
      </c>
      <c r="L34" s="30" t="str">
        <f t="shared" si="9"/>
        <v/>
      </c>
      <c r="M34" s="60" t="str">
        <f t="shared" si="9"/>
        <v/>
      </c>
      <c r="N34" s="30" t="str">
        <f t="shared" si="9"/>
        <v/>
      </c>
      <c r="O34" s="60" t="str">
        <f t="shared" si="9"/>
        <v/>
      </c>
      <c r="P34" s="30" t="str">
        <f t="shared" si="10"/>
        <v/>
      </c>
      <c r="Q34" s="60" t="str">
        <f t="shared" si="9"/>
        <v/>
      </c>
      <c r="R34" s="30" t="str">
        <f t="shared" si="9"/>
        <v/>
      </c>
      <c r="S34" s="60" t="str">
        <f>IF($A34="","",IF(S$6="NÃO",0,IF($A34=0,DATEDIF(ESTRUTURA!$F$3,ESTRUTURA!$F$4,"m")*Tabela!$H$17,Tabela!$H$17)))</f>
        <v/>
      </c>
      <c r="T34" s="30" t="str">
        <f>IF($A34="","",IF(T$6="NÃO",0,IF($A34=0,DATEDIF(ESTRUTURA!$F$3,ESTRUTURA!$F$4,"m")*Tabela!$H$18,Tabela!$H$18)))</f>
        <v/>
      </c>
      <c r="U34" s="60" t="str">
        <f t="shared" si="8"/>
        <v/>
      </c>
      <c r="V34" s="30" t="str">
        <f>IF($A34="","",IF(V$6="NÃO",0,IF($A34=0,DATEDIF(ESTRUTURA!$F$3,ESTRUTURA!$F$4,"m")*Tabela!$H$20,Tabela!$H$20)))</f>
        <v/>
      </c>
      <c r="W34" s="60" t="str">
        <f t="shared" si="8"/>
        <v/>
      </c>
      <c r="X34" s="30" t="str">
        <f t="shared" si="8"/>
        <v/>
      </c>
      <c r="Y34" s="60" t="str">
        <f>IF($A34="","",IF(Y$6="NÃO",0,IF(A34=0,Tabela!$H$23,IF(Y$7="mensal",Tabela!$H$23,IF(AND(MONTH(ESTRUTURA!C34)=MONTH(ESTRUTURA!$F$3),A34&gt;0),Tabela!$H$23,0)))))</f>
        <v/>
      </c>
      <c r="Z34" s="30" t="str">
        <f t="shared" si="8"/>
        <v/>
      </c>
      <c r="AA34" s="60" t="str">
        <f>IF($A34="","",IF(AA$6="NÃO",0,Tabela!$H$25*nm_séries))</f>
        <v/>
      </c>
      <c r="AB34" s="30" t="str">
        <f t="shared" si="8"/>
        <v/>
      </c>
      <c r="AC34" s="60" t="str">
        <f>IF($A34="","",IF(AC$6="NÃO",0,IF(A34=0,Tabela!$H$27,IF(MOD(A34,3)=0,Tabela!$H$27,0))))</f>
        <v/>
      </c>
      <c r="AD34" s="30" t="str">
        <f t="shared" si="8"/>
        <v/>
      </c>
      <c r="AE34" s="60" t="str">
        <f t="shared" si="8"/>
        <v/>
      </c>
      <c r="AF34" s="30" t="str">
        <f>IF($A34="","",IF(AF$6="NÃO",0,IF(AND(MONTH(ESTRUTURA!C34)=MONTH(ESTRUTURA!$F$3),A34&gt;0),Tabela!$H$30,0)))</f>
        <v/>
      </c>
      <c r="AG34" s="60" t="str">
        <f t="shared" si="8"/>
        <v/>
      </c>
      <c r="AH34" s="30" t="str">
        <f t="shared" si="8"/>
        <v/>
      </c>
      <c r="AI34" s="60" t="str">
        <f>IF($A34="","",IF(AI$6="NÃO",0,IF($A34=0,DATEDIF(ESTRUTURA!$F$3,ESTRUTURA!$F$4,"m")*Tabela!$H$33,Tabela!$H$33)))</f>
        <v/>
      </c>
      <c r="AJ34" s="30" t="str">
        <f t="shared" si="8"/>
        <v/>
      </c>
    </row>
    <row r="35" spans="1:36" x14ac:dyDescent="0.2">
      <c r="A35" s="66" t="str">
        <f>ESTRUTURA!A35</f>
        <v/>
      </c>
      <c r="B35" s="58">
        <f t="shared" si="7"/>
        <v>0</v>
      </c>
      <c r="C35" s="60" t="str">
        <f t="shared" si="9"/>
        <v/>
      </c>
      <c r="D35" s="30" t="str">
        <f t="shared" si="9"/>
        <v/>
      </c>
      <c r="E35" s="60" t="str">
        <f t="shared" si="9"/>
        <v/>
      </c>
      <c r="F35" s="30" t="str">
        <f>IF($A35="","",IF(F$6="NÃO",0,Tabela!$H$34*ESTRUTURA!$I$4))</f>
        <v/>
      </c>
      <c r="G35" s="60" t="str">
        <f t="shared" si="9"/>
        <v/>
      </c>
      <c r="H35" s="30" t="str">
        <f>IF($A35="","",IF(H$6="NÃO",0,IF($A35=0,DATEDIF(ESTRUTURA!$F$3,ESTRUTURA!$F$4,"m")*Tabela!$H$6,Tabela!$H$6)))</f>
        <v/>
      </c>
      <c r="I35" s="60" t="str">
        <f t="shared" si="9"/>
        <v/>
      </c>
      <c r="J35" s="30" t="str">
        <f>IF($A35="","",IF(J$6="NÃO",0,IF($A35=0,DATEDIF(ESTRUTURA!$F$3,ESTRUTURA!$F$4,"m")*Tabela!$H$8,IF(J$6="NÃO",0,Tabela!$H$8))))</f>
        <v/>
      </c>
      <c r="K35" s="60" t="str">
        <f t="shared" si="9"/>
        <v/>
      </c>
      <c r="L35" s="30" t="str">
        <f t="shared" si="9"/>
        <v/>
      </c>
      <c r="M35" s="60" t="str">
        <f t="shared" si="9"/>
        <v/>
      </c>
      <c r="N35" s="30" t="str">
        <f t="shared" si="9"/>
        <v/>
      </c>
      <c r="O35" s="60" t="str">
        <f t="shared" si="9"/>
        <v/>
      </c>
      <c r="P35" s="30" t="str">
        <f t="shared" si="10"/>
        <v/>
      </c>
      <c r="Q35" s="60" t="str">
        <f t="shared" si="9"/>
        <v/>
      </c>
      <c r="R35" s="30" t="str">
        <f t="shared" si="9"/>
        <v/>
      </c>
      <c r="S35" s="60" t="str">
        <f>IF($A35="","",IF(S$6="NÃO",0,IF($A35=0,DATEDIF(ESTRUTURA!$F$3,ESTRUTURA!$F$4,"m")*Tabela!$H$17,Tabela!$H$17)))</f>
        <v/>
      </c>
      <c r="T35" s="30" t="str">
        <f>IF($A35="","",IF(T$6="NÃO",0,IF($A35=0,DATEDIF(ESTRUTURA!$F$3,ESTRUTURA!$F$4,"m")*Tabela!$H$18,Tabela!$H$18)))</f>
        <v/>
      </c>
      <c r="U35" s="60" t="str">
        <f t="shared" si="8"/>
        <v/>
      </c>
      <c r="V35" s="30" t="str">
        <f>IF($A35="","",IF(V$6="NÃO",0,IF($A35=0,DATEDIF(ESTRUTURA!$F$3,ESTRUTURA!$F$4,"m")*Tabela!$H$20,Tabela!$H$20)))</f>
        <v/>
      </c>
      <c r="W35" s="60" t="str">
        <f t="shared" si="8"/>
        <v/>
      </c>
      <c r="X35" s="30" t="str">
        <f t="shared" si="8"/>
        <v/>
      </c>
      <c r="Y35" s="60" t="str">
        <f>IF($A35="","",IF(Y$6="NÃO",0,IF(A35=0,Tabela!$H$23,IF(Y$7="mensal",Tabela!$H$23,IF(AND(MONTH(ESTRUTURA!C35)=MONTH(ESTRUTURA!$F$3),A35&gt;0),Tabela!$H$23,0)))))</f>
        <v/>
      </c>
      <c r="Z35" s="30" t="str">
        <f t="shared" si="8"/>
        <v/>
      </c>
      <c r="AA35" s="60" t="str">
        <f>IF($A35="","",IF(AA$6="NÃO",0,Tabela!$H$25*nm_séries))</f>
        <v/>
      </c>
      <c r="AB35" s="30" t="str">
        <f t="shared" si="8"/>
        <v/>
      </c>
      <c r="AC35" s="60" t="str">
        <f>IF($A35="","",IF(AC$6="NÃO",0,IF(A35=0,Tabela!$H$27,IF(MOD(A35,3)=0,Tabela!$H$27,0))))</f>
        <v/>
      </c>
      <c r="AD35" s="30" t="str">
        <f t="shared" si="8"/>
        <v/>
      </c>
      <c r="AE35" s="60" t="str">
        <f t="shared" si="8"/>
        <v/>
      </c>
      <c r="AF35" s="30" t="str">
        <f>IF($A35="","",IF(AF$6="NÃO",0,IF(AND(MONTH(ESTRUTURA!C35)=MONTH(ESTRUTURA!$F$3),A35&gt;0),Tabela!$H$30,0)))</f>
        <v/>
      </c>
      <c r="AG35" s="60" t="str">
        <f t="shared" si="8"/>
        <v/>
      </c>
      <c r="AH35" s="30" t="str">
        <f t="shared" si="8"/>
        <v/>
      </c>
      <c r="AI35" s="60" t="str">
        <f>IF($A35="","",IF(AI$6="NÃO",0,IF($A35=0,DATEDIF(ESTRUTURA!$F$3,ESTRUTURA!$F$4,"m")*Tabela!$H$33,Tabela!$H$33)))</f>
        <v/>
      </c>
      <c r="AJ35" s="30" t="str">
        <f t="shared" si="8"/>
        <v/>
      </c>
    </row>
    <row r="36" spans="1:36" x14ac:dyDescent="0.2">
      <c r="A36" s="66" t="str">
        <f>ESTRUTURA!A36</f>
        <v/>
      </c>
      <c r="B36" s="58">
        <f t="shared" si="7"/>
        <v>0</v>
      </c>
      <c r="C36" s="60" t="str">
        <f t="shared" si="9"/>
        <v/>
      </c>
      <c r="D36" s="30" t="str">
        <f t="shared" si="9"/>
        <v/>
      </c>
      <c r="E36" s="60" t="str">
        <f t="shared" si="9"/>
        <v/>
      </c>
      <c r="F36" s="30" t="str">
        <f>IF($A36="","",IF(F$6="NÃO",0,Tabela!$H$34*ESTRUTURA!$I$4))</f>
        <v/>
      </c>
      <c r="G36" s="60" t="str">
        <f t="shared" si="9"/>
        <v/>
      </c>
      <c r="H36" s="30" t="str">
        <f>IF($A36="","",IF(H$6="NÃO",0,IF($A36=0,DATEDIF(ESTRUTURA!$F$3,ESTRUTURA!$F$4,"m")*Tabela!$H$6,Tabela!$H$6)))</f>
        <v/>
      </c>
      <c r="I36" s="60" t="str">
        <f t="shared" si="9"/>
        <v/>
      </c>
      <c r="J36" s="30" t="str">
        <f>IF($A36="","",IF(J$6="NÃO",0,IF($A36=0,DATEDIF(ESTRUTURA!$F$3,ESTRUTURA!$F$4,"m")*Tabela!$H$8,IF(J$6="NÃO",0,Tabela!$H$8))))</f>
        <v/>
      </c>
      <c r="K36" s="60" t="str">
        <f t="shared" si="9"/>
        <v/>
      </c>
      <c r="L36" s="30" t="str">
        <f t="shared" si="9"/>
        <v/>
      </c>
      <c r="M36" s="60" t="str">
        <f t="shared" si="9"/>
        <v/>
      </c>
      <c r="N36" s="30" t="str">
        <f t="shared" si="9"/>
        <v/>
      </c>
      <c r="O36" s="60" t="str">
        <f t="shared" si="9"/>
        <v/>
      </c>
      <c r="P36" s="30" t="str">
        <f t="shared" si="10"/>
        <v/>
      </c>
      <c r="Q36" s="60" t="str">
        <f t="shared" si="9"/>
        <v/>
      </c>
      <c r="R36" s="30" t="str">
        <f t="shared" si="9"/>
        <v/>
      </c>
      <c r="S36" s="60" t="str">
        <f>IF($A36="","",IF(S$6="NÃO",0,IF($A36=0,DATEDIF(ESTRUTURA!$F$3,ESTRUTURA!$F$4,"m")*Tabela!$H$17,Tabela!$H$17)))</f>
        <v/>
      </c>
      <c r="T36" s="30" t="str">
        <f>IF($A36="","",IF(T$6="NÃO",0,IF($A36=0,DATEDIF(ESTRUTURA!$F$3,ESTRUTURA!$F$4,"m")*Tabela!$H$18,Tabela!$H$18)))</f>
        <v/>
      </c>
      <c r="U36" s="60" t="str">
        <f t="shared" si="8"/>
        <v/>
      </c>
      <c r="V36" s="30" t="str">
        <f>IF($A36="","",IF(V$6="NÃO",0,IF($A36=0,DATEDIF(ESTRUTURA!$F$3,ESTRUTURA!$F$4,"m")*Tabela!$H$20,Tabela!$H$20)))</f>
        <v/>
      </c>
      <c r="W36" s="60" t="str">
        <f t="shared" si="8"/>
        <v/>
      </c>
      <c r="X36" s="30" t="str">
        <f t="shared" si="8"/>
        <v/>
      </c>
      <c r="Y36" s="60" t="str">
        <f>IF($A36="","",IF(Y$6="NÃO",0,IF(A36=0,Tabela!$H$23,IF(Y$7="mensal",Tabela!$H$23,IF(AND(MONTH(ESTRUTURA!C36)=MONTH(ESTRUTURA!$F$3),A36&gt;0),Tabela!$H$23,0)))))</f>
        <v/>
      </c>
      <c r="Z36" s="30" t="str">
        <f t="shared" si="8"/>
        <v/>
      </c>
      <c r="AA36" s="60" t="str">
        <f>IF($A36="","",IF(AA$6="NÃO",0,Tabela!$H$25*nm_séries))</f>
        <v/>
      </c>
      <c r="AB36" s="30" t="str">
        <f t="shared" si="8"/>
        <v/>
      </c>
      <c r="AC36" s="60" t="str">
        <f>IF($A36="","",IF(AC$6="NÃO",0,IF(A36=0,Tabela!$H$27,IF(MOD(A36,3)=0,Tabela!$H$27,0))))</f>
        <v/>
      </c>
      <c r="AD36" s="30" t="str">
        <f t="shared" si="8"/>
        <v/>
      </c>
      <c r="AE36" s="60" t="str">
        <f t="shared" si="8"/>
        <v/>
      </c>
      <c r="AF36" s="30" t="str">
        <f>IF($A36="","",IF(AF$6="NÃO",0,IF(AND(MONTH(ESTRUTURA!C36)=MONTH(ESTRUTURA!$F$3),A36&gt;0),Tabela!$H$30,0)))</f>
        <v/>
      </c>
      <c r="AG36" s="60" t="str">
        <f t="shared" si="8"/>
        <v/>
      </c>
      <c r="AH36" s="30" t="str">
        <f t="shared" si="8"/>
        <v/>
      </c>
      <c r="AI36" s="60" t="str">
        <f>IF($A36="","",IF(AI$6="NÃO",0,IF($A36=0,DATEDIF(ESTRUTURA!$F$3,ESTRUTURA!$F$4,"m")*Tabela!$H$33,Tabela!$H$33)))</f>
        <v/>
      </c>
      <c r="AJ36" s="30" t="str">
        <f t="shared" si="8"/>
        <v/>
      </c>
    </row>
    <row r="37" spans="1:36" x14ac:dyDescent="0.2">
      <c r="A37" s="66" t="str">
        <f>ESTRUTURA!A37</f>
        <v/>
      </c>
      <c r="B37" s="58">
        <f t="shared" si="7"/>
        <v>0</v>
      </c>
      <c r="C37" s="60" t="str">
        <f t="shared" si="9"/>
        <v/>
      </c>
      <c r="D37" s="30" t="str">
        <f t="shared" si="9"/>
        <v/>
      </c>
      <c r="E37" s="60" t="str">
        <f t="shared" si="9"/>
        <v/>
      </c>
      <c r="F37" s="30" t="str">
        <f>IF($A37="","",IF(F$6="NÃO",0,Tabela!$H$34*ESTRUTURA!$I$4))</f>
        <v/>
      </c>
      <c r="G37" s="60" t="str">
        <f t="shared" si="9"/>
        <v/>
      </c>
      <c r="H37" s="30" t="str">
        <f>IF($A37="","",IF(H$6="NÃO",0,IF($A37=0,DATEDIF(ESTRUTURA!$F$3,ESTRUTURA!$F$4,"m")*Tabela!$H$6,Tabela!$H$6)))</f>
        <v/>
      </c>
      <c r="I37" s="60" t="str">
        <f t="shared" si="9"/>
        <v/>
      </c>
      <c r="J37" s="30" t="str">
        <f>IF($A37="","",IF(J$6="NÃO",0,IF($A37=0,DATEDIF(ESTRUTURA!$F$3,ESTRUTURA!$F$4,"m")*Tabela!$H$8,IF(J$6="NÃO",0,Tabela!$H$8))))</f>
        <v/>
      </c>
      <c r="K37" s="60" t="str">
        <f t="shared" si="9"/>
        <v/>
      </c>
      <c r="L37" s="30" t="str">
        <f t="shared" si="9"/>
        <v/>
      </c>
      <c r="M37" s="60" t="str">
        <f t="shared" si="9"/>
        <v/>
      </c>
      <c r="N37" s="30" t="str">
        <f t="shared" si="9"/>
        <v/>
      </c>
      <c r="O37" s="60" t="str">
        <f t="shared" si="9"/>
        <v/>
      </c>
      <c r="P37" s="30" t="str">
        <f t="shared" si="10"/>
        <v/>
      </c>
      <c r="Q37" s="60" t="str">
        <f t="shared" si="9"/>
        <v/>
      </c>
      <c r="R37" s="30" t="str">
        <f t="shared" si="9"/>
        <v/>
      </c>
      <c r="S37" s="60" t="str">
        <f>IF($A37="","",IF(S$6="NÃO",0,IF($A37=0,DATEDIF(ESTRUTURA!$F$3,ESTRUTURA!$F$4,"m")*Tabela!$H$17,Tabela!$H$17)))</f>
        <v/>
      </c>
      <c r="T37" s="30" t="str">
        <f>IF($A37="","",IF(T$6="NÃO",0,IF($A37=0,DATEDIF(ESTRUTURA!$F$3,ESTRUTURA!$F$4,"m")*Tabela!$H$18,Tabela!$H$18)))</f>
        <v/>
      </c>
      <c r="U37" s="60" t="str">
        <f t="shared" si="8"/>
        <v/>
      </c>
      <c r="V37" s="30" t="str">
        <f>IF($A37="","",IF(V$6="NÃO",0,IF($A37=0,DATEDIF(ESTRUTURA!$F$3,ESTRUTURA!$F$4,"m")*Tabela!$H$20,Tabela!$H$20)))</f>
        <v/>
      </c>
      <c r="W37" s="60" t="str">
        <f t="shared" si="8"/>
        <v/>
      </c>
      <c r="X37" s="30" t="str">
        <f t="shared" si="8"/>
        <v/>
      </c>
      <c r="Y37" s="60" t="str">
        <f>IF($A37="","",IF(Y$6="NÃO",0,IF(A37=0,Tabela!$H$23,IF(Y$7="mensal",Tabela!$H$23,IF(AND(MONTH(ESTRUTURA!C37)=MONTH(ESTRUTURA!$F$3),A37&gt;0),Tabela!$H$23,0)))))</f>
        <v/>
      </c>
      <c r="Z37" s="30" t="str">
        <f t="shared" si="8"/>
        <v/>
      </c>
      <c r="AA37" s="60" t="str">
        <f>IF($A37="","",IF(AA$6="NÃO",0,Tabela!$H$25*nm_séries))</f>
        <v/>
      </c>
      <c r="AB37" s="30" t="str">
        <f t="shared" si="8"/>
        <v/>
      </c>
      <c r="AC37" s="60" t="str">
        <f>IF($A37="","",IF(AC$6="NÃO",0,IF(A37=0,Tabela!$H$27,IF(MOD(A37,3)=0,Tabela!$H$27,0))))</f>
        <v/>
      </c>
      <c r="AD37" s="30" t="str">
        <f t="shared" si="8"/>
        <v/>
      </c>
      <c r="AE37" s="60" t="str">
        <f t="shared" si="8"/>
        <v/>
      </c>
      <c r="AF37" s="30" t="str">
        <f>IF($A37="","",IF(AF$6="NÃO",0,IF(AND(MONTH(ESTRUTURA!C37)=MONTH(ESTRUTURA!$F$3),A37&gt;0),Tabela!$H$30,0)))</f>
        <v/>
      </c>
      <c r="AG37" s="60" t="str">
        <f t="shared" si="8"/>
        <v/>
      </c>
      <c r="AH37" s="30" t="str">
        <f t="shared" si="8"/>
        <v/>
      </c>
      <c r="AI37" s="60" t="str">
        <f>IF($A37="","",IF(AI$6="NÃO",0,IF($A37=0,DATEDIF(ESTRUTURA!$F$3,ESTRUTURA!$F$4,"m")*Tabela!$H$33,Tabela!$H$33)))</f>
        <v/>
      </c>
      <c r="AJ37" s="30" t="str">
        <f t="shared" si="8"/>
        <v/>
      </c>
    </row>
    <row r="38" spans="1:36" x14ac:dyDescent="0.2">
      <c r="A38" s="66" t="str">
        <f>ESTRUTURA!A38</f>
        <v/>
      </c>
      <c r="B38" s="58">
        <f t="shared" si="7"/>
        <v>0</v>
      </c>
      <c r="C38" s="60" t="str">
        <f t="shared" si="9"/>
        <v/>
      </c>
      <c r="D38" s="30" t="str">
        <f t="shared" si="9"/>
        <v/>
      </c>
      <c r="E38" s="60" t="str">
        <f t="shared" si="9"/>
        <v/>
      </c>
      <c r="F38" s="30" t="str">
        <f>IF($A38="","",IF(F$6="NÃO",0,Tabela!$H$34*ESTRUTURA!$I$4))</f>
        <v/>
      </c>
      <c r="G38" s="60" t="str">
        <f t="shared" si="9"/>
        <v/>
      </c>
      <c r="H38" s="30" t="str">
        <f>IF($A38="","",IF(H$6="NÃO",0,IF($A38=0,DATEDIF(ESTRUTURA!$F$3,ESTRUTURA!$F$4,"m")*Tabela!$H$6,Tabela!$H$6)))</f>
        <v/>
      </c>
      <c r="I38" s="60" t="str">
        <f t="shared" si="9"/>
        <v/>
      </c>
      <c r="J38" s="30" t="str">
        <f>IF($A38="","",IF(J$6="NÃO",0,IF($A38=0,DATEDIF(ESTRUTURA!$F$3,ESTRUTURA!$F$4,"m")*Tabela!$H$8,IF(J$6="NÃO",0,Tabela!$H$8))))</f>
        <v/>
      </c>
      <c r="K38" s="60" t="str">
        <f t="shared" si="9"/>
        <v/>
      </c>
      <c r="L38" s="30" t="str">
        <f t="shared" si="9"/>
        <v/>
      </c>
      <c r="M38" s="60" t="str">
        <f t="shared" si="9"/>
        <v/>
      </c>
      <c r="N38" s="30" t="str">
        <f t="shared" si="9"/>
        <v/>
      </c>
      <c r="O38" s="60" t="str">
        <f t="shared" si="9"/>
        <v/>
      </c>
      <c r="P38" s="30" t="str">
        <f t="shared" si="10"/>
        <v/>
      </c>
      <c r="Q38" s="60" t="str">
        <f t="shared" si="9"/>
        <v/>
      </c>
      <c r="R38" s="30" t="str">
        <f t="shared" si="9"/>
        <v/>
      </c>
      <c r="S38" s="60" t="str">
        <f>IF($A38="","",IF(S$6="NÃO",0,IF($A38=0,DATEDIF(ESTRUTURA!$F$3,ESTRUTURA!$F$4,"m")*Tabela!$H$17,Tabela!$H$17)))</f>
        <v/>
      </c>
      <c r="T38" s="30" t="str">
        <f>IF($A38="","",IF(T$6="NÃO",0,IF($A38=0,DATEDIF(ESTRUTURA!$F$3,ESTRUTURA!$F$4,"m")*Tabela!$H$18,Tabela!$H$18)))</f>
        <v/>
      </c>
      <c r="U38" s="60" t="str">
        <f t="shared" si="8"/>
        <v/>
      </c>
      <c r="V38" s="30" t="str">
        <f>IF($A38="","",IF(V$6="NÃO",0,IF($A38=0,DATEDIF(ESTRUTURA!$F$3,ESTRUTURA!$F$4,"m")*Tabela!$H$20,Tabela!$H$20)))</f>
        <v/>
      </c>
      <c r="W38" s="60" t="str">
        <f t="shared" si="8"/>
        <v/>
      </c>
      <c r="X38" s="30" t="str">
        <f t="shared" si="8"/>
        <v/>
      </c>
      <c r="Y38" s="60" t="str">
        <f>IF($A38="","",IF(Y$6="NÃO",0,IF(A38=0,Tabela!$H$23,IF(Y$7="mensal",Tabela!$H$23,IF(AND(MONTH(ESTRUTURA!C38)=MONTH(ESTRUTURA!$F$3),A38&gt;0),Tabela!$H$23,0)))))</f>
        <v/>
      </c>
      <c r="Z38" s="30" t="str">
        <f t="shared" si="8"/>
        <v/>
      </c>
      <c r="AA38" s="60" t="str">
        <f>IF($A38="","",IF(AA$6="NÃO",0,Tabela!$H$25*nm_séries))</f>
        <v/>
      </c>
      <c r="AB38" s="30" t="str">
        <f t="shared" si="8"/>
        <v/>
      </c>
      <c r="AC38" s="60" t="str">
        <f>IF($A38="","",IF(AC$6="NÃO",0,IF(A38=0,Tabela!$H$27,IF(MOD(A38,3)=0,Tabela!$H$27,0))))</f>
        <v/>
      </c>
      <c r="AD38" s="30" t="str">
        <f t="shared" si="8"/>
        <v/>
      </c>
      <c r="AE38" s="60" t="str">
        <f t="shared" si="8"/>
        <v/>
      </c>
      <c r="AF38" s="30" t="str">
        <f>IF($A38="","",IF(AF$6="NÃO",0,IF(AND(MONTH(ESTRUTURA!C38)=MONTH(ESTRUTURA!$F$3),A38&gt;0),Tabela!$H$30,0)))</f>
        <v/>
      </c>
      <c r="AG38" s="60" t="str">
        <f t="shared" si="8"/>
        <v/>
      </c>
      <c r="AH38" s="30" t="str">
        <f t="shared" si="8"/>
        <v/>
      </c>
      <c r="AI38" s="60" t="str">
        <f>IF($A38="","",IF(AI$6="NÃO",0,IF($A38=0,DATEDIF(ESTRUTURA!$F$3,ESTRUTURA!$F$4,"m")*Tabela!$H$33,Tabela!$H$33)))</f>
        <v/>
      </c>
      <c r="AJ38" s="30" t="str">
        <f t="shared" si="8"/>
        <v/>
      </c>
    </row>
    <row r="39" spans="1:36" x14ac:dyDescent="0.2">
      <c r="A39" s="66" t="str">
        <f>ESTRUTURA!A39</f>
        <v/>
      </c>
      <c r="B39" s="58">
        <f t="shared" si="7"/>
        <v>0</v>
      </c>
      <c r="C39" s="60" t="str">
        <f t="shared" si="9"/>
        <v/>
      </c>
      <c r="D39" s="30" t="str">
        <f t="shared" si="9"/>
        <v/>
      </c>
      <c r="E39" s="60" t="str">
        <f t="shared" si="9"/>
        <v/>
      </c>
      <c r="F39" s="30" t="str">
        <f>IF($A39="","",IF(F$6="NÃO",0,Tabela!$H$34*ESTRUTURA!$I$4))</f>
        <v/>
      </c>
      <c r="G39" s="60" t="str">
        <f t="shared" si="9"/>
        <v/>
      </c>
      <c r="H39" s="30" t="str">
        <f>IF($A39="","",IF(H$6="NÃO",0,IF($A39=0,DATEDIF(ESTRUTURA!$F$3,ESTRUTURA!$F$4,"m")*Tabela!$H$6,Tabela!$H$6)))</f>
        <v/>
      </c>
      <c r="I39" s="60" t="str">
        <f t="shared" si="9"/>
        <v/>
      </c>
      <c r="J39" s="30" t="str">
        <f>IF($A39="","",IF(J$6="NÃO",0,IF($A39=0,DATEDIF(ESTRUTURA!$F$3,ESTRUTURA!$F$4,"m")*Tabela!$H$8,IF(J$6="NÃO",0,Tabela!$H$8))))</f>
        <v/>
      </c>
      <c r="K39" s="60" t="str">
        <f t="shared" si="9"/>
        <v/>
      </c>
      <c r="L39" s="30" t="str">
        <f t="shared" si="9"/>
        <v/>
      </c>
      <c r="M39" s="60" t="str">
        <f t="shared" si="9"/>
        <v/>
      </c>
      <c r="N39" s="30" t="str">
        <f t="shared" si="9"/>
        <v/>
      </c>
      <c r="O39" s="60" t="str">
        <f t="shared" si="9"/>
        <v/>
      </c>
      <c r="P39" s="30" t="str">
        <f t="shared" si="10"/>
        <v/>
      </c>
      <c r="Q39" s="60" t="str">
        <f t="shared" si="9"/>
        <v/>
      </c>
      <c r="R39" s="30" t="str">
        <f t="shared" si="9"/>
        <v/>
      </c>
      <c r="S39" s="60" t="str">
        <f>IF($A39="","",IF(S$6="NÃO",0,IF($A39=0,DATEDIF(ESTRUTURA!$F$3,ESTRUTURA!$F$4,"m")*Tabela!$H$17,Tabela!$H$17)))</f>
        <v/>
      </c>
      <c r="T39" s="30" t="str">
        <f>IF($A39="","",IF(T$6="NÃO",0,IF($A39=0,DATEDIF(ESTRUTURA!$F$3,ESTRUTURA!$F$4,"m")*Tabela!$H$18,Tabela!$H$18)))</f>
        <v/>
      </c>
      <c r="U39" s="60" t="str">
        <f t="shared" si="8"/>
        <v/>
      </c>
      <c r="V39" s="30" t="str">
        <f>IF($A39="","",IF(V$6="NÃO",0,IF($A39=0,DATEDIF(ESTRUTURA!$F$3,ESTRUTURA!$F$4,"m")*Tabela!$H$20,Tabela!$H$20)))</f>
        <v/>
      </c>
      <c r="W39" s="60" t="str">
        <f t="shared" si="8"/>
        <v/>
      </c>
      <c r="X39" s="30" t="str">
        <f t="shared" si="8"/>
        <v/>
      </c>
      <c r="Y39" s="60" t="str">
        <f>IF($A39="","",IF(Y$6="NÃO",0,IF(A39=0,Tabela!$H$23,IF(Y$7="mensal",Tabela!$H$23,IF(AND(MONTH(ESTRUTURA!C39)=MONTH(ESTRUTURA!$F$3),A39&gt;0),Tabela!$H$23,0)))))</f>
        <v/>
      </c>
      <c r="Z39" s="30" t="str">
        <f t="shared" si="8"/>
        <v/>
      </c>
      <c r="AA39" s="60" t="str">
        <f>IF($A39="","",IF(AA$6="NÃO",0,Tabela!$H$25*nm_séries))</f>
        <v/>
      </c>
      <c r="AB39" s="30" t="str">
        <f t="shared" si="8"/>
        <v/>
      </c>
      <c r="AC39" s="60" t="str">
        <f>IF($A39="","",IF(AC$6="NÃO",0,IF(A39=0,Tabela!$H$27,IF(MOD(A39,3)=0,Tabela!$H$27,0))))</f>
        <v/>
      </c>
      <c r="AD39" s="30" t="str">
        <f t="shared" si="8"/>
        <v/>
      </c>
      <c r="AE39" s="60" t="str">
        <f t="shared" si="8"/>
        <v/>
      </c>
      <c r="AF39" s="30" t="str">
        <f>IF($A39="","",IF(AF$6="NÃO",0,IF(AND(MONTH(ESTRUTURA!C39)=MONTH(ESTRUTURA!$F$3),A39&gt;0),Tabela!$H$30,0)))</f>
        <v/>
      </c>
      <c r="AG39" s="60" t="str">
        <f t="shared" si="8"/>
        <v/>
      </c>
      <c r="AH39" s="30" t="str">
        <f t="shared" si="8"/>
        <v/>
      </c>
      <c r="AI39" s="60" t="str">
        <f>IF($A39="","",IF(AI$6="NÃO",0,IF($A39=0,DATEDIF(ESTRUTURA!$F$3,ESTRUTURA!$F$4,"m")*Tabela!$H$33,Tabela!$H$33)))</f>
        <v/>
      </c>
      <c r="AJ39" s="30" t="str">
        <f t="shared" si="8"/>
        <v/>
      </c>
    </row>
    <row r="40" spans="1:36" x14ac:dyDescent="0.2">
      <c r="A40" s="66" t="str">
        <f>ESTRUTURA!A40</f>
        <v/>
      </c>
      <c r="B40" s="58">
        <f t="shared" si="7"/>
        <v>0</v>
      </c>
      <c r="C40" s="60" t="str">
        <f t="shared" si="9"/>
        <v/>
      </c>
      <c r="D40" s="30" t="str">
        <f t="shared" si="9"/>
        <v/>
      </c>
      <c r="E40" s="60" t="str">
        <f t="shared" si="9"/>
        <v/>
      </c>
      <c r="F40" s="30" t="str">
        <f>IF($A40="","",IF(F$6="NÃO",0,Tabela!$H$34*ESTRUTURA!$I$4))</f>
        <v/>
      </c>
      <c r="G40" s="60" t="str">
        <f t="shared" si="9"/>
        <v/>
      </c>
      <c r="H40" s="30" t="str">
        <f>IF($A40="","",IF(H$6="NÃO",0,IF($A40=0,DATEDIF(ESTRUTURA!$F$3,ESTRUTURA!$F$4,"m")*Tabela!$H$6,Tabela!$H$6)))</f>
        <v/>
      </c>
      <c r="I40" s="60" t="str">
        <f t="shared" si="9"/>
        <v/>
      </c>
      <c r="J40" s="30" t="str">
        <f>IF($A40="","",IF(J$6="NÃO",0,IF($A40=0,DATEDIF(ESTRUTURA!$F$3,ESTRUTURA!$F$4,"m")*Tabela!$H$8,IF(J$6="NÃO",0,Tabela!$H$8))))</f>
        <v/>
      </c>
      <c r="K40" s="60" t="str">
        <f t="shared" si="9"/>
        <v/>
      </c>
      <c r="L40" s="30" t="str">
        <f t="shared" si="9"/>
        <v/>
      </c>
      <c r="M40" s="60" t="str">
        <f t="shared" si="9"/>
        <v/>
      </c>
      <c r="N40" s="30" t="str">
        <f t="shared" si="9"/>
        <v/>
      </c>
      <c r="O40" s="60" t="str">
        <f t="shared" si="9"/>
        <v/>
      </c>
      <c r="P40" s="30" t="str">
        <f t="shared" si="10"/>
        <v/>
      </c>
      <c r="Q40" s="60" t="str">
        <f t="shared" si="9"/>
        <v/>
      </c>
      <c r="R40" s="30" t="str">
        <f t="shared" si="9"/>
        <v/>
      </c>
      <c r="S40" s="60" t="str">
        <f>IF($A40="","",IF(S$6="NÃO",0,IF($A40=0,DATEDIF(ESTRUTURA!$F$3,ESTRUTURA!$F$4,"m")*Tabela!$H$17,Tabela!$H$17)))</f>
        <v/>
      </c>
      <c r="T40" s="30" t="str">
        <f>IF($A40="","",IF(T$6="NÃO",0,IF($A40=0,DATEDIF(ESTRUTURA!$F$3,ESTRUTURA!$F$4,"m")*Tabela!$H$18,Tabela!$H$18)))</f>
        <v/>
      </c>
      <c r="U40" s="60" t="str">
        <f t="shared" si="8"/>
        <v/>
      </c>
      <c r="V40" s="30" t="str">
        <f>IF($A40="","",IF(V$6="NÃO",0,IF($A40=0,DATEDIF(ESTRUTURA!$F$3,ESTRUTURA!$F$4,"m")*Tabela!$H$20,Tabela!$H$20)))</f>
        <v/>
      </c>
      <c r="W40" s="60" t="str">
        <f t="shared" si="8"/>
        <v/>
      </c>
      <c r="X40" s="30" t="str">
        <f t="shared" si="8"/>
        <v/>
      </c>
      <c r="Y40" s="60" t="str">
        <f>IF($A40="","",IF(Y$6="NÃO",0,IF(A40=0,Tabela!$H$23,IF(Y$7="mensal",Tabela!$H$23,IF(AND(MONTH(ESTRUTURA!C40)=MONTH(ESTRUTURA!$F$3),A40&gt;0),Tabela!$H$23,0)))))</f>
        <v/>
      </c>
      <c r="Z40" s="30" t="str">
        <f t="shared" si="8"/>
        <v/>
      </c>
      <c r="AA40" s="60" t="str">
        <f>IF($A40="","",IF(AA$6="NÃO",0,Tabela!$H$25*nm_séries))</f>
        <v/>
      </c>
      <c r="AB40" s="30" t="str">
        <f t="shared" si="8"/>
        <v/>
      </c>
      <c r="AC40" s="60" t="str">
        <f>IF($A40="","",IF(AC$6="NÃO",0,IF(A40=0,Tabela!$H$27,IF(MOD(A40,3)=0,Tabela!$H$27,0))))</f>
        <v/>
      </c>
      <c r="AD40" s="30" t="str">
        <f t="shared" si="8"/>
        <v/>
      </c>
      <c r="AE40" s="60" t="str">
        <f t="shared" si="8"/>
        <v/>
      </c>
      <c r="AF40" s="30" t="str">
        <f>IF($A40="","",IF(AF$6="NÃO",0,IF(AND(MONTH(ESTRUTURA!C40)=MONTH(ESTRUTURA!$F$3),A40&gt;0),Tabela!$H$30,0)))</f>
        <v/>
      </c>
      <c r="AG40" s="60" t="str">
        <f t="shared" si="8"/>
        <v/>
      </c>
      <c r="AH40" s="30" t="str">
        <f t="shared" si="8"/>
        <v/>
      </c>
      <c r="AI40" s="60" t="str">
        <f>IF($A40="","",IF(AI$6="NÃO",0,IF($A40=0,DATEDIF(ESTRUTURA!$F$3,ESTRUTURA!$F$4,"m")*Tabela!$H$33,Tabela!$H$33)))</f>
        <v/>
      </c>
      <c r="AJ40" s="30" t="str">
        <f t="shared" si="8"/>
        <v/>
      </c>
    </row>
    <row r="41" spans="1:36" x14ac:dyDescent="0.2">
      <c r="A41" s="66" t="str">
        <f>ESTRUTURA!A41</f>
        <v/>
      </c>
      <c r="B41" s="58">
        <f t="shared" si="7"/>
        <v>0</v>
      </c>
      <c r="C41" s="60" t="str">
        <f t="shared" si="9"/>
        <v/>
      </c>
      <c r="D41" s="30" t="str">
        <f t="shared" si="9"/>
        <v/>
      </c>
      <c r="E41" s="60" t="str">
        <f t="shared" si="9"/>
        <v/>
      </c>
      <c r="F41" s="30" t="str">
        <f>IF($A41="","",IF(F$6="NÃO",0,Tabela!$H$34*ESTRUTURA!$I$4))</f>
        <v/>
      </c>
      <c r="G41" s="60" t="str">
        <f t="shared" si="9"/>
        <v/>
      </c>
      <c r="H41" s="30" t="str">
        <f>IF($A41="","",IF(H$6="NÃO",0,IF($A41=0,DATEDIF(ESTRUTURA!$F$3,ESTRUTURA!$F$4,"m")*Tabela!$H$6,Tabela!$H$6)))</f>
        <v/>
      </c>
      <c r="I41" s="60" t="str">
        <f t="shared" si="9"/>
        <v/>
      </c>
      <c r="J41" s="30" t="str">
        <f>IF($A41="","",IF(J$6="NÃO",0,IF($A41=0,DATEDIF(ESTRUTURA!$F$3,ESTRUTURA!$F$4,"m")*Tabela!$H$8,IF(J$6="NÃO",0,Tabela!$H$8))))</f>
        <v/>
      </c>
      <c r="K41" s="60" t="str">
        <f t="shared" si="9"/>
        <v/>
      </c>
      <c r="L41" s="30" t="str">
        <f t="shared" si="9"/>
        <v/>
      </c>
      <c r="M41" s="60" t="str">
        <f t="shared" si="9"/>
        <v/>
      </c>
      <c r="N41" s="30" t="str">
        <f t="shared" si="9"/>
        <v/>
      </c>
      <c r="O41" s="60" t="str">
        <f t="shared" si="9"/>
        <v/>
      </c>
      <c r="P41" s="30" t="str">
        <f t="shared" si="10"/>
        <v/>
      </c>
      <c r="Q41" s="60" t="str">
        <f t="shared" si="9"/>
        <v/>
      </c>
      <c r="R41" s="30" t="str">
        <f t="shared" si="9"/>
        <v/>
      </c>
      <c r="S41" s="60" t="str">
        <f>IF($A41="","",IF(S$6="NÃO",0,IF($A41=0,DATEDIF(ESTRUTURA!$F$3,ESTRUTURA!$F$4,"m")*Tabela!$H$17,Tabela!$H$17)))</f>
        <v/>
      </c>
      <c r="T41" s="30" t="str">
        <f>IF($A41="","",IF(T$6="NÃO",0,IF($A41=0,DATEDIF(ESTRUTURA!$F$3,ESTRUTURA!$F$4,"m")*Tabela!$H$18,Tabela!$H$18)))</f>
        <v/>
      </c>
      <c r="U41" s="60" t="str">
        <f t="shared" si="8"/>
        <v/>
      </c>
      <c r="V41" s="30" t="str">
        <f>IF($A41="","",IF(V$6="NÃO",0,IF($A41=0,DATEDIF(ESTRUTURA!$F$3,ESTRUTURA!$F$4,"m")*Tabela!$H$20,Tabela!$H$20)))</f>
        <v/>
      </c>
      <c r="W41" s="60" t="str">
        <f t="shared" si="8"/>
        <v/>
      </c>
      <c r="X41" s="30" t="str">
        <f t="shared" si="8"/>
        <v/>
      </c>
      <c r="Y41" s="60" t="str">
        <f>IF($A41="","",IF(Y$6="NÃO",0,IF(A41=0,Tabela!$H$23,IF(Y$7="mensal",Tabela!$H$23,IF(AND(MONTH(ESTRUTURA!C41)=MONTH(ESTRUTURA!$F$3),A41&gt;0),Tabela!$H$23,0)))))</f>
        <v/>
      </c>
      <c r="Z41" s="30" t="str">
        <f t="shared" si="8"/>
        <v/>
      </c>
      <c r="AA41" s="60" t="str">
        <f>IF($A41="","",IF(AA$6="NÃO",0,Tabela!$H$25*nm_séries))</f>
        <v/>
      </c>
      <c r="AB41" s="30" t="str">
        <f t="shared" si="8"/>
        <v/>
      </c>
      <c r="AC41" s="60" t="str">
        <f>IF($A41="","",IF(AC$6="NÃO",0,IF(A41=0,Tabela!$H$27,IF(MOD(A41,3)=0,Tabela!$H$27,0))))</f>
        <v/>
      </c>
      <c r="AD41" s="30" t="str">
        <f t="shared" si="8"/>
        <v/>
      </c>
      <c r="AE41" s="60" t="str">
        <f t="shared" si="8"/>
        <v/>
      </c>
      <c r="AF41" s="30" t="str">
        <f>IF($A41="","",IF(AF$6="NÃO",0,IF(AND(MONTH(ESTRUTURA!C41)=MONTH(ESTRUTURA!$F$3),A41&gt;0),Tabela!$H$30,0)))</f>
        <v/>
      </c>
      <c r="AG41" s="60" t="str">
        <f t="shared" si="8"/>
        <v/>
      </c>
      <c r="AH41" s="30" t="str">
        <f t="shared" si="8"/>
        <v/>
      </c>
      <c r="AI41" s="60" t="str">
        <f>IF($A41="","",IF(AI$6="NÃO",0,IF($A41=0,DATEDIF(ESTRUTURA!$F$3,ESTRUTURA!$F$4,"m")*Tabela!$H$33,Tabela!$H$33)))</f>
        <v/>
      </c>
      <c r="AJ41" s="30" t="str">
        <f t="shared" si="8"/>
        <v/>
      </c>
    </row>
    <row r="42" spans="1:36" x14ac:dyDescent="0.2">
      <c r="A42" s="66" t="str">
        <f>ESTRUTURA!A42</f>
        <v/>
      </c>
      <c r="B42" s="58">
        <f t="shared" si="7"/>
        <v>0</v>
      </c>
      <c r="C42" s="60" t="str">
        <f t="shared" si="9"/>
        <v/>
      </c>
      <c r="D42" s="30" t="str">
        <f t="shared" si="9"/>
        <v/>
      </c>
      <c r="E42" s="60" t="str">
        <f t="shared" si="9"/>
        <v/>
      </c>
      <c r="F42" s="30" t="str">
        <f>IF($A42="","",IF(F$6="NÃO",0,Tabela!$H$34*ESTRUTURA!$I$4))</f>
        <v/>
      </c>
      <c r="G42" s="60" t="str">
        <f t="shared" si="9"/>
        <v/>
      </c>
      <c r="H42" s="30" t="str">
        <f>IF($A42="","",IF(H$6="NÃO",0,IF($A42=0,DATEDIF(ESTRUTURA!$F$3,ESTRUTURA!$F$4,"m")*Tabela!$H$6,Tabela!$H$6)))</f>
        <v/>
      </c>
      <c r="I42" s="60" t="str">
        <f t="shared" si="9"/>
        <v/>
      </c>
      <c r="J42" s="30" t="str">
        <f>IF($A42="","",IF(J$6="NÃO",0,IF($A42=0,DATEDIF(ESTRUTURA!$F$3,ESTRUTURA!$F$4,"m")*Tabela!$H$8,IF(J$6="NÃO",0,Tabela!$H$8))))</f>
        <v/>
      </c>
      <c r="K42" s="60" t="str">
        <f t="shared" si="9"/>
        <v/>
      </c>
      <c r="L42" s="30" t="str">
        <f t="shared" si="9"/>
        <v/>
      </c>
      <c r="M42" s="60" t="str">
        <f t="shared" si="9"/>
        <v/>
      </c>
      <c r="N42" s="30" t="str">
        <f t="shared" si="9"/>
        <v/>
      </c>
      <c r="O42" s="60" t="str">
        <f t="shared" si="9"/>
        <v/>
      </c>
      <c r="P42" s="30" t="str">
        <f t="shared" si="10"/>
        <v/>
      </c>
      <c r="Q42" s="60" t="str">
        <f t="shared" si="9"/>
        <v/>
      </c>
      <c r="R42" s="30" t="str">
        <f t="shared" si="9"/>
        <v/>
      </c>
      <c r="S42" s="60" t="str">
        <f>IF($A42="","",IF(S$6="NÃO",0,IF($A42=0,DATEDIF(ESTRUTURA!$F$3,ESTRUTURA!$F$4,"m")*Tabela!$H$17,Tabela!$H$17)))</f>
        <v/>
      </c>
      <c r="T42" s="30" t="str">
        <f>IF($A42="","",IF(T$6="NÃO",0,IF($A42=0,DATEDIF(ESTRUTURA!$F$3,ESTRUTURA!$F$4,"m")*Tabela!$H$18,Tabela!$H$18)))</f>
        <v/>
      </c>
      <c r="U42" s="60" t="str">
        <f t="shared" ref="U42:AJ57" si="11">IF($A42="","",IF(U$6="NÃO",0,0))</f>
        <v/>
      </c>
      <c r="V42" s="30" t="str">
        <f>IF($A42="","",IF(V$6="NÃO",0,IF($A42=0,DATEDIF(ESTRUTURA!$F$3,ESTRUTURA!$F$4,"m")*Tabela!$H$20,Tabela!$H$20)))</f>
        <v/>
      </c>
      <c r="W42" s="60" t="str">
        <f t="shared" si="11"/>
        <v/>
      </c>
      <c r="X42" s="30" t="str">
        <f t="shared" si="11"/>
        <v/>
      </c>
      <c r="Y42" s="60" t="str">
        <f>IF($A42="","",IF(Y$6="NÃO",0,IF(A42=0,Tabela!$H$23,IF(Y$7="mensal",Tabela!$H$23,IF(AND(MONTH(ESTRUTURA!C42)=MONTH(ESTRUTURA!$F$3),A42&gt;0),Tabela!$H$23,0)))))</f>
        <v/>
      </c>
      <c r="Z42" s="30" t="str">
        <f t="shared" si="11"/>
        <v/>
      </c>
      <c r="AA42" s="60" t="str">
        <f>IF($A42="","",IF(AA$6="NÃO",0,Tabela!$H$25*nm_séries))</f>
        <v/>
      </c>
      <c r="AB42" s="30" t="str">
        <f t="shared" si="11"/>
        <v/>
      </c>
      <c r="AC42" s="60" t="str">
        <f>IF($A42="","",IF(AC$6="NÃO",0,IF(A42=0,Tabela!$H$27,IF(MOD(A42,3)=0,Tabela!$H$27,0))))</f>
        <v/>
      </c>
      <c r="AD42" s="30" t="str">
        <f t="shared" si="11"/>
        <v/>
      </c>
      <c r="AE42" s="60" t="str">
        <f t="shared" si="11"/>
        <v/>
      </c>
      <c r="AF42" s="30" t="str">
        <f>IF($A42="","",IF(AF$6="NÃO",0,IF(AND(MONTH(ESTRUTURA!C42)=MONTH(ESTRUTURA!$F$3),A42&gt;0),Tabela!$H$30,0)))</f>
        <v/>
      </c>
      <c r="AG42" s="60" t="str">
        <f t="shared" si="11"/>
        <v/>
      </c>
      <c r="AH42" s="30" t="str">
        <f t="shared" si="11"/>
        <v/>
      </c>
      <c r="AI42" s="60" t="str">
        <f>IF($A42="","",IF(AI$6="NÃO",0,IF($A42=0,DATEDIF(ESTRUTURA!$F$3,ESTRUTURA!$F$4,"m")*Tabela!$H$33,Tabela!$H$33)))</f>
        <v/>
      </c>
      <c r="AJ42" s="30" t="str">
        <f t="shared" si="11"/>
        <v/>
      </c>
    </row>
    <row r="43" spans="1:36" x14ac:dyDescent="0.2">
      <c r="A43" s="66" t="str">
        <f>ESTRUTURA!A43</f>
        <v/>
      </c>
      <c r="B43" s="58">
        <f t="shared" si="7"/>
        <v>0</v>
      </c>
      <c r="C43" s="60" t="str">
        <f t="shared" si="9"/>
        <v/>
      </c>
      <c r="D43" s="30" t="str">
        <f t="shared" si="9"/>
        <v/>
      </c>
      <c r="E43" s="60" t="str">
        <f t="shared" si="9"/>
        <v/>
      </c>
      <c r="F43" s="30" t="str">
        <f>IF($A43="","",IF(F$6="NÃO",0,Tabela!$H$34*ESTRUTURA!$I$4))</f>
        <v/>
      </c>
      <c r="G43" s="60" t="str">
        <f t="shared" si="9"/>
        <v/>
      </c>
      <c r="H43" s="30" t="str">
        <f>IF($A43="","",IF(H$6="NÃO",0,IF($A43=0,DATEDIF(ESTRUTURA!$F$3,ESTRUTURA!$F$4,"m")*Tabela!$H$6,Tabela!$H$6)))</f>
        <v/>
      </c>
      <c r="I43" s="60" t="str">
        <f t="shared" si="9"/>
        <v/>
      </c>
      <c r="J43" s="30" t="str">
        <f>IF($A43="","",IF(J$6="NÃO",0,IF($A43=0,DATEDIF(ESTRUTURA!$F$3,ESTRUTURA!$F$4,"m")*Tabela!$H$8,IF(J$6="NÃO",0,Tabela!$H$8))))</f>
        <v/>
      </c>
      <c r="K43" s="60" t="str">
        <f t="shared" si="9"/>
        <v/>
      </c>
      <c r="L43" s="30" t="str">
        <f t="shared" si="9"/>
        <v/>
      </c>
      <c r="M43" s="60" t="str">
        <f t="shared" si="9"/>
        <v/>
      </c>
      <c r="N43" s="30" t="str">
        <f t="shared" si="9"/>
        <v/>
      </c>
      <c r="O43" s="60" t="str">
        <f t="shared" si="9"/>
        <v/>
      </c>
      <c r="P43" s="30" t="str">
        <f t="shared" si="10"/>
        <v/>
      </c>
      <c r="Q43" s="60" t="str">
        <f t="shared" si="9"/>
        <v/>
      </c>
      <c r="R43" s="30" t="str">
        <f t="shared" si="9"/>
        <v/>
      </c>
      <c r="S43" s="60" t="str">
        <f>IF($A43="","",IF(S$6="NÃO",0,IF($A43=0,DATEDIF(ESTRUTURA!$F$3,ESTRUTURA!$F$4,"m")*Tabela!$H$17,Tabela!$H$17)))</f>
        <v/>
      </c>
      <c r="T43" s="30" t="str">
        <f>IF($A43="","",IF(T$6="NÃO",0,IF($A43=0,DATEDIF(ESTRUTURA!$F$3,ESTRUTURA!$F$4,"m")*Tabela!$H$18,Tabela!$H$18)))</f>
        <v/>
      </c>
      <c r="U43" s="60" t="str">
        <f t="shared" si="11"/>
        <v/>
      </c>
      <c r="V43" s="30" t="str">
        <f>IF($A43="","",IF(V$6="NÃO",0,IF($A43=0,DATEDIF(ESTRUTURA!$F$3,ESTRUTURA!$F$4,"m")*Tabela!$H$20,Tabela!$H$20)))</f>
        <v/>
      </c>
      <c r="W43" s="60" t="str">
        <f t="shared" si="11"/>
        <v/>
      </c>
      <c r="X43" s="30" t="str">
        <f t="shared" si="11"/>
        <v/>
      </c>
      <c r="Y43" s="60" t="str">
        <f>IF($A43="","",IF(Y$6="NÃO",0,IF(A43=0,Tabela!$H$23,IF(Y$7="mensal",Tabela!$H$23,IF(AND(MONTH(ESTRUTURA!C43)=MONTH(ESTRUTURA!$F$3),A43&gt;0),Tabela!$H$23,0)))))</f>
        <v/>
      </c>
      <c r="Z43" s="30" t="str">
        <f t="shared" si="11"/>
        <v/>
      </c>
      <c r="AA43" s="60" t="str">
        <f>IF($A43="","",IF(AA$6="NÃO",0,Tabela!$H$25*nm_séries))</f>
        <v/>
      </c>
      <c r="AB43" s="30" t="str">
        <f t="shared" si="11"/>
        <v/>
      </c>
      <c r="AC43" s="60" t="str">
        <f>IF($A43="","",IF(AC$6="NÃO",0,IF(A43=0,Tabela!$H$27,IF(MOD(A43,3)=0,Tabela!$H$27,0))))</f>
        <v/>
      </c>
      <c r="AD43" s="30" t="str">
        <f t="shared" si="11"/>
        <v/>
      </c>
      <c r="AE43" s="60" t="str">
        <f t="shared" si="11"/>
        <v/>
      </c>
      <c r="AF43" s="30" t="str">
        <f>IF($A43="","",IF(AF$6="NÃO",0,IF(AND(MONTH(ESTRUTURA!C43)=MONTH(ESTRUTURA!$F$3),A43&gt;0),Tabela!$H$30,0)))</f>
        <v/>
      </c>
      <c r="AG43" s="60" t="str">
        <f t="shared" si="11"/>
        <v/>
      </c>
      <c r="AH43" s="30" t="str">
        <f t="shared" si="11"/>
        <v/>
      </c>
      <c r="AI43" s="60" t="str">
        <f>IF($A43="","",IF(AI$6="NÃO",0,IF($A43=0,DATEDIF(ESTRUTURA!$F$3,ESTRUTURA!$F$4,"m")*Tabela!$H$33,Tabela!$H$33)))</f>
        <v/>
      </c>
      <c r="AJ43" s="30" t="str">
        <f t="shared" si="11"/>
        <v/>
      </c>
    </row>
    <row r="44" spans="1:36" x14ac:dyDescent="0.2">
      <c r="A44" s="66" t="str">
        <f>ESTRUTURA!A44</f>
        <v/>
      </c>
      <c r="B44" s="58">
        <f t="shared" si="7"/>
        <v>0</v>
      </c>
      <c r="C44" s="60" t="str">
        <f t="shared" ref="C44:R59" si="12">IF($A44="","",IF(C$6="NÃO",0,0))</f>
        <v/>
      </c>
      <c r="D44" s="30" t="str">
        <f t="shared" si="12"/>
        <v/>
      </c>
      <c r="E44" s="60" t="str">
        <f t="shared" si="12"/>
        <v/>
      </c>
      <c r="F44" s="30" t="str">
        <f>IF($A44="","",IF(F$6="NÃO",0,Tabela!$H$34*ESTRUTURA!$I$4))</f>
        <v/>
      </c>
      <c r="G44" s="60" t="str">
        <f t="shared" si="12"/>
        <v/>
      </c>
      <c r="H44" s="30" t="str">
        <f>IF($A44="","",IF(H$6="NÃO",0,IF($A44=0,DATEDIF(ESTRUTURA!$F$3,ESTRUTURA!$F$4,"m")*Tabela!$H$6,Tabela!$H$6)))</f>
        <v/>
      </c>
      <c r="I44" s="60" t="str">
        <f t="shared" si="12"/>
        <v/>
      </c>
      <c r="J44" s="30" t="str">
        <f>IF($A44="","",IF(J$6="NÃO",0,IF($A44=0,DATEDIF(ESTRUTURA!$F$3,ESTRUTURA!$F$4,"m")*Tabela!$H$8,IF(J$6="NÃO",0,Tabela!$H$8))))</f>
        <v/>
      </c>
      <c r="K44" s="60" t="str">
        <f t="shared" si="12"/>
        <v/>
      </c>
      <c r="L44" s="30" t="str">
        <f t="shared" si="12"/>
        <v/>
      </c>
      <c r="M44" s="60" t="str">
        <f t="shared" si="12"/>
        <v/>
      </c>
      <c r="N44" s="30" t="str">
        <f t="shared" si="12"/>
        <v/>
      </c>
      <c r="O44" s="60" t="str">
        <f t="shared" si="12"/>
        <v/>
      </c>
      <c r="P44" s="30" t="str">
        <f t="shared" si="12"/>
        <v/>
      </c>
      <c r="Q44" s="60" t="str">
        <f t="shared" si="12"/>
        <v/>
      </c>
      <c r="R44" s="30" t="str">
        <f t="shared" si="12"/>
        <v/>
      </c>
      <c r="S44" s="60" t="str">
        <f>IF($A44="","",IF(S$6="NÃO",0,IF($A44=0,DATEDIF(ESTRUTURA!$F$3,ESTRUTURA!$F$4,"m")*Tabela!$H$17,Tabela!$H$17)))</f>
        <v/>
      </c>
      <c r="T44" s="30" t="str">
        <f>IF($A44="","",IF(T$6="NÃO",0,IF($A44=0,DATEDIF(ESTRUTURA!$F$3,ESTRUTURA!$F$4,"m")*Tabela!$H$18,Tabela!$H$18)))</f>
        <v/>
      </c>
      <c r="U44" s="60" t="str">
        <f t="shared" si="11"/>
        <v/>
      </c>
      <c r="V44" s="30" t="str">
        <f>IF($A44="","",IF(V$6="NÃO",0,IF($A44=0,DATEDIF(ESTRUTURA!$F$3,ESTRUTURA!$F$4,"m")*Tabela!$H$20,Tabela!$H$20)))</f>
        <v/>
      </c>
      <c r="W44" s="60" t="str">
        <f t="shared" si="11"/>
        <v/>
      </c>
      <c r="X44" s="30" t="str">
        <f t="shared" si="11"/>
        <v/>
      </c>
      <c r="Y44" s="60" t="str">
        <f>IF($A44="","",IF(Y$6="NÃO",0,IF(A44=0,Tabela!$H$23,IF(Y$7="mensal",Tabela!$H$23,IF(AND(MONTH(ESTRUTURA!C44)=MONTH(ESTRUTURA!$F$3),A44&gt;0),Tabela!$H$23,0)))))</f>
        <v/>
      </c>
      <c r="Z44" s="30" t="str">
        <f t="shared" si="11"/>
        <v/>
      </c>
      <c r="AA44" s="60" t="str">
        <f>IF($A44="","",IF(AA$6="NÃO",0,Tabela!$H$25*nm_séries))</f>
        <v/>
      </c>
      <c r="AB44" s="30" t="str">
        <f t="shared" si="11"/>
        <v/>
      </c>
      <c r="AC44" s="60" t="str">
        <f>IF($A44="","",IF(AC$6="NÃO",0,IF(A44=0,Tabela!$H$27,IF(MOD(A44,3)=0,Tabela!$H$27,0))))</f>
        <v/>
      </c>
      <c r="AD44" s="30" t="str">
        <f t="shared" si="11"/>
        <v/>
      </c>
      <c r="AE44" s="60" t="str">
        <f t="shared" si="11"/>
        <v/>
      </c>
      <c r="AF44" s="30" t="str">
        <f>IF($A44="","",IF(AF$6="NÃO",0,IF(AND(MONTH(ESTRUTURA!C44)=MONTH(ESTRUTURA!$F$3),A44&gt;0),Tabela!$H$30,0)))</f>
        <v/>
      </c>
      <c r="AG44" s="60" t="str">
        <f t="shared" si="11"/>
        <v/>
      </c>
      <c r="AH44" s="30" t="str">
        <f t="shared" si="11"/>
        <v/>
      </c>
      <c r="AI44" s="60" t="str">
        <f>IF($A44="","",IF(AI$6="NÃO",0,IF($A44=0,DATEDIF(ESTRUTURA!$F$3,ESTRUTURA!$F$4,"m")*Tabela!$H$33,Tabela!$H$33)))</f>
        <v/>
      </c>
      <c r="AJ44" s="30" t="str">
        <f t="shared" si="11"/>
        <v/>
      </c>
    </row>
    <row r="45" spans="1:36" x14ac:dyDescent="0.2">
      <c r="A45" s="66" t="str">
        <f>ESTRUTURA!A45</f>
        <v/>
      </c>
      <c r="B45" s="58">
        <f t="shared" si="7"/>
        <v>0</v>
      </c>
      <c r="C45" s="60" t="str">
        <f t="shared" si="12"/>
        <v/>
      </c>
      <c r="D45" s="30" t="str">
        <f t="shared" si="12"/>
        <v/>
      </c>
      <c r="E45" s="60" t="str">
        <f t="shared" si="12"/>
        <v/>
      </c>
      <c r="F45" s="30" t="str">
        <f>IF($A45="","",IF(F$6="NÃO",0,Tabela!$H$34*ESTRUTURA!$I$4))</f>
        <v/>
      </c>
      <c r="G45" s="60" t="str">
        <f t="shared" si="12"/>
        <v/>
      </c>
      <c r="H45" s="30" t="str">
        <f>IF($A45="","",IF(H$6="NÃO",0,IF($A45=0,DATEDIF(ESTRUTURA!$F$3,ESTRUTURA!$F$4,"m")*Tabela!$H$6,Tabela!$H$6)))</f>
        <v/>
      </c>
      <c r="I45" s="60" t="str">
        <f t="shared" si="12"/>
        <v/>
      </c>
      <c r="J45" s="30" t="str">
        <f>IF($A45="","",IF(J$6="NÃO",0,IF($A45=0,DATEDIF(ESTRUTURA!$F$3,ESTRUTURA!$F$4,"m")*Tabela!$H$8,IF(J$6="NÃO",0,Tabela!$H$8))))</f>
        <v/>
      </c>
      <c r="K45" s="60" t="str">
        <f t="shared" si="12"/>
        <v/>
      </c>
      <c r="L45" s="30" t="str">
        <f t="shared" si="12"/>
        <v/>
      </c>
      <c r="M45" s="60" t="str">
        <f t="shared" si="12"/>
        <v/>
      </c>
      <c r="N45" s="30" t="str">
        <f t="shared" si="12"/>
        <v/>
      </c>
      <c r="O45" s="60" t="str">
        <f t="shared" si="12"/>
        <v/>
      </c>
      <c r="P45" s="30" t="str">
        <f t="shared" si="12"/>
        <v/>
      </c>
      <c r="Q45" s="60" t="str">
        <f t="shared" si="12"/>
        <v/>
      </c>
      <c r="R45" s="30" t="str">
        <f t="shared" si="12"/>
        <v/>
      </c>
      <c r="S45" s="60" t="str">
        <f>IF($A45="","",IF(S$6="NÃO",0,IF($A45=0,DATEDIF(ESTRUTURA!$F$3,ESTRUTURA!$F$4,"m")*Tabela!$H$17,Tabela!$H$17)))</f>
        <v/>
      </c>
      <c r="T45" s="30" t="str">
        <f>IF($A45="","",IF(T$6="NÃO",0,IF($A45=0,DATEDIF(ESTRUTURA!$F$3,ESTRUTURA!$F$4,"m")*Tabela!$H$18,Tabela!$H$18)))</f>
        <v/>
      </c>
      <c r="U45" s="60" t="str">
        <f t="shared" si="11"/>
        <v/>
      </c>
      <c r="V45" s="30" t="str">
        <f>IF($A45="","",IF(V$6="NÃO",0,IF($A45=0,DATEDIF(ESTRUTURA!$F$3,ESTRUTURA!$F$4,"m")*Tabela!$H$20,Tabela!$H$20)))</f>
        <v/>
      </c>
      <c r="W45" s="60" t="str">
        <f t="shared" si="11"/>
        <v/>
      </c>
      <c r="X45" s="30" t="str">
        <f t="shared" si="11"/>
        <v/>
      </c>
      <c r="Y45" s="60" t="str">
        <f>IF($A45="","",IF(Y$6="NÃO",0,IF(A45=0,Tabela!$H$23,IF(Y$7="mensal",Tabela!$H$23,IF(AND(MONTH(ESTRUTURA!C45)=MONTH(ESTRUTURA!$F$3),A45&gt;0),Tabela!$H$23,0)))))</f>
        <v/>
      </c>
      <c r="Z45" s="30" t="str">
        <f t="shared" si="11"/>
        <v/>
      </c>
      <c r="AA45" s="60" t="str">
        <f>IF($A45="","",IF(AA$6="NÃO",0,Tabela!$H$25*nm_séries))</f>
        <v/>
      </c>
      <c r="AB45" s="30" t="str">
        <f t="shared" si="11"/>
        <v/>
      </c>
      <c r="AC45" s="60" t="str">
        <f>IF($A45="","",IF(AC$6="NÃO",0,IF(A45=0,Tabela!$H$27,IF(MOD(A45,3)=0,Tabela!$H$27,0))))</f>
        <v/>
      </c>
      <c r="AD45" s="30" t="str">
        <f t="shared" si="11"/>
        <v/>
      </c>
      <c r="AE45" s="60" t="str">
        <f t="shared" si="11"/>
        <v/>
      </c>
      <c r="AF45" s="30" t="str">
        <f>IF($A45="","",IF(AF$6="NÃO",0,IF(AND(MONTH(ESTRUTURA!C45)=MONTH(ESTRUTURA!$F$3),A45&gt;0),Tabela!$H$30,0)))</f>
        <v/>
      </c>
      <c r="AG45" s="60" t="str">
        <f t="shared" si="11"/>
        <v/>
      </c>
      <c r="AH45" s="30" t="str">
        <f t="shared" si="11"/>
        <v/>
      </c>
      <c r="AI45" s="60" t="str">
        <f>IF($A45="","",IF(AI$6="NÃO",0,IF($A45=0,DATEDIF(ESTRUTURA!$F$3,ESTRUTURA!$F$4,"m")*Tabela!$H$33,Tabela!$H$33)))</f>
        <v/>
      </c>
      <c r="AJ45" s="30" t="str">
        <f t="shared" si="11"/>
        <v/>
      </c>
    </row>
    <row r="46" spans="1:36" x14ac:dyDescent="0.2">
      <c r="A46" s="66" t="str">
        <f>ESTRUTURA!A46</f>
        <v/>
      </c>
      <c r="B46" s="58">
        <f t="shared" si="7"/>
        <v>0</v>
      </c>
      <c r="C46" s="60" t="str">
        <f t="shared" si="12"/>
        <v/>
      </c>
      <c r="D46" s="30" t="str">
        <f t="shared" si="12"/>
        <v/>
      </c>
      <c r="E46" s="60" t="str">
        <f t="shared" si="12"/>
        <v/>
      </c>
      <c r="F46" s="30" t="str">
        <f>IF($A46="","",IF(F$6="NÃO",0,Tabela!$H$34*ESTRUTURA!$I$4))</f>
        <v/>
      </c>
      <c r="G46" s="60" t="str">
        <f t="shared" si="12"/>
        <v/>
      </c>
      <c r="H46" s="30" t="str">
        <f>IF($A46="","",IF(H$6="NÃO",0,IF($A46=0,DATEDIF(ESTRUTURA!$F$3,ESTRUTURA!$F$4,"m")*Tabela!$H$6,Tabela!$H$6)))</f>
        <v/>
      </c>
      <c r="I46" s="60" t="str">
        <f t="shared" si="12"/>
        <v/>
      </c>
      <c r="J46" s="30" t="str">
        <f>IF($A46="","",IF(J$6="NÃO",0,IF($A46=0,DATEDIF(ESTRUTURA!$F$3,ESTRUTURA!$F$4,"m")*Tabela!$H$8,IF(J$6="NÃO",0,Tabela!$H$8))))</f>
        <v/>
      </c>
      <c r="K46" s="60" t="str">
        <f t="shared" si="12"/>
        <v/>
      </c>
      <c r="L46" s="30" t="str">
        <f t="shared" si="12"/>
        <v/>
      </c>
      <c r="M46" s="60" t="str">
        <f t="shared" si="12"/>
        <v/>
      </c>
      <c r="N46" s="30" t="str">
        <f t="shared" si="12"/>
        <v/>
      </c>
      <c r="O46" s="60" t="str">
        <f t="shared" si="12"/>
        <v/>
      </c>
      <c r="P46" s="30" t="str">
        <f t="shared" si="12"/>
        <v/>
      </c>
      <c r="Q46" s="60" t="str">
        <f t="shared" si="12"/>
        <v/>
      </c>
      <c r="R46" s="30" t="str">
        <f t="shared" si="12"/>
        <v/>
      </c>
      <c r="S46" s="60" t="str">
        <f>IF($A46="","",IF(S$6="NÃO",0,IF($A46=0,DATEDIF(ESTRUTURA!$F$3,ESTRUTURA!$F$4,"m")*Tabela!$H$17,Tabela!$H$17)))</f>
        <v/>
      </c>
      <c r="T46" s="30" t="str">
        <f>IF($A46="","",IF(T$6="NÃO",0,IF($A46=0,DATEDIF(ESTRUTURA!$F$3,ESTRUTURA!$F$4,"m")*Tabela!$H$18,Tabela!$H$18)))</f>
        <v/>
      </c>
      <c r="U46" s="60" t="str">
        <f t="shared" si="11"/>
        <v/>
      </c>
      <c r="V46" s="30" t="str">
        <f>IF($A46="","",IF(V$6="NÃO",0,IF($A46=0,DATEDIF(ESTRUTURA!$F$3,ESTRUTURA!$F$4,"m")*Tabela!$H$20,Tabela!$H$20)))</f>
        <v/>
      </c>
      <c r="W46" s="60" t="str">
        <f t="shared" si="11"/>
        <v/>
      </c>
      <c r="X46" s="30" t="str">
        <f t="shared" si="11"/>
        <v/>
      </c>
      <c r="Y46" s="60" t="str">
        <f>IF($A46="","",IF(Y$6="NÃO",0,IF(A46=0,Tabela!$H$23,IF(Y$7="mensal",Tabela!$H$23,IF(AND(MONTH(ESTRUTURA!C46)=MONTH(ESTRUTURA!$F$3),A46&gt;0),Tabela!$H$23,0)))))</f>
        <v/>
      </c>
      <c r="Z46" s="30" t="str">
        <f t="shared" si="11"/>
        <v/>
      </c>
      <c r="AA46" s="60" t="str">
        <f>IF($A46="","",IF(AA$6="NÃO",0,Tabela!$H$25*nm_séries))</f>
        <v/>
      </c>
      <c r="AB46" s="30" t="str">
        <f t="shared" si="11"/>
        <v/>
      </c>
      <c r="AC46" s="60" t="str">
        <f>IF($A46="","",IF(AC$6="NÃO",0,IF(A46=0,Tabela!$H$27,IF(MOD(A46,3)=0,Tabela!$H$27,0))))</f>
        <v/>
      </c>
      <c r="AD46" s="30" t="str">
        <f t="shared" si="11"/>
        <v/>
      </c>
      <c r="AE46" s="60" t="str">
        <f t="shared" si="11"/>
        <v/>
      </c>
      <c r="AF46" s="30" t="str">
        <f>IF($A46="","",IF(AF$6="NÃO",0,IF(AND(MONTH(ESTRUTURA!C46)=MONTH(ESTRUTURA!$F$3),A46&gt;0),Tabela!$H$30,0)))</f>
        <v/>
      </c>
      <c r="AG46" s="60" t="str">
        <f t="shared" si="11"/>
        <v/>
      </c>
      <c r="AH46" s="30" t="str">
        <f t="shared" si="11"/>
        <v/>
      </c>
      <c r="AI46" s="60" t="str">
        <f>IF($A46="","",IF(AI$6="NÃO",0,IF($A46=0,DATEDIF(ESTRUTURA!$F$3,ESTRUTURA!$F$4,"m")*Tabela!$H$33,Tabela!$H$33)))</f>
        <v/>
      </c>
      <c r="AJ46" s="30" t="str">
        <f t="shared" si="11"/>
        <v/>
      </c>
    </row>
    <row r="47" spans="1:36" x14ac:dyDescent="0.2">
      <c r="A47" s="66" t="str">
        <f>ESTRUTURA!A47</f>
        <v/>
      </c>
      <c r="B47" s="58">
        <f t="shared" si="7"/>
        <v>0</v>
      </c>
      <c r="C47" s="60" t="str">
        <f t="shared" si="12"/>
        <v/>
      </c>
      <c r="D47" s="30" t="str">
        <f t="shared" si="12"/>
        <v/>
      </c>
      <c r="E47" s="60" t="str">
        <f t="shared" si="12"/>
        <v/>
      </c>
      <c r="F47" s="30" t="str">
        <f>IF($A47="","",IF(F$6="NÃO",0,Tabela!$H$34*ESTRUTURA!$I$4))</f>
        <v/>
      </c>
      <c r="G47" s="60" t="str">
        <f t="shared" si="12"/>
        <v/>
      </c>
      <c r="H47" s="30" t="str">
        <f>IF($A47="","",IF(H$6="NÃO",0,IF($A47=0,DATEDIF(ESTRUTURA!$F$3,ESTRUTURA!$F$4,"m")*Tabela!$H$6,Tabela!$H$6)))</f>
        <v/>
      </c>
      <c r="I47" s="60" t="str">
        <f t="shared" si="12"/>
        <v/>
      </c>
      <c r="J47" s="30" t="str">
        <f>IF($A47="","",IF(J$6="NÃO",0,IF($A47=0,DATEDIF(ESTRUTURA!$F$3,ESTRUTURA!$F$4,"m")*Tabela!$H$8,IF(J$6="NÃO",0,Tabela!$H$8))))</f>
        <v/>
      </c>
      <c r="K47" s="60" t="str">
        <f t="shared" si="12"/>
        <v/>
      </c>
      <c r="L47" s="30" t="str">
        <f t="shared" si="12"/>
        <v/>
      </c>
      <c r="M47" s="60" t="str">
        <f t="shared" si="12"/>
        <v/>
      </c>
      <c r="N47" s="30" t="str">
        <f t="shared" si="12"/>
        <v/>
      </c>
      <c r="O47" s="60" t="str">
        <f t="shared" si="12"/>
        <v/>
      </c>
      <c r="P47" s="30" t="str">
        <f t="shared" si="12"/>
        <v/>
      </c>
      <c r="Q47" s="60" t="str">
        <f t="shared" si="12"/>
        <v/>
      </c>
      <c r="R47" s="30" t="str">
        <f t="shared" si="12"/>
        <v/>
      </c>
      <c r="S47" s="60" t="str">
        <f>IF($A47="","",IF(S$6="NÃO",0,IF($A47=0,DATEDIF(ESTRUTURA!$F$3,ESTRUTURA!$F$4,"m")*Tabela!$H$17,Tabela!$H$17)))</f>
        <v/>
      </c>
      <c r="T47" s="30" t="str">
        <f>IF($A47="","",IF(T$6="NÃO",0,IF($A47=0,DATEDIF(ESTRUTURA!$F$3,ESTRUTURA!$F$4,"m")*Tabela!$H$18,Tabela!$H$18)))</f>
        <v/>
      </c>
      <c r="U47" s="60" t="str">
        <f t="shared" si="11"/>
        <v/>
      </c>
      <c r="V47" s="30" t="str">
        <f>IF($A47="","",IF(V$6="NÃO",0,IF($A47=0,DATEDIF(ESTRUTURA!$F$3,ESTRUTURA!$F$4,"m")*Tabela!$H$20,Tabela!$H$20)))</f>
        <v/>
      </c>
      <c r="W47" s="60" t="str">
        <f t="shared" si="11"/>
        <v/>
      </c>
      <c r="X47" s="30" t="str">
        <f t="shared" si="11"/>
        <v/>
      </c>
      <c r="Y47" s="60" t="str">
        <f>IF($A47="","",IF(Y$6="NÃO",0,IF(A47=0,Tabela!$H$23,IF(Y$7="mensal",Tabela!$H$23,IF(AND(MONTH(ESTRUTURA!C47)=MONTH(ESTRUTURA!$F$3),A47&gt;0),Tabela!$H$23,0)))))</f>
        <v/>
      </c>
      <c r="Z47" s="30" t="str">
        <f t="shared" si="11"/>
        <v/>
      </c>
      <c r="AA47" s="60" t="str">
        <f>IF($A47="","",IF(AA$6="NÃO",0,Tabela!$H$25*nm_séries))</f>
        <v/>
      </c>
      <c r="AB47" s="30" t="str">
        <f t="shared" si="11"/>
        <v/>
      </c>
      <c r="AC47" s="60" t="str">
        <f>IF($A47="","",IF(AC$6="NÃO",0,IF(A47=0,Tabela!$H$27,IF(MOD(A47,3)=0,Tabela!$H$27,0))))</f>
        <v/>
      </c>
      <c r="AD47" s="30" t="str">
        <f t="shared" si="11"/>
        <v/>
      </c>
      <c r="AE47" s="60" t="str">
        <f t="shared" si="11"/>
        <v/>
      </c>
      <c r="AF47" s="30" t="str">
        <f>IF($A47="","",IF(AF$6="NÃO",0,IF(AND(MONTH(ESTRUTURA!C47)=MONTH(ESTRUTURA!$F$3),A47&gt;0),Tabela!$H$30,0)))</f>
        <v/>
      </c>
      <c r="AG47" s="60" t="str">
        <f t="shared" si="11"/>
        <v/>
      </c>
      <c r="AH47" s="30" t="str">
        <f t="shared" si="11"/>
        <v/>
      </c>
      <c r="AI47" s="60" t="str">
        <f>IF($A47="","",IF(AI$6="NÃO",0,IF($A47=0,DATEDIF(ESTRUTURA!$F$3,ESTRUTURA!$F$4,"m")*Tabela!$H$33,Tabela!$H$33)))</f>
        <v/>
      </c>
      <c r="AJ47" s="30" t="str">
        <f t="shared" si="11"/>
        <v/>
      </c>
    </row>
    <row r="48" spans="1:36" x14ac:dyDescent="0.2">
      <c r="A48" s="66" t="str">
        <f>ESTRUTURA!A48</f>
        <v/>
      </c>
      <c r="B48" s="58">
        <f t="shared" si="7"/>
        <v>0</v>
      </c>
      <c r="C48" s="60" t="str">
        <f t="shared" si="12"/>
        <v/>
      </c>
      <c r="D48" s="30" t="str">
        <f t="shared" si="12"/>
        <v/>
      </c>
      <c r="E48" s="60" t="str">
        <f t="shared" si="12"/>
        <v/>
      </c>
      <c r="F48" s="30" t="str">
        <f>IF($A48="","",IF(F$6="NÃO",0,Tabela!$H$34*ESTRUTURA!$I$4))</f>
        <v/>
      </c>
      <c r="G48" s="60" t="str">
        <f t="shared" si="12"/>
        <v/>
      </c>
      <c r="H48" s="30" t="str">
        <f>IF($A48="","",IF(H$6="NÃO",0,IF($A48=0,DATEDIF(ESTRUTURA!$F$3,ESTRUTURA!$F$4,"m")*Tabela!$H$6,Tabela!$H$6)))</f>
        <v/>
      </c>
      <c r="I48" s="60" t="str">
        <f t="shared" si="12"/>
        <v/>
      </c>
      <c r="J48" s="30" t="str">
        <f>IF($A48="","",IF(J$6="NÃO",0,IF($A48=0,DATEDIF(ESTRUTURA!$F$3,ESTRUTURA!$F$4,"m")*Tabela!$H$8,IF(J$6="NÃO",0,Tabela!$H$8))))</f>
        <v/>
      </c>
      <c r="K48" s="60" t="str">
        <f t="shared" si="12"/>
        <v/>
      </c>
      <c r="L48" s="30" t="str">
        <f t="shared" si="12"/>
        <v/>
      </c>
      <c r="M48" s="60" t="str">
        <f t="shared" si="12"/>
        <v/>
      </c>
      <c r="N48" s="30" t="str">
        <f t="shared" si="12"/>
        <v/>
      </c>
      <c r="O48" s="60" t="str">
        <f t="shared" si="12"/>
        <v/>
      </c>
      <c r="P48" s="30" t="str">
        <f t="shared" si="12"/>
        <v/>
      </c>
      <c r="Q48" s="60" t="str">
        <f t="shared" si="12"/>
        <v/>
      </c>
      <c r="R48" s="30" t="str">
        <f t="shared" si="12"/>
        <v/>
      </c>
      <c r="S48" s="60" t="str">
        <f>IF($A48="","",IF(S$6="NÃO",0,IF($A48=0,DATEDIF(ESTRUTURA!$F$3,ESTRUTURA!$F$4,"m")*Tabela!$H$17,Tabela!$H$17)))</f>
        <v/>
      </c>
      <c r="T48" s="30" t="str">
        <f>IF($A48="","",IF(T$6="NÃO",0,IF($A48=0,DATEDIF(ESTRUTURA!$F$3,ESTRUTURA!$F$4,"m")*Tabela!$H$18,Tabela!$H$18)))</f>
        <v/>
      </c>
      <c r="U48" s="60" t="str">
        <f t="shared" si="11"/>
        <v/>
      </c>
      <c r="V48" s="30" t="str">
        <f>IF($A48="","",IF(V$6="NÃO",0,IF($A48=0,DATEDIF(ESTRUTURA!$F$3,ESTRUTURA!$F$4,"m")*Tabela!$H$20,Tabela!$H$20)))</f>
        <v/>
      </c>
      <c r="W48" s="60" t="str">
        <f t="shared" si="11"/>
        <v/>
      </c>
      <c r="X48" s="30" t="str">
        <f t="shared" si="11"/>
        <v/>
      </c>
      <c r="Y48" s="60" t="str">
        <f>IF($A48="","",IF(Y$6="NÃO",0,IF(A48=0,Tabela!$H$23,IF(Y$7="mensal",Tabela!$H$23,IF(AND(MONTH(ESTRUTURA!C48)=MONTH(ESTRUTURA!$F$3),A48&gt;0),Tabela!$H$23,0)))))</f>
        <v/>
      </c>
      <c r="Z48" s="30" t="str">
        <f t="shared" si="11"/>
        <v/>
      </c>
      <c r="AA48" s="60" t="str">
        <f>IF($A48="","",IF(AA$6="NÃO",0,Tabela!$H$25*nm_séries))</f>
        <v/>
      </c>
      <c r="AB48" s="30" t="str">
        <f t="shared" si="11"/>
        <v/>
      </c>
      <c r="AC48" s="60" t="str">
        <f>IF($A48="","",IF(AC$6="NÃO",0,IF(A48=0,Tabela!$H$27,IF(MOD(A48,3)=0,Tabela!$H$27,0))))</f>
        <v/>
      </c>
      <c r="AD48" s="30" t="str">
        <f t="shared" si="11"/>
        <v/>
      </c>
      <c r="AE48" s="60" t="str">
        <f t="shared" si="11"/>
        <v/>
      </c>
      <c r="AF48" s="30" t="str">
        <f>IF($A48="","",IF(AF$6="NÃO",0,IF(AND(MONTH(ESTRUTURA!C48)=MONTH(ESTRUTURA!$F$3),A48&gt;0),Tabela!$H$30,0)))</f>
        <v/>
      </c>
      <c r="AG48" s="60" t="str">
        <f t="shared" si="11"/>
        <v/>
      </c>
      <c r="AH48" s="30" t="str">
        <f t="shared" si="11"/>
        <v/>
      </c>
      <c r="AI48" s="60" t="str">
        <f>IF($A48="","",IF(AI$6="NÃO",0,IF($A48=0,DATEDIF(ESTRUTURA!$F$3,ESTRUTURA!$F$4,"m")*Tabela!$H$33,Tabela!$H$33)))</f>
        <v/>
      </c>
      <c r="AJ48" s="30" t="str">
        <f t="shared" si="11"/>
        <v/>
      </c>
    </row>
    <row r="49" spans="1:36" x14ac:dyDescent="0.2">
      <c r="A49" s="66" t="str">
        <f>ESTRUTURA!A49</f>
        <v/>
      </c>
      <c r="B49" s="58">
        <f t="shared" si="7"/>
        <v>0</v>
      </c>
      <c r="C49" s="60" t="str">
        <f t="shared" si="12"/>
        <v/>
      </c>
      <c r="D49" s="30" t="str">
        <f t="shared" si="12"/>
        <v/>
      </c>
      <c r="E49" s="60" t="str">
        <f t="shared" si="12"/>
        <v/>
      </c>
      <c r="F49" s="30" t="str">
        <f>IF($A49="","",IF(F$6="NÃO",0,Tabela!$H$34*ESTRUTURA!$I$4))</f>
        <v/>
      </c>
      <c r="G49" s="60" t="str">
        <f t="shared" si="12"/>
        <v/>
      </c>
      <c r="H49" s="30" t="str">
        <f>IF($A49="","",IF(H$6="NÃO",0,IF($A49=0,DATEDIF(ESTRUTURA!$F$3,ESTRUTURA!$F$4,"m")*Tabela!$H$6,Tabela!$H$6)))</f>
        <v/>
      </c>
      <c r="I49" s="60" t="str">
        <f t="shared" si="12"/>
        <v/>
      </c>
      <c r="J49" s="30" t="str">
        <f>IF($A49="","",IF(J$6="NÃO",0,IF($A49=0,DATEDIF(ESTRUTURA!$F$3,ESTRUTURA!$F$4,"m")*Tabela!$H$8,IF(J$6="NÃO",0,Tabela!$H$8))))</f>
        <v/>
      </c>
      <c r="K49" s="60" t="str">
        <f t="shared" si="12"/>
        <v/>
      </c>
      <c r="L49" s="30" t="str">
        <f t="shared" si="12"/>
        <v/>
      </c>
      <c r="M49" s="60" t="str">
        <f t="shared" si="12"/>
        <v/>
      </c>
      <c r="N49" s="30" t="str">
        <f t="shared" si="12"/>
        <v/>
      </c>
      <c r="O49" s="60" t="str">
        <f t="shared" si="12"/>
        <v/>
      </c>
      <c r="P49" s="30" t="str">
        <f t="shared" si="12"/>
        <v/>
      </c>
      <c r="Q49" s="60" t="str">
        <f t="shared" si="12"/>
        <v/>
      </c>
      <c r="R49" s="30" t="str">
        <f t="shared" si="12"/>
        <v/>
      </c>
      <c r="S49" s="60" t="str">
        <f>IF($A49="","",IF(S$6="NÃO",0,IF($A49=0,DATEDIF(ESTRUTURA!$F$3,ESTRUTURA!$F$4,"m")*Tabela!$H$17,Tabela!$H$17)))</f>
        <v/>
      </c>
      <c r="T49" s="30" t="str">
        <f>IF($A49="","",IF(T$6="NÃO",0,IF($A49=0,DATEDIF(ESTRUTURA!$F$3,ESTRUTURA!$F$4,"m")*Tabela!$H$18,Tabela!$H$18)))</f>
        <v/>
      </c>
      <c r="U49" s="60" t="str">
        <f t="shared" si="11"/>
        <v/>
      </c>
      <c r="V49" s="30" t="str">
        <f>IF($A49="","",IF(V$6="NÃO",0,IF($A49=0,DATEDIF(ESTRUTURA!$F$3,ESTRUTURA!$F$4,"m")*Tabela!$H$20,Tabela!$H$20)))</f>
        <v/>
      </c>
      <c r="W49" s="60" t="str">
        <f t="shared" si="11"/>
        <v/>
      </c>
      <c r="X49" s="30" t="str">
        <f t="shared" si="11"/>
        <v/>
      </c>
      <c r="Y49" s="60" t="str">
        <f>IF($A49="","",IF(Y$6="NÃO",0,IF(A49=0,Tabela!$H$23,IF(Y$7="mensal",Tabela!$H$23,IF(AND(MONTH(ESTRUTURA!C49)=MONTH(ESTRUTURA!$F$3),A49&gt;0),Tabela!$H$23,0)))))</f>
        <v/>
      </c>
      <c r="Z49" s="30" t="str">
        <f t="shared" si="11"/>
        <v/>
      </c>
      <c r="AA49" s="60" t="str">
        <f>IF($A49="","",IF(AA$6="NÃO",0,Tabela!$H$25*nm_séries))</f>
        <v/>
      </c>
      <c r="AB49" s="30" t="str">
        <f t="shared" si="11"/>
        <v/>
      </c>
      <c r="AC49" s="60" t="str">
        <f>IF($A49="","",IF(AC$6="NÃO",0,IF(A49=0,Tabela!$H$27,IF(MOD(A49,3)=0,Tabela!$H$27,0))))</f>
        <v/>
      </c>
      <c r="AD49" s="30" t="str">
        <f t="shared" si="11"/>
        <v/>
      </c>
      <c r="AE49" s="60" t="str">
        <f t="shared" si="11"/>
        <v/>
      </c>
      <c r="AF49" s="30" t="str">
        <f>IF($A49="","",IF(AF$6="NÃO",0,IF(AND(MONTH(ESTRUTURA!C49)=MONTH(ESTRUTURA!$F$3),A49&gt;0),Tabela!$H$30,0)))</f>
        <v/>
      </c>
      <c r="AG49" s="60" t="str">
        <f t="shared" si="11"/>
        <v/>
      </c>
      <c r="AH49" s="30" t="str">
        <f t="shared" si="11"/>
        <v/>
      </c>
      <c r="AI49" s="60" t="str">
        <f>IF($A49="","",IF(AI$6="NÃO",0,IF($A49=0,DATEDIF(ESTRUTURA!$F$3,ESTRUTURA!$F$4,"m")*Tabela!$H$33,Tabela!$H$33)))</f>
        <v/>
      </c>
      <c r="AJ49" s="30" t="str">
        <f t="shared" si="11"/>
        <v/>
      </c>
    </row>
    <row r="50" spans="1:36" x14ac:dyDescent="0.2">
      <c r="A50" s="66" t="str">
        <f>ESTRUTURA!A50</f>
        <v/>
      </c>
      <c r="B50" s="58">
        <f t="shared" si="7"/>
        <v>0</v>
      </c>
      <c r="C50" s="60" t="str">
        <f t="shared" si="12"/>
        <v/>
      </c>
      <c r="D50" s="30" t="str">
        <f t="shared" si="12"/>
        <v/>
      </c>
      <c r="E50" s="60" t="str">
        <f t="shared" si="12"/>
        <v/>
      </c>
      <c r="F50" s="30" t="str">
        <f>IF($A50="","",IF(F$6="NÃO",0,Tabela!$H$34*ESTRUTURA!$I$4))</f>
        <v/>
      </c>
      <c r="G50" s="60" t="str">
        <f t="shared" si="12"/>
        <v/>
      </c>
      <c r="H50" s="30" t="str">
        <f>IF($A50="","",IF(H$6="NÃO",0,IF($A50=0,DATEDIF(ESTRUTURA!$F$3,ESTRUTURA!$F$4,"m")*Tabela!$H$6,Tabela!$H$6)))</f>
        <v/>
      </c>
      <c r="I50" s="60" t="str">
        <f t="shared" si="12"/>
        <v/>
      </c>
      <c r="J50" s="30" t="str">
        <f>IF($A50="","",IF(J$6="NÃO",0,IF($A50=0,DATEDIF(ESTRUTURA!$F$3,ESTRUTURA!$F$4,"m")*Tabela!$H$8,IF(J$6="NÃO",0,Tabela!$H$8))))</f>
        <v/>
      </c>
      <c r="K50" s="60" t="str">
        <f t="shared" si="12"/>
        <v/>
      </c>
      <c r="L50" s="30" t="str">
        <f t="shared" si="12"/>
        <v/>
      </c>
      <c r="M50" s="60" t="str">
        <f t="shared" si="12"/>
        <v/>
      </c>
      <c r="N50" s="30" t="str">
        <f t="shared" si="12"/>
        <v/>
      </c>
      <c r="O50" s="60" t="str">
        <f t="shared" si="12"/>
        <v/>
      </c>
      <c r="P50" s="30" t="str">
        <f t="shared" si="12"/>
        <v/>
      </c>
      <c r="Q50" s="60" t="str">
        <f t="shared" si="12"/>
        <v/>
      </c>
      <c r="R50" s="30" t="str">
        <f t="shared" si="12"/>
        <v/>
      </c>
      <c r="S50" s="60" t="str">
        <f>IF($A50="","",IF(S$6="NÃO",0,IF($A50=0,DATEDIF(ESTRUTURA!$F$3,ESTRUTURA!$F$4,"m")*Tabela!$H$17,Tabela!$H$17)))</f>
        <v/>
      </c>
      <c r="T50" s="30" t="str">
        <f>IF($A50="","",IF(T$6="NÃO",0,IF($A50=0,DATEDIF(ESTRUTURA!$F$3,ESTRUTURA!$F$4,"m")*Tabela!$H$18,Tabela!$H$18)))</f>
        <v/>
      </c>
      <c r="U50" s="60" t="str">
        <f t="shared" si="11"/>
        <v/>
      </c>
      <c r="V50" s="30" t="str">
        <f>IF($A50="","",IF(V$6="NÃO",0,IF($A50=0,DATEDIF(ESTRUTURA!$F$3,ESTRUTURA!$F$4,"m")*Tabela!$H$20,Tabela!$H$20)))</f>
        <v/>
      </c>
      <c r="W50" s="60" t="str">
        <f t="shared" si="11"/>
        <v/>
      </c>
      <c r="X50" s="30" t="str">
        <f t="shared" si="11"/>
        <v/>
      </c>
      <c r="Y50" s="60" t="str">
        <f>IF($A50="","",IF(Y$6="NÃO",0,IF(A50=0,Tabela!$H$23,IF(Y$7="mensal",Tabela!$H$23,IF(AND(MONTH(ESTRUTURA!C50)=MONTH(ESTRUTURA!$F$3),A50&gt;0),Tabela!$H$23,0)))))</f>
        <v/>
      </c>
      <c r="Z50" s="30" t="str">
        <f t="shared" si="11"/>
        <v/>
      </c>
      <c r="AA50" s="60" t="str">
        <f>IF($A50="","",IF(AA$6="NÃO",0,Tabela!$H$25*nm_séries))</f>
        <v/>
      </c>
      <c r="AB50" s="30" t="str">
        <f t="shared" si="11"/>
        <v/>
      </c>
      <c r="AC50" s="60" t="str">
        <f>IF($A50="","",IF(AC$6="NÃO",0,IF(A50=0,Tabela!$H$27,IF(MOD(A50,3)=0,Tabela!$H$27,0))))</f>
        <v/>
      </c>
      <c r="AD50" s="30" t="str">
        <f t="shared" si="11"/>
        <v/>
      </c>
      <c r="AE50" s="60" t="str">
        <f t="shared" si="11"/>
        <v/>
      </c>
      <c r="AF50" s="30" t="str">
        <f>IF($A50="","",IF(AF$6="NÃO",0,IF(AND(MONTH(ESTRUTURA!C50)=MONTH(ESTRUTURA!$F$3),A50&gt;0),Tabela!$H$30,0)))</f>
        <v/>
      </c>
      <c r="AG50" s="60" t="str">
        <f t="shared" si="11"/>
        <v/>
      </c>
      <c r="AH50" s="30" t="str">
        <f t="shared" si="11"/>
        <v/>
      </c>
      <c r="AI50" s="60" t="str">
        <f>IF($A50="","",IF(AI$6="NÃO",0,IF($A50=0,DATEDIF(ESTRUTURA!$F$3,ESTRUTURA!$F$4,"m")*Tabela!$H$33,Tabela!$H$33)))</f>
        <v/>
      </c>
      <c r="AJ50" s="30" t="str">
        <f t="shared" si="11"/>
        <v/>
      </c>
    </row>
    <row r="51" spans="1:36" x14ac:dyDescent="0.2">
      <c r="A51" s="66" t="str">
        <f>ESTRUTURA!A51</f>
        <v/>
      </c>
      <c r="B51" s="58">
        <f t="shared" si="7"/>
        <v>0</v>
      </c>
      <c r="C51" s="60" t="str">
        <f t="shared" si="12"/>
        <v/>
      </c>
      <c r="D51" s="30" t="str">
        <f t="shared" si="12"/>
        <v/>
      </c>
      <c r="E51" s="60" t="str">
        <f t="shared" si="12"/>
        <v/>
      </c>
      <c r="F51" s="30" t="str">
        <f>IF($A51="","",IF(F$6="NÃO",0,Tabela!$H$34*ESTRUTURA!$I$4))</f>
        <v/>
      </c>
      <c r="G51" s="60" t="str">
        <f t="shared" si="12"/>
        <v/>
      </c>
      <c r="H51" s="30" t="str">
        <f>IF($A51="","",IF(H$6="NÃO",0,IF($A51=0,DATEDIF(ESTRUTURA!$F$3,ESTRUTURA!$F$4,"m")*Tabela!$H$6,Tabela!$H$6)))</f>
        <v/>
      </c>
      <c r="I51" s="60" t="str">
        <f t="shared" si="12"/>
        <v/>
      </c>
      <c r="J51" s="30" t="str">
        <f>IF($A51="","",IF(J$6="NÃO",0,IF($A51=0,DATEDIF(ESTRUTURA!$F$3,ESTRUTURA!$F$4,"m")*Tabela!$H$8,IF(J$6="NÃO",0,Tabela!$H$8))))</f>
        <v/>
      </c>
      <c r="K51" s="60" t="str">
        <f t="shared" si="12"/>
        <v/>
      </c>
      <c r="L51" s="30" t="str">
        <f t="shared" si="12"/>
        <v/>
      </c>
      <c r="M51" s="60" t="str">
        <f t="shared" si="12"/>
        <v/>
      </c>
      <c r="N51" s="30" t="str">
        <f t="shared" si="12"/>
        <v/>
      </c>
      <c r="O51" s="60" t="str">
        <f t="shared" si="12"/>
        <v/>
      </c>
      <c r="P51" s="30" t="str">
        <f t="shared" si="12"/>
        <v/>
      </c>
      <c r="Q51" s="60" t="str">
        <f t="shared" si="12"/>
        <v/>
      </c>
      <c r="R51" s="30" t="str">
        <f t="shared" si="12"/>
        <v/>
      </c>
      <c r="S51" s="60" t="str">
        <f>IF($A51="","",IF(S$6="NÃO",0,IF($A51=0,DATEDIF(ESTRUTURA!$F$3,ESTRUTURA!$F$4,"m")*Tabela!$H$17,Tabela!$H$17)))</f>
        <v/>
      </c>
      <c r="T51" s="30" t="str">
        <f>IF($A51="","",IF(T$6="NÃO",0,IF($A51=0,DATEDIF(ESTRUTURA!$F$3,ESTRUTURA!$F$4,"m")*Tabela!$H$18,Tabela!$H$18)))</f>
        <v/>
      </c>
      <c r="U51" s="60" t="str">
        <f t="shared" si="11"/>
        <v/>
      </c>
      <c r="V51" s="30" t="str">
        <f>IF($A51="","",IF(V$6="NÃO",0,IF($A51=0,DATEDIF(ESTRUTURA!$F$3,ESTRUTURA!$F$4,"m")*Tabela!$H$20,Tabela!$H$20)))</f>
        <v/>
      </c>
      <c r="W51" s="60" t="str">
        <f t="shared" si="11"/>
        <v/>
      </c>
      <c r="X51" s="30" t="str">
        <f t="shared" si="11"/>
        <v/>
      </c>
      <c r="Y51" s="60" t="str">
        <f>IF($A51="","",IF(Y$6="NÃO",0,IF(A51=0,Tabela!$H$23,IF(Y$7="mensal",Tabela!$H$23,IF(AND(MONTH(ESTRUTURA!C51)=MONTH(ESTRUTURA!$F$3),A51&gt;0),Tabela!$H$23,0)))))</f>
        <v/>
      </c>
      <c r="Z51" s="30" t="str">
        <f t="shared" si="11"/>
        <v/>
      </c>
      <c r="AA51" s="60" t="str">
        <f>IF($A51="","",IF(AA$6="NÃO",0,Tabela!$H$25*nm_séries))</f>
        <v/>
      </c>
      <c r="AB51" s="30" t="str">
        <f t="shared" si="11"/>
        <v/>
      </c>
      <c r="AC51" s="60" t="str">
        <f>IF($A51="","",IF(AC$6="NÃO",0,IF(A51=0,Tabela!$H$27,IF(MOD(A51,3)=0,Tabela!$H$27,0))))</f>
        <v/>
      </c>
      <c r="AD51" s="30" t="str">
        <f t="shared" si="11"/>
        <v/>
      </c>
      <c r="AE51" s="60" t="str">
        <f t="shared" si="11"/>
        <v/>
      </c>
      <c r="AF51" s="30" t="str">
        <f>IF($A51="","",IF(AF$6="NÃO",0,IF(AND(MONTH(ESTRUTURA!C51)=MONTH(ESTRUTURA!$F$3),A51&gt;0),Tabela!$H$30,0)))</f>
        <v/>
      </c>
      <c r="AG51" s="60" t="str">
        <f t="shared" si="11"/>
        <v/>
      </c>
      <c r="AH51" s="30" t="str">
        <f t="shared" si="11"/>
        <v/>
      </c>
      <c r="AI51" s="60" t="str">
        <f>IF($A51="","",IF(AI$6="NÃO",0,IF($A51=0,DATEDIF(ESTRUTURA!$F$3,ESTRUTURA!$F$4,"m")*Tabela!$H$33,Tabela!$H$33)))</f>
        <v/>
      </c>
      <c r="AJ51" s="30" t="str">
        <f t="shared" si="11"/>
        <v/>
      </c>
    </row>
    <row r="52" spans="1:36" x14ac:dyDescent="0.2">
      <c r="A52" s="66" t="str">
        <f>ESTRUTURA!A52</f>
        <v/>
      </c>
      <c r="B52" s="58">
        <f t="shared" si="7"/>
        <v>0</v>
      </c>
      <c r="C52" s="60" t="str">
        <f t="shared" si="12"/>
        <v/>
      </c>
      <c r="D52" s="30" t="str">
        <f t="shared" si="12"/>
        <v/>
      </c>
      <c r="E52" s="60" t="str">
        <f t="shared" si="12"/>
        <v/>
      </c>
      <c r="F52" s="30" t="str">
        <f>IF($A52="","",IF(F$6="NÃO",0,Tabela!$H$34*ESTRUTURA!$I$4))</f>
        <v/>
      </c>
      <c r="G52" s="60" t="str">
        <f t="shared" si="12"/>
        <v/>
      </c>
      <c r="H52" s="30" t="str">
        <f>IF($A52="","",IF(H$6="NÃO",0,IF($A52=0,DATEDIF(ESTRUTURA!$F$3,ESTRUTURA!$F$4,"m")*Tabela!$H$6,Tabela!$H$6)))</f>
        <v/>
      </c>
      <c r="I52" s="60" t="str">
        <f t="shared" si="12"/>
        <v/>
      </c>
      <c r="J52" s="30" t="str">
        <f>IF($A52="","",IF(J$6="NÃO",0,IF($A52=0,DATEDIF(ESTRUTURA!$F$3,ESTRUTURA!$F$4,"m")*Tabela!$H$8,IF(J$6="NÃO",0,Tabela!$H$8))))</f>
        <v/>
      </c>
      <c r="K52" s="60" t="str">
        <f t="shared" si="12"/>
        <v/>
      </c>
      <c r="L52" s="30" t="str">
        <f t="shared" si="12"/>
        <v/>
      </c>
      <c r="M52" s="60" t="str">
        <f t="shared" si="12"/>
        <v/>
      </c>
      <c r="N52" s="30" t="str">
        <f t="shared" si="12"/>
        <v/>
      </c>
      <c r="O52" s="60" t="str">
        <f t="shared" si="12"/>
        <v/>
      </c>
      <c r="P52" s="30" t="str">
        <f t="shared" si="12"/>
        <v/>
      </c>
      <c r="Q52" s="60" t="str">
        <f t="shared" si="12"/>
        <v/>
      </c>
      <c r="R52" s="30" t="str">
        <f t="shared" si="12"/>
        <v/>
      </c>
      <c r="S52" s="60" t="str">
        <f>IF($A52="","",IF(S$6="NÃO",0,IF($A52=0,DATEDIF(ESTRUTURA!$F$3,ESTRUTURA!$F$4,"m")*Tabela!$H$17,Tabela!$H$17)))</f>
        <v/>
      </c>
      <c r="T52" s="30" t="str">
        <f>IF($A52="","",IF(T$6="NÃO",0,IF($A52=0,DATEDIF(ESTRUTURA!$F$3,ESTRUTURA!$F$4,"m")*Tabela!$H$18,Tabela!$H$18)))</f>
        <v/>
      </c>
      <c r="U52" s="60" t="str">
        <f t="shared" si="11"/>
        <v/>
      </c>
      <c r="V52" s="30" t="str">
        <f>IF($A52="","",IF(V$6="NÃO",0,IF($A52=0,DATEDIF(ESTRUTURA!$F$3,ESTRUTURA!$F$4,"m")*Tabela!$H$20,Tabela!$H$20)))</f>
        <v/>
      </c>
      <c r="W52" s="60" t="str">
        <f t="shared" si="11"/>
        <v/>
      </c>
      <c r="X52" s="30" t="str">
        <f t="shared" si="11"/>
        <v/>
      </c>
      <c r="Y52" s="60" t="str">
        <f>IF($A52="","",IF(Y$6="NÃO",0,IF(A52=0,Tabela!$H$23,IF(Y$7="mensal",Tabela!$H$23,IF(AND(MONTH(ESTRUTURA!C52)=MONTH(ESTRUTURA!$F$3),A52&gt;0),Tabela!$H$23,0)))))</f>
        <v/>
      </c>
      <c r="Z52" s="30" t="str">
        <f t="shared" si="11"/>
        <v/>
      </c>
      <c r="AA52" s="60" t="str">
        <f>IF($A52="","",IF(AA$6="NÃO",0,Tabela!$H$25*nm_séries))</f>
        <v/>
      </c>
      <c r="AB52" s="30" t="str">
        <f t="shared" si="11"/>
        <v/>
      </c>
      <c r="AC52" s="60" t="str">
        <f>IF($A52="","",IF(AC$6="NÃO",0,IF(A52=0,Tabela!$H$27,IF(MOD(A52,3)=0,Tabela!$H$27,0))))</f>
        <v/>
      </c>
      <c r="AD52" s="30" t="str">
        <f t="shared" si="11"/>
        <v/>
      </c>
      <c r="AE52" s="60" t="str">
        <f t="shared" si="11"/>
        <v/>
      </c>
      <c r="AF52" s="30" t="str">
        <f>IF($A52="","",IF(AF$6="NÃO",0,IF(AND(MONTH(ESTRUTURA!C52)=MONTH(ESTRUTURA!$F$3),A52&gt;0),Tabela!$H$30,0)))</f>
        <v/>
      </c>
      <c r="AG52" s="60" t="str">
        <f t="shared" si="11"/>
        <v/>
      </c>
      <c r="AH52" s="30" t="str">
        <f t="shared" si="11"/>
        <v/>
      </c>
      <c r="AI52" s="60" t="str">
        <f>IF($A52="","",IF(AI$6="NÃO",0,IF($A52=0,DATEDIF(ESTRUTURA!$F$3,ESTRUTURA!$F$4,"m")*Tabela!$H$33,Tabela!$H$33)))</f>
        <v/>
      </c>
      <c r="AJ52" s="30" t="str">
        <f t="shared" si="11"/>
        <v/>
      </c>
    </row>
    <row r="53" spans="1:36" x14ac:dyDescent="0.2">
      <c r="A53" s="66" t="str">
        <f>ESTRUTURA!A53</f>
        <v/>
      </c>
      <c r="B53" s="58">
        <f t="shared" si="7"/>
        <v>0</v>
      </c>
      <c r="C53" s="60" t="str">
        <f t="shared" si="12"/>
        <v/>
      </c>
      <c r="D53" s="30" t="str">
        <f t="shared" si="12"/>
        <v/>
      </c>
      <c r="E53" s="60" t="str">
        <f t="shared" si="12"/>
        <v/>
      </c>
      <c r="F53" s="30" t="str">
        <f>IF($A53="","",IF(F$6="NÃO",0,Tabela!$H$34*ESTRUTURA!$I$4))</f>
        <v/>
      </c>
      <c r="G53" s="60" t="str">
        <f t="shared" si="12"/>
        <v/>
      </c>
      <c r="H53" s="30" t="str">
        <f>IF($A53="","",IF(H$6="NÃO",0,IF($A53=0,DATEDIF(ESTRUTURA!$F$3,ESTRUTURA!$F$4,"m")*Tabela!$H$6,Tabela!$H$6)))</f>
        <v/>
      </c>
      <c r="I53" s="60" t="str">
        <f t="shared" si="12"/>
        <v/>
      </c>
      <c r="J53" s="30" t="str">
        <f>IF($A53="","",IF(J$6="NÃO",0,IF($A53=0,DATEDIF(ESTRUTURA!$F$3,ESTRUTURA!$F$4,"m")*Tabela!$H$8,IF(J$6="NÃO",0,Tabela!$H$8))))</f>
        <v/>
      </c>
      <c r="K53" s="60" t="str">
        <f t="shared" si="12"/>
        <v/>
      </c>
      <c r="L53" s="30" t="str">
        <f t="shared" si="12"/>
        <v/>
      </c>
      <c r="M53" s="60" t="str">
        <f t="shared" si="12"/>
        <v/>
      </c>
      <c r="N53" s="30" t="str">
        <f t="shared" si="12"/>
        <v/>
      </c>
      <c r="O53" s="60" t="str">
        <f t="shared" si="12"/>
        <v/>
      </c>
      <c r="P53" s="30" t="str">
        <f t="shared" si="12"/>
        <v/>
      </c>
      <c r="Q53" s="60" t="str">
        <f t="shared" si="12"/>
        <v/>
      </c>
      <c r="R53" s="30" t="str">
        <f t="shared" si="12"/>
        <v/>
      </c>
      <c r="S53" s="60" t="str">
        <f>IF($A53="","",IF(S$6="NÃO",0,IF($A53=0,DATEDIF(ESTRUTURA!$F$3,ESTRUTURA!$F$4,"m")*Tabela!$H$17,Tabela!$H$17)))</f>
        <v/>
      </c>
      <c r="T53" s="30" t="str">
        <f>IF($A53="","",IF(T$6="NÃO",0,IF($A53=0,DATEDIF(ESTRUTURA!$F$3,ESTRUTURA!$F$4,"m")*Tabela!$H$18,Tabela!$H$18)))</f>
        <v/>
      </c>
      <c r="U53" s="60" t="str">
        <f t="shared" si="11"/>
        <v/>
      </c>
      <c r="V53" s="30" t="str">
        <f>IF($A53="","",IF(V$6="NÃO",0,IF($A53=0,DATEDIF(ESTRUTURA!$F$3,ESTRUTURA!$F$4,"m")*Tabela!$H$20,Tabela!$H$20)))</f>
        <v/>
      </c>
      <c r="W53" s="60" t="str">
        <f t="shared" si="11"/>
        <v/>
      </c>
      <c r="X53" s="30" t="str">
        <f t="shared" si="11"/>
        <v/>
      </c>
      <c r="Y53" s="60" t="str">
        <f>IF($A53="","",IF(Y$6="NÃO",0,IF(A53=0,Tabela!$H$23,IF(Y$7="mensal",Tabela!$H$23,IF(AND(MONTH(ESTRUTURA!C53)=MONTH(ESTRUTURA!$F$3),A53&gt;0),Tabela!$H$23,0)))))</f>
        <v/>
      </c>
      <c r="Z53" s="30" t="str">
        <f t="shared" si="11"/>
        <v/>
      </c>
      <c r="AA53" s="60" t="str">
        <f>IF($A53="","",IF(AA$6="NÃO",0,Tabela!$H$25*nm_séries))</f>
        <v/>
      </c>
      <c r="AB53" s="30" t="str">
        <f t="shared" si="11"/>
        <v/>
      </c>
      <c r="AC53" s="60" t="str">
        <f>IF($A53="","",IF(AC$6="NÃO",0,IF(A53=0,Tabela!$H$27,IF(MOD(A53,3)=0,Tabela!$H$27,0))))</f>
        <v/>
      </c>
      <c r="AD53" s="30" t="str">
        <f t="shared" si="11"/>
        <v/>
      </c>
      <c r="AE53" s="60" t="str">
        <f t="shared" si="11"/>
        <v/>
      </c>
      <c r="AF53" s="30" t="str">
        <f>IF($A53="","",IF(AF$6="NÃO",0,IF(AND(MONTH(ESTRUTURA!C53)=MONTH(ESTRUTURA!$F$3),A53&gt;0),Tabela!$H$30,0)))</f>
        <v/>
      </c>
      <c r="AG53" s="60" t="str">
        <f t="shared" si="11"/>
        <v/>
      </c>
      <c r="AH53" s="30" t="str">
        <f t="shared" si="11"/>
        <v/>
      </c>
      <c r="AI53" s="60" t="str">
        <f>IF($A53="","",IF(AI$6="NÃO",0,IF($A53=0,DATEDIF(ESTRUTURA!$F$3,ESTRUTURA!$F$4,"m")*Tabela!$H$33,Tabela!$H$33)))</f>
        <v/>
      </c>
      <c r="AJ53" s="30" t="str">
        <f t="shared" si="11"/>
        <v/>
      </c>
    </row>
    <row r="54" spans="1:36" x14ac:dyDescent="0.2">
      <c r="A54" s="66" t="str">
        <f>ESTRUTURA!A54</f>
        <v/>
      </c>
      <c r="B54" s="58">
        <f t="shared" si="7"/>
        <v>0</v>
      </c>
      <c r="C54" s="60" t="str">
        <f t="shared" si="12"/>
        <v/>
      </c>
      <c r="D54" s="30" t="str">
        <f t="shared" si="12"/>
        <v/>
      </c>
      <c r="E54" s="60" t="str">
        <f t="shared" si="12"/>
        <v/>
      </c>
      <c r="F54" s="30" t="str">
        <f>IF($A54="","",IF(F$6="NÃO",0,Tabela!$H$34*ESTRUTURA!$I$4))</f>
        <v/>
      </c>
      <c r="G54" s="60" t="str">
        <f t="shared" si="12"/>
        <v/>
      </c>
      <c r="H54" s="30" t="str">
        <f>IF($A54="","",IF(H$6="NÃO",0,IF($A54=0,DATEDIF(ESTRUTURA!$F$3,ESTRUTURA!$F$4,"m")*Tabela!$H$6,Tabela!$H$6)))</f>
        <v/>
      </c>
      <c r="I54" s="60" t="str">
        <f t="shared" si="12"/>
        <v/>
      </c>
      <c r="J54" s="30" t="str">
        <f>IF($A54="","",IF(J$6="NÃO",0,IF($A54=0,DATEDIF(ESTRUTURA!$F$3,ESTRUTURA!$F$4,"m")*Tabela!$H$8,IF(J$6="NÃO",0,Tabela!$H$8))))</f>
        <v/>
      </c>
      <c r="K54" s="60" t="str">
        <f t="shared" si="12"/>
        <v/>
      </c>
      <c r="L54" s="30" t="str">
        <f t="shared" si="12"/>
        <v/>
      </c>
      <c r="M54" s="60" t="str">
        <f t="shared" si="12"/>
        <v/>
      </c>
      <c r="N54" s="30" t="str">
        <f t="shared" si="12"/>
        <v/>
      </c>
      <c r="O54" s="60" t="str">
        <f t="shared" si="12"/>
        <v/>
      </c>
      <c r="P54" s="30" t="str">
        <f t="shared" si="12"/>
        <v/>
      </c>
      <c r="Q54" s="60" t="str">
        <f t="shared" si="12"/>
        <v/>
      </c>
      <c r="R54" s="30" t="str">
        <f t="shared" si="12"/>
        <v/>
      </c>
      <c r="S54" s="60" t="str">
        <f>IF($A54="","",IF(S$6="NÃO",0,IF($A54=0,DATEDIF(ESTRUTURA!$F$3,ESTRUTURA!$F$4,"m")*Tabela!$H$17,Tabela!$H$17)))</f>
        <v/>
      </c>
      <c r="T54" s="30" t="str">
        <f>IF($A54="","",IF(T$6="NÃO",0,IF($A54=0,DATEDIF(ESTRUTURA!$F$3,ESTRUTURA!$F$4,"m")*Tabela!$H$18,Tabela!$H$18)))</f>
        <v/>
      </c>
      <c r="U54" s="60" t="str">
        <f t="shared" si="11"/>
        <v/>
      </c>
      <c r="V54" s="30" t="str">
        <f>IF($A54="","",IF(V$6="NÃO",0,IF($A54=0,DATEDIF(ESTRUTURA!$F$3,ESTRUTURA!$F$4,"m")*Tabela!$H$20,Tabela!$H$20)))</f>
        <v/>
      </c>
      <c r="W54" s="60" t="str">
        <f t="shared" si="11"/>
        <v/>
      </c>
      <c r="X54" s="30" t="str">
        <f t="shared" si="11"/>
        <v/>
      </c>
      <c r="Y54" s="60" t="str">
        <f>IF($A54="","",IF(Y$6="NÃO",0,IF(A54=0,Tabela!$H$23,IF(Y$7="mensal",Tabela!$H$23,IF(AND(MONTH(ESTRUTURA!C54)=MONTH(ESTRUTURA!$F$3),A54&gt;0),Tabela!$H$23,0)))))</f>
        <v/>
      </c>
      <c r="Z54" s="30" t="str">
        <f t="shared" si="11"/>
        <v/>
      </c>
      <c r="AA54" s="60" t="str">
        <f>IF($A54="","",IF(AA$6="NÃO",0,Tabela!$H$25*nm_séries))</f>
        <v/>
      </c>
      <c r="AB54" s="30" t="str">
        <f t="shared" si="11"/>
        <v/>
      </c>
      <c r="AC54" s="60" t="str">
        <f>IF($A54="","",IF(AC$6="NÃO",0,IF(A54=0,Tabela!$H$27,IF(MOD(A54,3)=0,Tabela!$H$27,0))))</f>
        <v/>
      </c>
      <c r="AD54" s="30" t="str">
        <f t="shared" si="11"/>
        <v/>
      </c>
      <c r="AE54" s="60" t="str">
        <f t="shared" si="11"/>
        <v/>
      </c>
      <c r="AF54" s="30" t="str">
        <f>IF($A54="","",IF(AF$6="NÃO",0,IF(AND(MONTH(ESTRUTURA!C54)=MONTH(ESTRUTURA!$F$3),A54&gt;0),Tabela!$H$30,0)))</f>
        <v/>
      </c>
      <c r="AG54" s="60" t="str">
        <f t="shared" si="11"/>
        <v/>
      </c>
      <c r="AH54" s="30" t="str">
        <f t="shared" si="11"/>
        <v/>
      </c>
      <c r="AI54" s="60" t="str">
        <f>IF($A54="","",IF(AI$6="NÃO",0,IF($A54=0,DATEDIF(ESTRUTURA!$F$3,ESTRUTURA!$F$4,"m")*Tabela!$H$33,Tabela!$H$33)))</f>
        <v/>
      </c>
      <c r="AJ54" s="30" t="str">
        <f t="shared" si="11"/>
        <v/>
      </c>
    </row>
    <row r="55" spans="1:36" x14ac:dyDescent="0.2">
      <c r="A55" s="66" t="str">
        <f>ESTRUTURA!A55</f>
        <v/>
      </c>
      <c r="B55" s="58">
        <f t="shared" si="7"/>
        <v>0</v>
      </c>
      <c r="C55" s="60" t="str">
        <f t="shared" si="12"/>
        <v/>
      </c>
      <c r="D55" s="30" t="str">
        <f t="shared" si="12"/>
        <v/>
      </c>
      <c r="E55" s="60" t="str">
        <f t="shared" si="12"/>
        <v/>
      </c>
      <c r="F55" s="30" t="str">
        <f>IF($A55="","",IF(F$6="NÃO",0,Tabela!$H$34*ESTRUTURA!$I$4))</f>
        <v/>
      </c>
      <c r="G55" s="60" t="str">
        <f t="shared" si="12"/>
        <v/>
      </c>
      <c r="H55" s="30" t="str">
        <f>IF($A55="","",IF(H$6="NÃO",0,IF($A55=0,DATEDIF(ESTRUTURA!$F$3,ESTRUTURA!$F$4,"m")*Tabela!$H$6,Tabela!$H$6)))</f>
        <v/>
      </c>
      <c r="I55" s="60" t="str">
        <f t="shared" si="12"/>
        <v/>
      </c>
      <c r="J55" s="30" t="str">
        <f>IF($A55="","",IF(J$6="NÃO",0,IF($A55=0,DATEDIF(ESTRUTURA!$F$3,ESTRUTURA!$F$4,"m")*Tabela!$H$8,IF(J$6="NÃO",0,Tabela!$H$8))))</f>
        <v/>
      </c>
      <c r="K55" s="60" t="str">
        <f t="shared" si="12"/>
        <v/>
      </c>
      <c r="L55" s="30" t="str">
        <f t="shared" si="12"/>
        <v/>
      </c>
      <c r="M55" s="60" t="str">
        <f t="shared" si="12"/>
        <v/>
      </c>
      <c r="N55" s="30" t="str">
        <f t="shared" si="12"/>
        <v/>
      </c>
      <c r="O55" s="60" t="str">
        <f t="shared" si="12"/>
        <v/>
      </c>
      <c r="P55" s="30" t="str">
        <f t="shared" si="12"/>
        <v/>
      </c>
      <c r="Q55" s="60" t="str">
        <f t="shared" si="12"/>
        <v/>
      </c>
      <c r="R55" s="30" t="str">
        <f t="shared" si="12"/>
        <v/>
      </c>
      <c r="S55" s="60" t="str">
        <f>IF($A55="","",IF(S$6="NÃO",0,IF($A55=0,DATEDIF(ESTRUTURA!$F$3,ESTRUTURA!$F$4,"m")*Tabela!$H$17,Tabela!$H$17)))</f>
        <v/>
      </c>
      <c r="T55" s="30" t="str">
        <f>IF($A55="","",IF(T$6="NÃO",0,IF($A55=0,DATEDIF(ESTRUTURA!$F$3,ESTRUTURA!$F$4,"m")*Tabela!$H$18,Tabela!$H$18)))</f>
        <v/>
      </c>
      <c r="U55" s="60" t="str">
        <f t="shared" si="11"/>
        <v/>
      </c>
      <c r="V55" s="30" t="str">
        <f>IF($A55="","",IF(V$6="NÃO",0,IF($A55=0,DATEDIF(ESTRUTURA!$F$3,ESTRUTURA!$F$4,"m")*Tabela!$H$20,Tabela!$H$20)))</f>
        <v/>
      </c>
      <c r="W55" s="60" t="str">
        <f t="shared" si="11"/>
        <v/>
      </c>
      <c r="X55" s="30" t="str">
        <f t="shared" si="11"/>
        <v/>
      </c>
      <c r="Y55" s="60" t="str">
        <f>IF($A55="","",IF(Y$6="NÃO",0,IF(A55=0,Tabela!$H$23,IF(Y$7="mensal",Tabela!$H$23,IF(AND(MONTH(ESTRUTURA!C55)=MONTH(ESTRUTURA!$F$3),A55&gt;0),Tabela!$H$23,0)))))</f>
        <v/>
      </c>
      <c r="Z55" s="30" t="str">
        <f t="shared" si="11"/>
        <v/>
      </c>
      <c r="AA55" s="60" t="str">
        <f>IF($A55="","",IF(AA$6="NÃO",0,Tabela!$H$25*nm_séries))</f>
        <v/>
      </c>
      <c r="AB55" s="30" t="str">
        <f t="shared" si="11"/>
        <v/>
      </c>
      <c r="AC55" s="60" t="str">
        <f>IF($A55="","",IF(AC$6="NÃO",0,IF(A55=0,Tabela!$H$27,IF(MOD(A55,3)=0,Tabela!$H$27,0))))</f>
        <v/>
      </c>
      <c r="AD55" s="30" t="str">
        <f t="shared" si="11"/>
        <v/>
      </c>
      <c r="AE55" s="60" t="str">
        <f t="shared" si="11"/>
        <v/>
      </c>
      <c r="AF55" s="30" t="str">
        <f>IF($A55="","",IF(AF$6="NÃO",0,IF(AND(MONTH(ESTRUTURA!C55)=MONTH(ESTRUTURA!$F$3),A55&gt;0),Tabela!$H$30,0)))</f>
        <v/>
      </c>
      <c r="AG55" s="60" t="str">
        <f t="shared" si="11"/>
        <v/>
      </c>
      <c r="AH55" s="30" t="str">
        <f t="shared" si="11"/>
        <v/>
      </c>
      <c r="AI55" s="60" t="str">
        <f>IF($A55="","",IF(AI$6="NÃO",0,IF($A55=0,DATEDIF(ESTRUTURA!$F$3,ESTRUTURA!$F$4,"m")*Tabela!$H$33,Tabela!$H$33)))</f>
        <v/>
      </c>
      <c r="AJ55" s="30" t="str">
        <f t="shared" si="11"/>
        <v/>
      </c>
    </row>
    <row r="56" spans="1:36" x14ac:dyDescent="0.2">
      <c r="A56" s="66" t="str">
        <f>ESTRUTURA!A56</f>
        <v/>
      </c>
      <c r="B56" s="58">
        <f t="shared" si="7"/>
        <v>0</v>
      </c>
      <c r="C56" s="60" t="str">
        <f t="shared" si="12"/>
        <v/>
      </c>
      <c r="D56" s="30" t="str">
        <f t="shared" si="12"/>
        <v/>
      </c>
      <c r="E56" s="60" t="str">
        <f t="shared" si="12"/>
        <v/>
      </c>
      <c r="F56" s="30" t="str">
        <f>IF($A56="","",IF(F$6="NÃO",0,Tabela!$H$34*ESTRUTURA!$I$4))</f>
        <v/>
      </c>
      <c r="G56" s="60" t="str">
        <f t="shared" si="12"/>
        <v/>
      </c>
      <c r="H56" s="30" t="str">
        <f>IF($A56="","",IF(H$6="NÃO",0,IF($A56=0,DATEDIF(ESTRUTURA!$F$3,ESTRUTURA!$F$4,"m")*Tabela!$H$6,Tabela!$H$6)))</f>
        <v/>
      </c>
      <c r="I56" s="60" t="str">
        <f t="shared" si="12"/>
        <v/>
      </c>
      <c r="J56" s="30" t="str">
        <f>IF($A56="","",IF(J$6="NÃO",0,IF($A56=0,DATEDIF(ESTRUTURA!$F$3,ESTRUTURA!$F$4,"m")*Tabela!$H$8,IF(J$6="NÃO",0,Tabela!$H$8))))</f>
        <v/>
      </c>
      <c r="K56" s="60" t="str">
        <f t="shared" si="12"/>
        <v/>
      </c>
      <c r="L56" s="30" t="str">
        <f t="shared" si="12"/>
        <v/>
      </c>
      <c r="M56" s="60" t="str">
        <f t="shared" si="12"/>
        <v/>
      </c>
      <c r="N56" s="30" t="str">
        <f t="shared" si="12"/>
        <v/>
      </c>
      <c r="O56" s="60" t="str">
        <f t="shared" si="12"/>
        <v/>
      </c>
      <c r="P56" s="30" t="str">
        <f t="shared" si="12"/>
        <v/>
      </c>
      <c r="Q56" s="60" t="str">
        <f t="shared" si="12"/>
        <v/>
      </c>
      <c r="R56" s="30" t="str">
        <f t="shared" si="12"/>
        <v/>
      </c>
      <c r="S56" s="60" t="str">
        <f>IF($A56="","",IF(S$6="NÃO",0,IF($A56=0,DATEDIF(ESTRUTURA!$F$3,ESTRUTURA!$F$4,"m")*Tabela!$H$17,Tabela!$H$17)))</f>
        <v/>
      </c>
      <c r="T56" s="30" t="str">
        <f>IF($A56="","",IF(T$6="NÃO",0,IF($A56=0,DATEDIF(ESTRUTURA!$F$3,ESTRUTURA!$F$4,"m")*Tabela!$H$18,Tabela!$H$18)))</f>
        <v/>
      </c>
      <c r="U56" s="60" t="str">
        <f t="shared" si="11"/>
        <v/>
      </c>
      <c r="V56" s="30" t="str">
        <f>IF($A56="","",IF(V$6="NÃO",0,IF($A56=0,DATEDIF(ESTRUTURA!$F$3,ESTRUTURA!$F$4,"m")*Tabela!$H$20,Tabela!$H$20)))</f>
        <v/>
      </c>
      <c r="W56" s="60" t="str">
        <f t="shared" si="11"/>
        <v/>
      </c>
      <c r="X56" s="30" t="str">
        <f t="shared" si="11"/>
        <v/>
      </c>
      <c r="Y56" s="60" t="str">
        <f>IF($A56="","",IF(Y$6="NÃO",0,IF(A56=0,Tabela!$H$23,IF(Y$7="mensal",Tabela!$H$23,IF(AND(MONTH(ESTRUTURA!C56)=MONTH(ESTRUTURA!$F$3),A56&gt;0),Tabela!$H$23,0)))))</f>
        <v/>
      </c>
      <c r="Z56" s="30" t="str">
        <f t="shared" si="11"/>
        <v/>
      </c>
      <c r="AA56" s="60" t="str">
        <f>IF($A56="","",IF(AA$6="NÃO",0,Tabela!$H$25*nm_séries))</f>
        <v/>
      </c>
      <c r="AB56" s="30" t="str">
        <f t="shared" si="11"/>
        <v/>
      </c>
      <c r="AC56" s="60" t="str">
        <f>IF($A56="","",IF(AC$6="NÃO",0,IF(A56=0,Tabela!$H$27,IF(MOD(A56,3)=0,Tabela!$H$27,0))))</f>
        <v/>
      </c>
      <c r="AD56" s="30" t="str">
        <f t="shared" si="11"/>
        <v/>
      </c>
      <c r="AE56" s="60" t="str">
        <f t="shared" si="11"/>
        <v/>
      </c>
      <c r="AF56" s="30" t="str">
        <f>IF($A56="","",IF(AF$6="NÃO",0,IF(AND(MONTH(ESTRUTURA!C56)=MONTH(ESTRUTURA!$F$3),A56&gt;0),Tabela!$H$30,0)))</f>
        <v/>
      </c>
      <c r="AG56" s="60" t="str">
        <f t="shared" si="11"/>
        <v/>
      </c>
      <c r="AH56" s="30" t="str">
        <f t="shared" si="11"/>
        <v/>
      </c>
      <c r="AI56" s="60" t="str">
        <f>IF($A56="","",IF(AI$6="NÃO",0,IF($A56=0,DATEDIF(ESTRUTURA!$F$3,ESTRUTURA!$F$4,"m")*Tabela!$H$33,Tabela!$H$33)))</f>
        <v/>
      </c>
      <c r="AJ56" s="30" t="str">
        <f t="shared" si="11"/>
        <v/>
      </c>
    </row>
    <row r="57" spans="1:36" x14ac:dyDescent="0.2">
      <c r="A57" s="66" t="str">
        <f>ESTRUTURA!A57</f>
        <v/>
      </c>
      <c r="B57" s="58">
        <f t="shared" si="7"/>
        <v>0</v>
      </c>
      <c r="C57" s="60" t="str">
        <f t="shared" si="12"/>
        <v/>
      </c>
      <c r="D57" s="30" t="str">
        <f t="shared" si="12"/>
        <v/>
      </c>
      <c r="E57" s="60" t="str">
        <f t="shared" si="12"/>
        <v/>
      </c>
      <c r="F57" s="30" t="str">
        <f>IF($A57="","",IF(F$6="NÃO",0,Tabela!$H$34*ESTRUTURA!$I$4))</f>
        <v/>
      </c>
      <c r="G57" s="60" t="str">
        <f t="shared" si="12"/>
        <v/>
      </c>
      <c r="H57" s="30" t="str">
        <f>IF($A57="","",IF(H$6="NÃO",0,IF($A57=0,DATEDIF(ESTRUTURA!$F$3,ESTRUTURA!$F$4,"m")*Tabela!$H$6,Tabela!$H$6)))</f>
        <v/>
      </c>
      <c r="I57" s="60" t="str">
        <f t="shared" si="12"/>
        <v/>
      </c>
      <c r="J57" s="30" t="str">
        <f>IF($A57="","",IF(J$6="NÃO",0,IF($A57=0,DATEDIF(ESTRUTURA!$F$3,ESTRUTURA!$F$4,"m")*Tabela!$H$8,IF(J$6="NÃO",0,Tabela!$H$8))))</f>
        <v/>
      </c>
      <c r="K57" s="60" t="str">
        <f t="shared" si="12"/>
        <v/>
      </c>
      <c r="L57" s="30" t="str">
        <f t="shared" si="12"/>
        <v/>
      </c>
      <c r="M57" s="60" t="str">
        <f t="shared" si="12"/>
        <v/>
      </c>
      <c r="N57" s="30" t="str">
        <f t="shared" si="12"/>
        <v/>
      </c>
      <c r="O57" s="60" t="str">
        <f t="shared" si="12"/>
        <v/>
      </c>
      <c r="P57" s="30" t="str">
        <f t="shared" si="12"/>
        <v/>
      </c>
      <c r="Q57" s="60" t="str">
        <f t="shared" si="12"/>
        <v/>
      </c>
      <c r="R57" s="30" t="str">
        <f t="shared" si="12"/>
        <v/>
      </c>
      <c r="S57" s="60" t="str">
        <f>IF($A57="","",IF(S$6="NÃO",0,IF($A57=0,DATEDIF(ESTRUTURA!$F$3,ESTRUTURA!$F$4,"m")*Tabela!$H$17,Tabela!$H$17)))</f>
        <v/>
      </c>
      <c r="T57" s="30" t="str">
        <f>IF($A57="","",IF(T$6="NÃO",0,IF($A57=0,DATEDIF(ESTRUTURA!$F$3,ESTRUTURA!$F$4,"m")*Tabela!$H$18,Tabela!$H$18)))</f>
        <v/>
      </c>
      <c r="U57" s="60" t="str">
        <f t="shared" si="11"/>
        <v/>
      </c>
      <c r="V57" s="30" t="str">
        <f>IF($A57="","",IF(V$6="NÃO",0,IF($A57=0,DATEDIF(ESTRUTURA!$F$3,ESTRUTURA!$F$4,"m")*Tabela!$H$20,Tabela!$H$20)))</f>
        <v/>
      </c>
      <c r="W57" s="60" t="str">
        <f t="shared" si="11"/>
        <v/>
      </c>
      <c r="X57" s="30" t="str">
        <f t="shared" si="11"/>
        <v/>
      </c>
      <c r="Y57" s="60" t="str">
        <f>IF($A57="","",IF(Y$6="NÃO",0,IF(A57=0,Tabela!$H$23,IF(Y$7="mensal",Tabela!$H$23,IF(AND(MONTH(ESTRUTURA!C57)=MONTH(ESTRUTURA!$F$3),A57&gt;0),Tabela!$H$23,0)))))</f>
        <v/>
      </c>
      <c r="Z57" s="30" t="str">
        <f t="shared" si="11"/>
        <v/>
      </c>
      <c r="AA57" s="60" t="str">
        <f>IF($A57="","",IF(AA$6="NÃO",0,Tabela!$H$25*nm_séries))</f>
        <v/>
      </c>
      <c r="AB57" s="30" t="str">
        <f t="shared" si="11"/>
        <v/>
      </c>
      <c r="AC57" s="60" t="str">
        <f>IF($A57="","",IF(AC$6="NÃO",0,IF(A57=0,Tabela!$H$27,IF(MOD(A57,3)=0,Tabela!$H$27,0))))</f>
        <v/>
      </c>
      <c r="AD57" s="30" t="str">
        <f t="shared" si="11"/>
        <v/>
      </c>
      <c r="AE57" s="60" t="str">
        <f t="shared" si="11"/>
        <v/>
      </c>
      <c r="AF57" s="30" t="str">
        <f>IF($A57="","",IF(AF$6="NÃO",0,IF(AND(MONTH(ESTRUTURA!C57)=MONTH(ESTRUTURA!$F$3),A57&gt;0),Tabela!$H$30,0)))</f>
        <v/>
      </c>
      <c r="AG57" s="60" t="str">
        <f t="shared" si="11"/>
        <v/>
      </c>
      <c r="AH57" s="30" t="str">
        <f t="shared" si="11"/>
        <v/>
      </c>
      <c r="AI57" s="60" t="str">
        <f>IF($A57="","",IF(AI$6="NÃO",0,IF($A57=0,DATEDIF(ESTRUTURA!$F$3,ESTRUTURA!$F$4,"m")*Tabela!$H$33,Tabela!$H$33)))</f>
        <v/>
      </c>
      <c r="AJ57" s="30" t="str">
        <f t="shared" ref="AJ57:AJ120" si="13">IF($A57="","",IF(AJ$6="NÃO",0,0))</f>
        <v/>
      </c>
    </row>
    <row r="58" spans="1:36" x14ac:dyDescent="0.2">
      <c r="A58" s="66" t="str">
        <f>ESTRUTURA!A58</f>
        <v/>
      </c>
      <c r="B58" s="58">
        <f t="shared" si="7"/>
        <v>0</v>
      </c>
      <c r="C58" s="60" t="str">
        <f t="shared" si="12"/>
        <v/>
      </c>
      <c r="D58" s="30" t="str">
        <f t="shared" si="12"/>
        <v/>
      </c>
      <c r="E58" s="60" t="str">
        <f t="shared" si="12"/>
        <v/>
      </c>
      <c r="F58" s="30" t="str">
        <f>IF($A58="","",IF(F$6="NÃO",0,Tabela!$H$34*ESTRUTURA!$I$4))</f>
        <v/>
      </c>
      <c r="G58" s="60" t="str">
        <f t="shared" si="12"/>
        <v/>
      </c>
      <c r="H58" s="30" t="str">
        <f>IF($A58="","",IF(H$6="NÃO",0,IF($A58=0,DATEDIF(ESTRUTURA!$F$3,ESTRUTURA!$F$4,"m")*Tabela!$H$6,Tabela!$H$6)))</f>
        <v/>
      </c>
      <c r="I58" s="60" t="str">
        <f t="shared" si="12"/>
        <v/>
      </c>
      <c r="J58" s="30" t="str">
        <f>IF($A58="","",IF(J$6="NÃO",0,IF($A58=0,DATEDIF(ESTRUTURA!$F$3,ESTRUTURA!$F$4,"m")*Tabela!$H$8,IF(J$6="NÃO",0,Tabela!$H$8))))</f>
        <v/>
      </c>
      <c r="K58" s="60" t="str">
        <f t="shared" si="12"/>
        <v/>
      </c>
      <c r="L58" s="30" t="str">
        <f t="shared" si="12"/>
        <v/>
      </c>
      <c r="M58" s="60" t="str">
        <f t="shared" si="12"/>
        <v/>
      </c>
      <c r="N58" s="30" t="str">
        <f t="shared" si="12"/>
        <v/>
      </c>
      <c r="O58" s="60" t="str">
        <f t="shared" si="12"/>
        <v/>
      </c>
      <c r="P58" s="30" t="str">
        <f t="shared" ref="P58:P75" si="14">IF($A58="","",IF(P$6="NÃO",0,0))</f>
        <v/>
      </c>
      <c r="Q58" s="60" t="str">
        <f t="shared" si="12"/>
        <v/>
      </c>
      <c r="R58" s="30" t="str">
        <f t="shared" si="12"/>
        <v/>
      </c>
      <c r="S58" s="60" t="str">
        <f>IF($A58="","",IF(S$6="NÃO",0,IF($A58=0,DATEDIF(ESTRUTURA!$F$3,ESTRUTURA!$F$4,"m")*Tabela!$H$17,Tabela!$H$17)))</f>
        <v/>
      </c>
      <c r="T58" s="30" t="str">
        <f>IF($A58="","",IF(T$6="NÃO",0,IF($A58=0,DATEDIF(ESTRUTURA!$F$3,ESTRUTURA!$F$4,"m")*Tabela!$H$18,Tabela!$H$18)))</f>
        <v/>
      </c>
      <c r="U58" s="60" t="str">
        <f t="shared" ref="U58:AH58" si="15">IF($A58="","",IF(U$6="NÃO",0,0))</f>
        <v/>
      </c>
      <c r="V58" s="30" t="str">
        <f>IF($A58="","",IF(V$6="NÃO",0,IF($A58=0,DATEDIF(ESTRUTURA!$F$3,ESTRUTURA!$F$4,"m")*Tabela!$H$20,Tabela!$H$20)))</f>
        <v/>
      </c>
      <c r="W58" s="60" t="str">
        <f t="shared" si="15"/>
        <v/>
      </c>
      <c r="X58" s="30" t="str">
        <f t="shared" si="15"/>
        <v/>
      </c>
      <c r="Y58" s="60" t="str">
        <f>IF($A58="","",IF(Y$6="NÃO",0,IF(A58=0,Tabela!$H$23,IF(Y$7="mensal",Tabela!$H$23,IF(AND(MONTH(ESTRUTURA!C58)=MONTH(ESTRUTURA!$F$3),A58&gt;0),Tabela!$H$23,0)))))</f>
        <v/>
      </c>
      <c r="Z58" s="30" t="str">
        <f t="shared" si="15"/>
        <v/>
      </c>
      <c r="AA58" s="60" t="str">
        <f>IF($A58="","",IF(AA$6="NÃO",0,Tabela!$H$25*nm_séries))</f>
        <v/>
      </c>
      <c r="AB58" s="30" t="str">
        <f t="shared" si="15"/>
        <v/>
      </c>
      <c r="AC58" s="60" t="str">
        <f>IF($A58="","",IF(AC$6="NÃO",0,IF(A58=0,Tabela!$H$27,IF(MOD(A58,3)=0,Tabela!$H$27,0))))</f>
        <v/>
      </c>
      <c r="AD58" s="30" t="str">
        <f t="shared" si="15"/>
        <v/>
      </c>
      <c r="AE58" s="60" t="str">
        <f t="shared" si="15"/>
        <v/>
      </c>
      <c r="AF58" s="30" t="str">
        <f>IF($A58="","",IF(AF$6="NÃO",0,IF(AND(MONTH(ESTRUTURA!C58)=MONTH(ESTRUTURA!$F$3),A58&gt;0),Tabela!$H$30,0)))</f>
        <v/>
      </c>
      <c r="AG58" s="60" t="str">
        <f t="shared" si="15"/>
        <v/>
      </c>
      <c r="AH58" s="30" t="str">
        <f t="shared" si="15"/>
        <v/>
      </c>
      <c r="AI58" s="60" t="str">
        <f>IF($A58="","",IF(AI$6="NÃO",0,IF($A58=0,DATEDIF(ESTRUTURA!$F$3,ESTRUTURA!$F$4,"m")*Tabela!$H$33,Tabela!$H$33)))</f>
        <v/>
      </c>
      <c r="AJ58" s="30" t="str">
        <f t="shared" si="13"/>
        <v/>
      </c>
    </row>
    <row r="59" spans="1:36" x14ac:dyDescent="0.2">
      <c r="A59" s="66" t="str">
        <f>ESTRUTURA!A59</f>
        <v/>
      </c>
      <c r="B59" s="58">
        <f t="shared" si="7"/>
        <v>0</v>
      </c>
      <c r="C59" s="60" t="str">
        <f t="shared" si="12"/>
        <v/>
      </c>
      <c r="D59" s="30" t="str">
        <f t="shared" si="12"/>
        <v/>
      </c>
      <c r="E59" s="60" t="str">
        <f t="shared" si="12"/>
        <v/>
      </c>
      <c r="F59" s="30" t="str">
        <f>IF($A59="","",IF(F$6="NÃO",0,Tabela!$H$34*ESTRUTURA!$I$4))</f>
        <v/>
      </c>
      <c r="G59" s="60" t="str">
        <f t="shared" si="12"/>
        <v/>
      </c>
      <c r="H59" s="30" t="str">
        <f>IF($A59="","",IF(H$6="NÃO",0,IF($A59=0,DATEDIF(ESTRUTURA!$F$3,ESTRUTURA!$F$4,"m")*Tabela!$H$6,Tabela!$H$6)))</f>
        <v/>
      </c>
      <c r="I59" s="60" t="str">
        <f t="shared" si="12"/>
        <v/>
      </c>
      <c r="J59" s="30" t="str">
        <f>IF($A59="","",IF(J$6="NÃO",0,IF($A59=0,DATEDIF(ESTRUTURA!$F$3,ESTRUTURA!$F$4,"m")*Tabela!$H$8,IF(J$6="NÃO",0,Tabela!$H$8))))</f>
        <v/>
      </c>
      <c r="K59" s="60" t="str">
        <f t="shared" si="12"/>
        <v/>
      </c>
      <c r="L59" s="30" t="str">
        <f t="shared" si="12"/>
        <v/>
      </c>
      <c r="M59" s="60" t="str">
        <f t="shared" si="12"/>
        <v/>
      </c>
      <c r="N59" s="30" t="str">
        <f t="shared" si="12"/>
        <v/>
      </c>
      <c r="O59" s="60" t="str">
        <f t="shared" si="12"/>
        <v/>
      </c>
      <c r="P59" s="30" t="str">
        <f t="shared" si="14"/>
        <v/>
      </c>
      <c r="Q59" s="60" t="str">
        <f t="shared" si="12"/>
        <v/>
      </c>
      <c r="R59" s="30" t="str">
        <f t="shared" si="12"/>
        <v/>
      </c>
      <c r="S59" s="60" t="str">
        <f>IF($A59="","",IF(S$6="NÃO",0,IF($A59=0,DATEDIF(ESTRUTURA!$F$3,ESTRUTURA!$F$4,"m")*Tabela!$H$17,Tabela!$H$17)))</f>
        <v/>
      </c>
      <c r="T59" s="30" t="str">
        <f>IF($A59="","",IF(T$6="NÃO",0,IF($A59=0,DATEDIF(ESTRUTURA!$F$3,ESTRUTURA!$F$4,"m")*Tabela!$H$18,Tabela!$H$18)))</f>
        <v/>
      </c>
      <c r="U59" s="60" t="str">
        <f t="shared" ref="U59:AH74" si="16">IF($A59="","",IF(U$6="NÃO",0,0))</f>
        <v/>
      </c>
      <c r="V59" s="30" t="str">
        <f>IF($A59="","",IF(V$6="NÃO",0,IF($A59=0,DATEDIF(ESTRUTURA!$F$3,ESTRUTURA!$F$4,"m")*Tabela!$H$20,Tabela!$H$20)))</f>
        <v/>
      </c>
      <c r="W59" s="60" t="str">
        <f t="shared" si="16"/>
        <v/>
      </c>
      <c r="X59" s="30" t="str">
        <f t="shared" si="16"/>
        <v/>
      </c>
      <c r="Y59" s="60" t="str">
        <f>IF($A59="","",IF(Y$6="NÃO",0,IF(A59=0,Tabela!$H$23,IF(Y$7="mensal",Tabela!$H$23,IF(AND(MONTH(ESTRUTURA!C59)=MONTH(ESTRUTURA!$F$3),A59&gt;0),Tabela!$H$23,0)))))</f>
        <v/>
      </c>
      <c r="Z59" s="30" t="str">
        <f t="shared" si="16"/>
        <v/>
      </c>
      <c r="AA59" s="60" t="str">
        <f>IF($A59="","",IF(AA$6="NÃO",0,Tabela!$H$25*nm_séries))</f>
        <v/>
      </c>
      <c r="AB59" s="30" t="str">
        <f t="shared" si="16"/>
        <v/>
      </c>
      <c r="AC59" s="60" t="str">
        <f>IF($A59="","",IF(AC$6="NÃO",0,IF(A59=0,Tabela!$H$27,IF(MOD(A59,3)=0,Tabela!$H$27,0))))</f>
        <v/>
      </c>
      <c r="AD59" s="30" t="str">
        <f t="shared" si="16"/>
        <v/>
      </c>
      <c r="AE59" s="60" t="str">
        <f t="shared" si="16"/>
        <v/>
      </c>
      <c r="AF59" s="30" t="str">
        <f>IF($A59="","",IF(AF$6="NÃO",0,IF(AND(MONTH(ESTRUTURA!C59)=MONTH(ESTRUTURA!$F$3),A59&gt;0),Tabela!$H$30,0)))</f>
        <v/>
      </c>
      <c r="AG59" s="60" t="str">
        <f t="shared" si="16"/>
        <v/>
      </c>
      <c r="AH59" s="30" t="str">
        <f t="shared" si="16"/>
        <v/>
      </c>
      <c r="AI59" s="60" t="str">
        <f>IF($A59="","",IF(AI$6="NÃO",0,IF($A59=0,DATEDIF(ESTRUTURA!$F$3,ESTRUTURA!$F$4,"m")*Tabela!$H$33,Tabela!$H$33)))</f>
        <v/>
      </c>
      <c r="AJ59" s="30" t="str">
        <f t="shared" si="13"/>
        <v/>
      </c>
    </row>
    <row r="60" spans="1:36" x14ac:dyDescent="0.2">
      <c r="A60" s="66" t="str">
        <f>ESTRUTURA!A60</f>
        <v/>
      </c>
      <c r="B60" s="58">
        <f t="shared" si="7"/>
        <v>0</v>
      </c>
      <c r="C60" s="60" t="str">
        <f t="shared" ref="C60:R75" si="17">IF($A60="","",IF(C$6="NÃO",0,0))</f>
        <v/>
      </c>
      <c r="D60" s="30" t="str">
        <f t="shared" si="17"/>
        <v/>
      </c>
      <c r="E60" s="60" t="str">
        <f t="shared" si="17"/>
        <v/>
      </c>
      <c r="F60" s="30" t="str">
        <f>IF($A60="","",IF(F$6="NÃO",0,Tabela!$H$34*ESTRUTURA!$I$4))</f>
        <v/>
      </c>
      <c r="G60" s="60" t="str">
        <f t="shared" si="17"/>
        <v/>
      </c>
      <c r="H60" s="30" t="str">
        <f>IF($A60="","",IF(H$6="NÃO",0,IF($A60=0,DATEDIF(ESTRUTURA!$F$3,ESTRUTURA!$F$4,"m")*Tabela!$H$6,Tabela!$H$6)))</f>
        <v/>
      </c>
      <c r="I60" s="60" t="str">
        <f t="shared" si="17"/>
        <v/>
      </c>
      <c r="J60" s="30" t="str">
        <f>IF($A60="","",IF(J$6="NÃO",0,IF($A60=0,DATEDIF(ESTRUTURA!$F$3,ESTRUTURA!$F$4,"m")*Tabela!$H$8,IF(J$6="NÃO",0,Tabela!$H$8))))</f>
        <v/>
      </c>
      <c r="K60" s="60" t="str">
        <f t="shared" si="17"/>
        <v/>
      </c>
      <c r="L60" s="30" t="str">
        <f t="shared" si="17"/>
        <v/>
      </c>
      <c r="M60" s="60" t="str">
        <f t="shared" si="17"/>
        <v/>
      </c>
      <c r="N60" s="30" t="str">
        <f t="shared" si="17"/>
        <v/>
      </c>
      <c r="O60" s="60" t="str">
        <f t="shared" si="17"/>
        <v/>
      </c>
      <c r="P60" s="30" t="str">
        <f t="shared" si="14"/>
        <v/>
      </c>
      <c r="Q60" s="60" t="str">
        <f t="shared" si="17"/>
        <v/>
      </c>
      <c r="R60" s="30" t="str">
        <f t="shared" si="17"/>
        <v/>
      </c>
      <c r="S60" s="60" t="str">
        <f>IF($A60="","",IF(S$6="NÃO",0,IF($A60=0,DATEDIF(ESTRUTURA!$F$3,ESTRUTURA!$F$4,"m")*Tabela!$H$17,Tabela!$H$17)))</f>
        <v/>
      </c>
      <c r="T60" s="30" t="str">
        <f>IF($A60="","",IF(T$6="NÃO",0,IF($A60=0,DATEDIF(ESTRUTURA!$F$3,ESTRUTURA!$F$4,"m")*Tabela!$H$18,Tabela!$H$18)))</f>
        <v/>
      </c>
      <c r="U60" s="60" t="str">
        <f t="shared" si="16"/>
        <v/>
      </c>
      <c r="V60" s="30" t="str">
        <f>IF($A60="","",IF(V$6="NÃO",0,IF($A60=0,DATEDIF(ESTRUTURA!$F$3,ESTRUTURA!$F$4,"m")*Tabela!$H$20,Tabela!$H$20)))</f>
        <v/>
      </c>
      <c r="W60" s="60" t="str">
        <f t="shared" si="16"/>
        <v/>
      </c>
      <c r="X60" s="30" t="str">
        <f t="shared" si="16"/>
        <v/>
      </c>
      <c r="Y60" s="60" t="str">
        <f>IF($A60="","",IF(Y$6="NÃO",0,IF(A60=0,Tabela!$H$23,IF(Y$7="mensal",Tabela!$H$23,IF(AND(MONTH(ESTRUTURA!C60)=MONTH(ESTRUTURA!$F$3),A60&gt;0),Tabela!$H$23,0)))))</f>
        <v/>
      </c>
      <c r="Z60" s="30" t="str">
        <f t="shared" si="16"/>
        <v/>
      </c>
      <c r="AA60" s="60" t="str">
        <f>IF($A60="","",IF(AA$6="NÃO",0,Tabela!$H$25*nm_séries))</f>
        <v/>
      </c>
      <c r="AB60" s="30" t="str">
        <f t="shared" si="16"/>
        <v/>
      </c>
      <c r="AC60" s="60" t="str">
        <f>IF($A60="","",IF(AC$6="NÃO",0,IF(A60=0,Tabela!$H$27,IF(MOD(A60,3)=0,Tabela!$H$27,0))))</f>
        <v/>
      </c>
      <c r="AD60" s="30" t="str">
        <f t="shared" si="16"/>
        <v/>
      </c>
      <c r="AE60" s="60" t="str">
        <f t="shared" si="16"/>
        <v/>
      </c>
      <c r="AF60" s="30" t="str">
        <f>IF($A60="","",IF(AF$6="NÃO",0,IF(AND(MONTH(ESTRUTURA!C60)=MONTH(ESTRUTURA!$F$3),A60&gt;0),Tabela!$H$30,0)))</f>
        <v/>
      </c>
      <c r="AG60" s="60" t="str">
        <f t="shared" si="16"/>
        <v/>
      </c>
      <c r="AH60" s="30" t="str">
        <f t="shared" si="16"/>
        <v/>
      </c>
      <c r="AI60" s="60" t="str">
        <f>IF($A60="","",IF(AI$6="NÃO",0,IF($A60=0,DATEDIF(ESTRUTURA!$F$3,ESTRUTURA!$F$4,"m")*Tabela!$H$33,Tabela!$H$33)))</f>
        <v/>
      </c>
      <c r="AJ60" s="30" t="str">
        <f t="shared" si="13"/>
        <v/>
      </c>
    </row>
    <row r="61" spans="1:36" x14ac:dyDescent="0.2">
      <c r="A61" s="66" t="str">
        <f>ESTRUTURA!A61</f>
        <v/>
      </c>
      <c r="B61" s="58">
        <f t="shared" si="7"/>
        <v>0</v>
      </c>
      <c r="C61" s="60" t="str">
        <f t="shared" si="17"/>
        <v/>
      </c>
      <c r="D61" s="30" t="str">
        <f t="shared" si="17"/>
        <v/>
      </c>
      <c r="E61" s="60" t="str">
        <f t="shared" si="17"/>
        <v/>
      </c>
      <c r="F61" s="30" t="str">
        <f>IF($A61="","",IF(F$6="NÃO",0,Tabela!$H$34*ESTRUTURA!$I$4))</f>
        <v/>
      </c>
      <c r="G61" s="60" t="str">
        <f t="shared" si="17"/>
        <v/>
      </c>
      <c r="H61" s="30" t="str">
        <f>IF($A61="","",IF(H$6="NÃO",0,IF($A61=0,DATEDIF(ESTRUTURA!$F$3,ESTRUTURA!$F$4,"m")*Tabela!$H$6,Tabela!$H$6)))</f>
        <v/>
      </c>
      <c r="I61" s="60" t="str">
        <f t="shared" si="17"/>
        <v/>
      </c>
      <c r="J61" s="30" t="str">
        <f>IF($A61="","",IF(J$6="NÃO",0,IF($A61=0,DATEDIF(ESTRUTURA!$F$3,ESTRUTURA!$F$4,"m")*Tabela!$H$8,IF(J$6="NÃO",0,Tabela!$H$8))))</f>
        <v/>
      </c>
      <c r="K61" s="60" t="str">
        <f t="shared" si="17"/>
        <v/>
      </c>
      <c r="L61" s="30" t="str">
        <f t="shared" si="17"/>
        <v/>
      </c>
      <c r="M61" s="60" t="str">
        <f t="shared" si="17"/>
        <v/>
      </c>
      <c r="N61" s="30" t="str">
        <f t="shared" si="17"/>
        <v/>
      </c>
      <c r="O61" s="60" t="str">
        <f t="shared" si="17"/>
        <v/>
      </c>
      <c r="P61" s="30" t="str">
        <f t="shared" si="14"/>
        <v/>
      </c>
      <c r="Q61" s="60" t="str">
        <f t="shared" si="17"/>
        <v/>
      </c>
      <c r="R61" s="30" t="str">
        <f t="shared" si="17"/>
        <v/>
      </c>
      <c r="S61" s="60" t="str">
        <f>IF($A61="","",IF(S$6="NÃO",0,IF($A61=0,DATEDIF(ESTRUTURA!$F$3,ESTRUTURA!$F$4,"m")*Tabela!$H$17,Tabela!$H$17)))</f>
        <v/>
      </c>
      <c r="T61" s="30" t="str">
        <f>IF($A61="","",IF(T$6="NÃO",0,IF($A61=0,DATEDIF(ESTRUTURA!$F$3,ESTRUTURA!$F$4,"m")*Tabela!$H$18,Tabela!$H$18)))</f>
        <v/>
      </c>
      <c r="U61" s="60" t="str">
        <f t="shared" si="16"/>
        <v/>
      </c>
      <c r="V61" s="30" t="str">
        <f>IF($A61="","",IF(V$6="NÃO",0,IF($A61=0,DATEDIF(ESTRUTURA!$F$3,ESTRUTURA!$F$4,"m")*Tabela!$H$20,Tabela!$H$20)))</f>
        <v/>
      </c>
      <c r="W61" s="60" t="str">
        <f t="shared" si="16"/>
        <v/>
      </c>
      <c r="X61" s="30" t="str">
        <f t="shared" si="16"/>
        <v/>
      </c>
      <c r="Y61" s="60" t="str">
        <f>IF($A61="","",IF(Y$6="NÃO",0,IF(A61=0,Tabela!$H$23,IF(Y$7="mensal",Tabela!$H$23,IF(AND(MONTH(ESTRUTURA!C61)=MONTH(ESTRUTURA!$F$3),A61&gt;0),Tabela!$H$23,0)))))</f>
        <v/>
      </c>
      <c r="Z61" s="30" t="str">
        <f t="shared" si="16"/>
        <v/>
      </c>
      <c r="AA61" s="60" t="str">
        <f>IF($A61="","",IF(AA$6="NÃO",0,Tabela!$H$25*nm_séries))</f>
        <v/>
      </c>
      <c r="AB61" s="30" t="str">
        <f t="shared" si="16"/>
        <v/>
      </c>
      <c r="AC61" s="60" t="str">
        <f>IF($A61="","",IF(AC$6="NÃO",0,IF(A61=0,Tabela!$H$27,IF(MOD(A61,3)=0,Tabela!$H$27,0))))</f>
        <v/>
      </c>
      <c r="AD61" s="30" t="str">
        <f t="shared" si="16"/>
        <v/>
      </c>
      <c r="AE61" s="60" t="str">
        <f t="shared" si="16"/>
        <v/>
      </c>
      <c r="AF61" s="30" t="str">
        <f>IF($A61="","",IF(AF$6="NÃO",0,IF(AND(MONTH(ESTRUTURA!C61)=MONTH(ESTRUTURA!$F$3),A61&gt;0),Tabela!$H$30,0)))</f>
        <v/>
      </c>
      <c r="AG61" s="60" t="str">
        <f t="shared" si="16"/>
        <v/>
      </c>
      <c r="AH61" s="30" t="str">
        <f t="shared" si="16"/>
        <v/>
      </c>
      <c r="AI61" s="60" t="str">
        <f>IF($A61="","",IF(AI$6="NÃO",0,IF($A61=0,DATEDIF(ESTRUTURA!$F$3,ESTRUTURA!$F$4,"m")*Tabela!$H$33,Tabela!$H$33)))</f>
        <v/>
      </c>
      <c r="AJ61" s="30" t="str">
        <f t="shared" si="13"/>
        <v/>
      </c>
    </row>
    <row r="62" spans="1:36" x14ac:dyDescent="0.2">
      <c r="A62" s="66" t="str">
        <f>ESTRUTURA!A62</f>
        <v/>
      </c>
      <c r="B62" s="58">
        <f t="shared" si="7"/>
        <v>0</v>
      </c>
      <c r="C62" s="60" t="str">
        <f t="shared" si="17"/>
        <v/>
      </c>
      <c r="D62" s="30" t="str">
        <f t="shared" si="17"/>
        <v/>
      </c>
      <c r="E62" s="60" t="str">
        <f t="shared" si="17"/>
        <v/>
      </c>
      <c r="F62" s="30" t="str">
        <f>IF($A62="","",IF(F$6="NÃO",0,Tabela!$H$34*ESTRUTURA!$I$4))</f>
        <v/>
      </c>
      <c r="G62" s="60" t="str">
        <f t="shared" si="17"/>
        <v/>
      </c>
      <c r="H62" s="30" t="str">
        <f>IF($A62="","",IF(H$6="NÃO",0,IF($A62=0,DATEDIF(ESTRUTURA!$F$3,ESTRUTURA!$F$4,"m")*Tabela!$H$6,Tabela!$H$6)))</f>
        <v/>
      </c>
      <c r="I62" s="60" t="str">
        <f t="shared" si="17"/>
        <v/>
      </c>
      <c r="J62" s="30" t="str">
        <f>IF($A62="","",IF(J$6="NÃO",0,IF($A62=0,DATEDIF(ESTRUTURA!$F$3,ESTRUTURA!$F$4,"m")*Tabela!$H$8,IF(J$6="NÃO",0,Tabela!$H$8))))</f>
        <v/>
      </c>
      <c r="K62" s="60" t="str">
        <f t="shared" si="17"/>
        <v/>
      </c>
      <c r="L62" s="30" t="str">
        <f t="shared" si="17"/>
        <v/>
      </c>
      <c r="M62" s="60" t="str">
        <f t="shared" si="17"/>
        <v/>
      </c>
      <c r="N62" s="30" t="str">
        <f t="shared" si="17"/>
        <v/>
      </c>
      <c r="O62" s="60" t="str">
        <f t="shared" si="17"/>
        <v/>
      </c>
      <c r="P62" s="30" t="str">
        <f t="shared" si="14"/>
        <v/>
      </c>
      <c r="Q62" s="60" t="str">
        <f t="shared" si="17"/>
        <v/>
      </c>
      <c r="R62" s="30" t="str">
        <f t="shared" si="17"/>
        <v/>
      </c>
      <c r="S62" s="60" t="str">
        <f>IF($A62="","",IF(S$6="NÃO",0,IF($A62=0,DATEDIF(ESTRUTURA!$F$3,ESTRUTURA!$F$4,"m")*Tabela!$H$17,Tabela!$H$17)))</f>
        <v/>
      </c>
      <c r="T62" s="30" t="str">
        <f>IF($A62="","",IF(T$6="NÃO",0,IF($A62=0,DATEDIF(ESTRUTURA!$F$3,ESTRUTURA!$F$4,"m")*Tabela!$H$18,Tabela!$H$18)))</f>
        <v/>
      </c>
      <c r="U62" s="60" t="str">
        <f t="shared" si="16"/>
        <v/>
      </c>
      <c r="V62" s="30" t="str">
        <f>IF($A62="","",IF(V$6="NÃO",0,IF($A62=0,DATEDIF(ESTRUTURA!$F$3,ESTRUTURA!$F$4,"m")*Tabela!$H$20,Tabela!$H$20)))</f>
        <v/>
      </c>
      <c r="W62" s="60" t="str">
        <f t="shared" si="16"/>
        <v/>
      </c>
      <c r="X62" s="30" t="str">
        <f t="shared" si="16"/>
        <v/>
      </c>
      <c r="Y62" s="60" t="str">
        <f>IF($A62="","",IF(Y$6="NÃO",0,IF(A62=0,Tabela!$H$23,IF(Y$7="mensal",Tabela!$H$23,IF(AND(MONTH(ESTRUTURA!C62)=MONTH(ESTRUTURA!$F$3),A62&gt;0),Tabela!$H$23,0)))))</f>
        <v/>
      </c>
      <c r="Z62" s="30" t="str">
        <f t="shared" si="16"/>
        <v/>
      </c>
      <c r="AA62" s="60" t="str">
        <f>IF($A62="","",IF(AA$6="NÃO",0,Tabela!$H$25*nm_séries))</f>
        <v/>
      </c>
      <c r="AB62" s="30" t="str">
        <f t="shared" si="16"/>
        <v/>
      </c>
      <c r="AC62" s="60" t="str">
        <f>IF($A62="","",IF(AC$6="NÃO",0,IF(A62=0,Tabela!$H$27,IF(MOD(A62,3)=0,Tabela!$H$27,0))))</f>
        <v/>
      </c>
      <c r="AD62" s="30" t="str">
        <f t="shared" si="16"/>
        <v/>
      </c>
      <c r="AE62" s="60" t="str">
        <f t="shared" si="16"/>
        <v/>
      </c>
      <c r="AF62" s="30" t="str">
        <f>IF($A62="","",IF(AF$6="NÃO",0,IF(AND(MONTH(ESTRUTURA!C62)=MONTH(ESTRUTURA!$F$3),A62&gt;0),Tabela!$H$30,0)))</f>
        <v/>
      </c>
      <c r="AG62" s="60" t="str">
        <f t="shared" si="16"/>
        <v/>
      </c>
      <c r="AH62" s="30" t="str">
        <f t="shared" si="16"/>
        <v/>
      </c>
      <c r="AI62" s="60" t="str">
        <f>IF($A62="","",IF(AI$6="NÃO",0,IF($A62=0,DATEDIF(ESTRUTURA!$F$3,ESTRUTURA!$F$4,"m")*Tabela!$H$33,Tabela!$H$33)))</f>
        <v/>
      </c>
      <c r="AJ62" s="30" t="str">
        <f t="shared" si="13"/>
        <v/>
      </c>
    </row>
    <row r="63" spans="1:36" x14ac:dyDescent="0.2">
      <c r="A63" s="66" t="str">
        <f>ESTRUTURA!A63</f>
        <v/>
      </c>
      <c r="B63" s="58">
        <f t="shared" si="7"/>
        <v>0</v>
      </c>
      <c r="C63" s="60" t="str">
        <f t="shared" si="17"/>
        <v/>
      </c>
      <c r="D63" s="30" t="str">
        <f t="shared" si="17"/>
        <v/>
      </c>
      <c r="E63" s="60" t="str">
        <f t="shared" si="17"/>
        <v/>
      </c>
      <c r="F63" s="30" t="str">
        <f>IF($A63="","",IF(F$6="NÃO",0,Tabela!$H$34*ESTRUTURA!$I$4))</f>
        <v/>
      </c>
      <c r="G63" s="60" t="str">
        <f t="shared" si="17"/>
        <v/>
      </c>
      <c r="H63" s="30" t="str">
        <f>IF($A63="","",IF(H$6="NÃO",0,IF($A63=0,DATEDIF(ESTRUTURA!$F$3,ESTRUTURA!$F$4,"m")*Tabela!$H$6,Tabela!$H$6)))</f>
        <v/>
      </c>
      <c r="I63" s="60" t="str">
        <f t="shared" si="17"/>
        <v/>
      </c>
      <c r="J63" s="30" t="str">
        <f>IF($A63="","",IF(J$6="NÃO",0,IF($A63=0,DATEDIF(ESTRUTURA!$F$3,ESTRUTURA!$F$4,"m")*Tabela!$H$8,IF(J$6="NÃO",0,Tabela!$H$8))))</f>
        <v/>
      </c>
      <c r="K63" s="60" t="str">
        <f t="shared" si="17"/>
        <v/>
      </c>
      <c r="L63" s="30" t="str">
        <f t="shared" si="17"/>
        <v/>
      </c>
      <c r="M63" s="60" t="str">
        <f t="shared" si="17"/>
        <v/>
      </c>
      <c r="N63" s="30" t="str">
        <f t="shared" si="17"/>
        <v/>
      </c>
      <c r="O63" s="60" t="str">
        <f t="shared" si="17"/>
        <v/>
      </c>
      <c r="P63" s="30" t="str">
        <f t="shared" si="14"/>
        <v/>
      </c>
      <c r="Q63" s="60" t="str">
        <f t="shared" si="17"/>
        <v/>
      </c>
      <c r="R63" s="30" t="str">
        <f t="shared" si="17"/>
        <v/>
      </c>
      <c r="S63" s="60" t="str">
        <f>IF($A63="","",IF(S$6="NÃO",0,IF($A63=0,DATEDIF(ESTRUTURA!$F$3,ESTRUTURA!$F$4,"m")*Tabela!$H$17,Tabela!$H$17)))</f>
        <v/>
      </c>
      <c r="T63" s="30" t="str">
        <f>IF($A63="","",IF(T$6="NÃO",0,IF($A63=0,DATEDIF(ESTRUTURA!$F$3,ESTRUTURA!$F$4,"m")*Tabela!$H$18,Tabela!$H$18)))</f>
        <v/>
      </c>
      <c r="U63" s="60" t="str">
        <f t="shared" si="16"/>
        <v/>
      </c>
      <c r="V63" s="30" t="str">
        <f>IF($A63="","",IF(V$6="NÃO",0,IF($A63=0,DATEDIF(ESTRUTURA!$F$3,ESTRUTURA!$F$4,"m")*Tabela!$H$20,Tabela!$H$20)))</f>
        <v/>
      </c>
      <c r="W63" s="60" t="str">
        <f t="shared" si="16"/>
        <v/>
      </c>
      <c r="X63" s="30" t="str">
        <f t="shared" si="16"/>
        <v/>
      </c>
      <c r="Y63" s="60" t="str">
        <f>IF($A63="","",IF(Y$6="NÃO",0,IF(A63=0,Tabela!$H$23,IF(Y$7="mensal",Tabela!$H$23,IF(AND(MONTH(ESTRUTURA!C63)=MONTH(ESTRUTURA!$F$3),A63&gt;0),Tabela!$H$23,0)))))</f>
        <v/>
      </c>
      <c r="Z63" s="30" t="str">
        <f t="shared" si="16"/>
        <v/>
      </c>
      <c r="AA63" s="60" t="str">
        <f>IF($A63="","",IF(AA$6="NÃO",0,Tabela!$H$25*nm_séries))</f>
        <v/>
      </c>
      <c r="AB63" s="30" t="str">
        <f t="shared" si="16"/>
        <v/>
      </c>
      <c r="AC63" s="60" t="str">
        <f>IF($A63="","",IF(AC$6="NÃO",0,IF(A63=0,Tabela!$H$27,IF(MOD(A63,3)=0,Tabela!$H$27,0))))</f>
        <v/>
      </c>
      <c r="AD63" s="30" t="str">
        <f t="shared" si="16"/>
        <v/>
      </c>
      <c r="AE63" s="60" t="str">
        <f t="shared" si="16"/>
        <v/>
      </c>
      <c r="AF63" s="30" t="str">
        <f>IF($A63="","",IF(AF$6="NÃO",0,IF(AND(MONTH(ESTRUTURA!C63)=MONTH(ESTRUTURA!$F$3),A63&gt;0),Tabela!$H$30,0)))</f>
        <v/>
      </c>
      <c r="AG63" s="60" t="str">
        <f t="shared" si="16"/>
        <v/>
      </c>
      <c r="AH63" s="30" t="str">
        <f t="shared" si="16"/>
        <v/>
      </c>
      <c r="AI63" s="60" t="str">
        <f>IF($A63="","",IF(AI$6="NÃO",0,IF($A63=0,DATEDIF(ESTRUTURA!$F$3,ESTRUTURA!$F$4,"m")*Tabela!$H$33,Tabela!$H$33)))</f>
        <v/>
      </c>
      <c r="AJ63" s="30" t="str">
        <f t="shared" si="13"/>
        <v/>
      </c>
    </row>
    <row r="64" spans="1:36" x14ac:dyDescent="0.2">
      <c r="A64" s="66" t="str">
        <f>ESTRUTURA!A64</f>
        <v/>
      </c>
      <c r="B64" s="58">
        <f t="shared" si="7"/>
        <v>0</v>
      </c>
      <c r="C64" s="60" t="str">
        <f t="shared" si="17"/>
        <v/>
      </c>
      <c r="D64" s="30" t="str">
        <f t="shared" si="17"/>
        <v/>
      </c>
      <c r="E64" s="60" t="str">
        <f t="shared" si="17"/>
        <v/>
      </c>
      <c r="F64" s="30" t="str">
        <f>IF($A64="","",IF(F$6="NÃO",0,Tabela!$H$34*ESTRUTURA!$I$4))</f>
        <v/>
      </c>
      <c r="G64" s="60" t="str">
        <f t="shared" si="17"/>
        <v/>
      </c>
      <c r="H64" s="30" t="str">
        <f>IF($A64="","",IF(H$6="NÃO",0,IF($A64=0,DATEDIF(ESTRUTURA!$F$3,ESTRUTURA!$F$4,"m")*Tabela!$H$6,Tabela!$H$6)))</f>
        <v/>
      </c>
      <c r="I64" s="60" t="str">
        <f t="shared" si="17"/>
        <v/>
      </c>
      <c r="J64" s="30" t="str">
        <f>IF($A64="","",IF(J$6="NÃO",0,IF($A64=0,DATEDIF(ESTRUTURA!$F$3,ESTRUTURA!$F$4,"m")*Tabela!$H$8,IF(J$6="NÃO",0,Tabela!$H$8))))</f>
        <v/>
      </c>
      <c r="K64" s="60" t="str">
        <f t="shared" si="17"/>
        <v/>
      </c>
      <c r="L64" s="30" t="str">
        <f t="shared" si="17"/>
        <v/>
      </c>
      <c r="M64" s="60" t="str">
        <f t="shared" si="17"/>
        <v/>
      </c>
      <c r="N64" s="30" t="str">
        <f t="shared" si="17"/>
        <v/>
      </c>
      <c r="O64" s="60" t="str">
        <f t="shared" si="17"/>
        <v/>
      </c>
      <c r="P64" s="30" t="str">
        <f t="shared" si="14"/>
        <v/>
      </c>
      <c r="Q64" s="60" t="str">
        <f t="shared" si="17"/>
        <v/>
      </c>
      <c r="R64" s="30" t="str">
        <f t="shared" si="17"/>
        <v/>
      </c>
      <c r="S64" s="60" t="str">
        <f>IF($A64="","",IF(S$6="NÃO",0,IF($A64=0,DATEDIF(ESTRUTURA!$F$3,ESTRUTURA!$F$4,"m")*Tabela!$H$17,Tabela!$H$17)))</f>
        <v/>
      </c>
      <c r="T64" s="30" t="str">
        <f>IF($A64="","",IF(T$6="NÃO",0,IF($A64=0,DATEDIF(ESTRUTURA!$F$3,ESTRUTURA!$F$4,"m")*Tabela!$H$18,Tabela!$H$18)))</f>
        <v/>
      </c>
      <c r="U64" s="60" t="str">
        <f t="shared" si="16"/>
        <v/>
      </c>
      <c r="V64" s="30" t="str">
        <f>IF($A64="","",IF(V$6="NÃO",0,IF($A64=0,DATEDIF(ESTRUTURA!$F$3,ESTRUTURA!$F$4,"m")*Tabela!$H$20,Tabela!$H$20)))</f>
        <v/>
      </c>
      <c r="W64" s="60" t="str">
        <f t="shared" si="16"/>
        <v/>
      </c>
      <c r="X64" s="30" t="str">
        <f t="shared" si="16"/>
        <v/>
      </c>
      <c r="Y64" s="60" t="str">
        <f>IF($A64="","",IF(Y$6="NÃO",0,IF(A64=0,Tabela!$H$23,IF(Y$7="mensal",Tabela!$H$23,IF(AND(MONTH(ESTRUTURA!C64)=MONTH(ESTRUTURA!$F$3),A64&gt;0),Tabela!$H$23,0)))))</f>
        <v/>
      </c>
      <c r="Z64" s="30" t="str">
        <f t="shared" si="16"/>
        <v/>
      </c>
      <c r="AA64" s="60" t="str">
        <f>IF($A64="","",IF(AA$6="NÃO",0,Tabela!$H$25*nm_séries))</f>
        <v/>
      </c>
      <c r="AB64" s="30" t="str">
        <f t="shared" si="16"/>
        <v/>
      </c>
      <c r="AC64" s="60" t="str">
        <f>IF($A64="","",IF(AC$6="NÃO",0,IF(A64=0,Tabela!$H$27,IF(MOD(A64,3)=0,Tabela!$H$27,0))))</f>
        <v/>
      </c>
      <c r="AD64" s="30" t="str">
        <f t="shared" si="16"/>
        <v/>
      </c>
      <c r="AE64" s="60" t="str">
        <f t="shared" si="16"/>
        <v/>
      </c>
      <c r="AF64" s="30" t="str">
        <f>IF($A64="","",IF(AF$6="NÃO",0,IF(AND(MONTH(ESTRUTURA!C64)=MONTH(ESTRUTURA!$F$3),A64&gt;0),Tabela!$H$30,0)))</f>
        <v/>
      </c>
      <c r="AG64" s="60" t="str">
        <f t="shared" si="16"/>
        <v/>
      </c>
      <c r="AH64" s="30" t="str">
        <f t="shared" si="16"/>
        <v/>
      </c>
      <c r="AI64" s="60" t="str">
        <f>IF($A64="","",IF(AI$6="NÃO",0,IF($A64=0,DATEDIF(ESTRUTURA!$F$3,ESTRUTURA!$F$4,"m")*Tabela!$H$33,Tabela!$H$33)))</f>
        <v/>
      </c>
      <c r="AJ64" s="30" t="str">
        <f t="shared" si="13"/>
        <v/>
      </c>
    </row>
    <row r="65" spans="1:36" x14ac:dyDescent="0.2">
      <c r="A65" s="66" t="str">
        <f>ESTRUTURA!A65</f>
        <v/>
      </c>
      <c r="B65" s="58">
        <f t="shared" si="7"/>
        <v>0</v>
      </c>
      <c r="C65" s="60" t="str">
        <f t="shared" si="17"/>
        <v/>
      </c>
      <c r="D65" s="30" t="str">
        <f t="shared" si="17"/>
        <v/>
      </c>
      <c r="E65" s="60" t="str">
        <f t="shared" si="17"/>
        <v/>
      </c>
      <c r="F65" s="30" t="str">
        <f>IF($A65="","",IF(F$6="NÃO",0,Tabela!$H$34*ESTRUTURA!$I$4))</f>
        <v/>
      </c>
      <c r="G65" s="60" t="str">
        <f t="shared" si="17"/>
        <v/>
      </c>
      <c r="H65" s="30" t="str">
        <f>IF($A65="","",IF(H$6="NÃO",0,IF($A65=0,DATEDIF(ESTRUTURA!$F$3,ESTRUTURA!$F$4,"m")*Tabela!$H$6,Tabela!$H$6)))</f>
        <v/>
      </c>
      <c r="I65" s="60" t="str">
        <f t="shared" si="17"/>
        <v/>
      </c>
      <c r="J65" s="30" t="str">
        <f>IF($A65="","",IF(J$6="NÃO",0,IF($A65=0,DATEDIF(ESTRUTURA!$F$3,ESTRUTURA!$F$4,"m")*Tabela!$H$8,IF(J$6="NÃO",0,Tabela!$H$8))))</f>
        <v/>
      </c>
      <c r="K65" s="60" t="str">
        <f t="shared" si="17"/>
        <v/>
      </c>
      <c r="L65" s="30" t="str">
        <f t="shared" si="17"/>
        <v/>
      </c>
      <c r="M65" s="60" t="str">
        <f t="shared" si="17"/>
        <v/>
      </c>
      <c r="N65" s="30" t="str">
        <f t="shared" si="17"/>
        <v/>
      </c>
      <c r="O65" s="60" t="str">
        <f t="shared" si="17"/>
        <v/>
      </c>
      <c r="P65" s="30" t="str">
        <f t="shared" si="14"/>
        <v/>
      </c>
      <c r="Q65" s="60" t="str">
        <f t="shared" si="17"/>
        <v/>
      </c>
      <c r="R65" s="30" t="str">
        <f t="shared" si="17"/>
        <v/>
      </c>
      <c r="S65" s="60" t="str">
        <f>IF($A65="","",IF(S$6="NÃO",0,IF($A65=0,DATEDIF(ESTRUTURA!$F$3,ESTRUTURA!$F$4,"m")*Tabela!$H$17,Tabela!$H$17)))</f>
        <v/>
      </c>
      <c r="T65" s="30" t="str">
        <f>IF($A65="","",IF(T$6="NÃO",0,IF($A65=0,DATEDIF(ESTRUTURA!$F$3,ESTRUTURA!$F$4,"m")*Tabela!$H$18,Tabela!$H$18)))</f>
        <v/>
      </c>
      <c r="U65" s="60" t="str">
        <f t="shared" si="16"/>
        <v/>
      </c>
      <c r="V65" s="30" t="str">
        <f>IF($A65="","",IF(V$6="NÃO",0,IF($A65=0,DATEDIF(ESTRUTURA!$F$3,ESTRUTURA!$F$4,"m")*Tabela!$H$20,Tabela!$H$20)))</f>
        <v/>
      </c>
      <c r="W65" s="60" t="str">
        <f t="shared" si="16"/>
        <v/>
      </c>
      <c r="X65" s="30" t="str">
        <f t="shared" si="16"/>
        <v/>
      </c>
      <c r="Y65" s="60" t="str">
        <f>IF($A65="","",IF(Y$6="NÃO",0,IF(A65=0,Tabela!$H$23,IF(Y$7="mensal",Tabela!$H$23,IF(AND(MONTH(ESTRUTURA!C65)=MONTH(ESTRUTURA!$F$3),A65&gt;0),Tabela!$H$23,0)))))</f>
        <v/>
      </c>
      <c r="Z65" s="30" t="str">
        <f t="shared" si="16"/>
        <v/>
      </c>
      <c r="AA65" s="60" t="str">
        <f>IF($A65="","",IF(AA$6="NÃO",0,Tabela!$H$25*nm_séries))</f>
        <v/>
      </c>
      <c r="AB65" s="30" t="str">
        <f t="shared" si="16"/>
        <v/>
      </c>
      <c r="AC65" s="60" t="str">
        <f>IF($A65="","",IF(AC$6="NÃO",0,IF(A65=0,Tabela!$H$27,IF(MOD(A65,3)=0,Tabela!$H$27,0))))</f>
        <v/>
      </c>
      <c r="AD65" s="30" t="str">
        <f t="shared" si="16"/>
        <v/>
      </c>
      <c r="AE65" s="60" t="str">
        <f t="shared" si="16"/>
        <v/>
      </c>
      <c r="AF65" s="30" t="str">
        <f>IF($A65="","",IF(AF$6="NÃO",0,IF(AND(MONTH(ESTRUTURA!C65)=MONTH(ESTRUTURA!$F$3),A65&gt;0),Tabela!$H$30,0)))</f>
        <v/>
      </c>
      <c r="AG65" s="60" t="str">
        <f t="shared" si="16"/>
        <v/>
      </c>
      <c r="AH65" s="30" t="str">
        <f t="shared" si="16"/>
        <v/>
      </c>
      <c r="AI65" s="60" t="str">
        <f>IF($A65="","",IF(AI$6="NÃO",0,IF($A65=0,DATEDIF(ESTRUTURA!$F$3,ESTRUTURA!$F$4,"m")*Tabela!$H$33,Tabela!$H$33)))</f>
        <v/>
      </c>
      <c r="AJ65" s="30" t="str">
        <f t="shared" si="13"/>
        <v/>
      </c>
    </row>
    <row r="66" spans="1:36" x14ac:dyDescent="0.2">
      <c r="A66" s="66" t="str">
        <f>ESTRUTURA!A66</f>
        <v/>
      </c>
      <c r="B66" s="58">
        <f t="shared" si="7"/>
        <v>0</v>
      </c>
      <c r="C66" s="60" t="str">
        <f t="shared" si="17"/>
        <v/>
      </c>
      <c r="D66" s="30" t="str">
        <f t="shared" si="17"/>
        <v/>
      </c>
      <c r="E66" s="60" t="str">
        <f t="shared" si="17"/>
        <v/>
      </c>
      <c r="F66" s="30" t="str">
        <f>IF($A66="","",IF(F$6="NÃO",0,Tabela!$H$34*ESTRUTURA!$I$4))</f>
        <v/>
      </c>
      <c r="G66" s="60" t="str">
        <f t="shared" si="17"/>
        <v/>
      </c>
      <c r="H66" s="30" t="str">
        <f>IF($A66="","",IF(H$6="NÃO",0,IF($A66=0,DATEDIF(ESTRUTURA!$F$3,ESTRUTURA!$F$4,"m")*Tabela!$H$6,Tabela!$H$6)))</f>
        <v/>
      </c>
      <c r="I66" s="60" t="str">
        <f t="shared" si="17"/>
        <v/>
      </c>
      <c r="J66" s="30" t="str">
        <f>IF($A66="","",IF(J$6="NÃO",0,IF($A66=0,DATEDIF(ESTRUTURA!$F$3,ESTRUTURA!$F$4,"m")*Tabela!$H$8,IF(J$6="NÃO",0,Tabela!$H$8))))</f>
        <v/>
      </c>
      <c r="K66" s="60" t="str">
        <f t="shared" si="17"/>
        <v/>
      </c>
      <c r="L66" s="30" t="str">
        <f t="shared" si="17"/>
        <v/>
      </c>
      <c r="M66" s="60" t="str">
        <f t="shared" si="17"/>
        <v/>
      </c>
      <c r="N66" s="30" t="str">
        <f t="shared" si="17"/>
        <v/>
      </c>
      <c r="O66" s="60" t="str">
        <f t="shared" si="17"/>
        <v/>
      </c>
      <c r="P66" s="30" t="str">
        <f t="shared" si="14"/>
        <v/>
      </c>
      <c r="Q66" s="60" t="str">
        <f t="shared" si="17"/>
        <v/>
      </c>
      <c r="R66" s="30" t="str">
        <f t="shared" si="17"/>
        <v/>
      </c>
      <c r="S66" s="60" t="str">
        <f>IF($A66="","",IF(S$6="NÃO",0,IF($A66=0,DATEDIF(ESTRUTURA!$F$3,ESTRUTURA!$F$4,"m")*Tabela!$H$17,Tabela!$H$17)))</f>
        <v/>
      </c>
      <c r="T66" s="30" t="str">
        <f>IF($A66="","",IF(T$6="NÃO",0,IF($A66=0,DATEDIF(ESTRUTURA!$F$3,ESTRUTURA!$F$4,"m")*Tabela!$H$18,Tabela!$H$18)))</f>
        <v/>
      </c>
      <c r="U66" s="60" t="str">
        <f t="shared" si="16"/>
        <v/>
      </c>
      <c r="V66" s="30" t="str">
        <f>IF($A66="","",IF(V$6="NÃO",0,IF($A66=0,DATEDIF(ESTRUTURA!$F$3,ESTRUTURA!$F$4,"m")*Tabela!$H$20,Tabela!$H$20)))</f>
        <v/>
      </c>
      <c r="W66" s="60" t="str">
        <f t="shared" si="16"/>
        <v/>
      </c>
      <c r="X66" s="30" t="str">
        <f t="shared" si="16"/>
        <v/>
      </c>
      <c r="Y66" s="60" t="str">
        <f>IF($A66="","",IF(Y$6="NÃO",0,IF(A66=0,Tabela!$H$23,IF(Y$7="mensal",Tabela!$H$23,IF(AND(MONTH(ESTRUTURA!C66)=MONTH(ESTRUTURA!$F$3),A66&gt;0),Tabela!$H$23,0)))))</f>
        <v/>
      </c>
      <c r="Z66" s="30" t="str">
        <f t="shared" si="16"/>
        <v/>
      </c>
      <c r="AA66" s="60" t="str">
        <f>IF($A66="","",IF(AA$6="NÃO",0,Tabela!$H$25*nm_séries))</f>
        <v/>
      </c>
      <c r="AB66" s="30" t="str">
        <f t="shared" si="16"/>
        <v/>
      </c>
      <c r="AC66" s="60" t="str">
        <f>IF($A66="","",IF(AC$6="NÃO",0,IF(A66=0,Tabela!$H$27,IF(MOD(A66,3)=0,Tabela!$H$27,0))))</f>
        <v/>
      </c>
      <c r="AD66" s="30" t="str">
        <f t="shared" si="16"/>
        <v/>
      </c>
      <c r="AE66" s="60" t="str">
        <f t="shared" si="16"/>
        <v/>
      </c>
      <c r="AF66" s="30" t="str">
        <f>IF($A66="","",IF(AF$6="NÃO",0,IF(AND(MONTH(ESTRUTURA!C66)=MONTH(ESTRUTURA!$F$3),A66&gt;0),Tabela!$H$30,0)))</f>
        <v/>
      </c>
      <c r="AG66" s="60" t="str">
        <f t="shared" si="16"/>
        <v/>
      </c>
      <c r="AH66" s="30" t="str">
        <f t="shared" si="16"/>
        <v/>
      </c>
      <c r="AI66" s="60" t="str">
        <f>IF($A66="","",IF(AI$6="NÃO",0,IF($A66=0,DATEDIF(ESTRUTURA!$F$3,ESTRUTURA!$F$4,"m")*Tabela!$H$33,Tabela!$H$33)))</f>
        <v/>
      </c>
      <c r="AJ66" s="30" t="str">
        <f t="shared" si="13"/>
        <v/>
      </c>
    </row>
    <row r="67" spans="1:36" x14ac:dyDescent="0.2">
      <c r="A67" s="66" t="str">
        <f>ESTRUTURA!A67</f>
        <v/>
      </c>
      <c r="B67" s="58">
        <f t="shared" si="7"/>
        <v>0</v>
      </c>
      <c r="C67" s="60" t="str">
        <f t="shared" si="17"/>
        <v/>
      </c>
      <c r="D67" s="30" t="str">
        <f t="shared" si="17"/>
        <v/>
      </c>
      <c r="E67" s="60" t="str">
        <f t="shared" si="17"/>
        <v/>
      </c>
      <c r="F67" s="30" t="str">
        <f>IF($A67="","",IF(F$6="NÃO",0,Tabela!$H$34*ESTRUTURA!$I$4))</f>
        <v/>
      </c>
      <c r="G67" s="60" t="str">
        <f t="shared" si="17"/>
        <v/>
      </c>
      <c r="H67" s="30" t="str">
        <f>IF($A67="","",IF(H$6="NÃO",0,IF($A67=0,DATEDIF(ESTRUTURA!$F$3,ESTRUTURA!$F$4,"m")*Tabela!$H$6,Tabela!$H$6)))</f>
        <v/>
      </c>
      <c r="I67" s="60" t="str">
        <f t="shared" si="17"/>
        <v/>
      </c>
      <c r="J67" s="30" t="str">
        <f>IF($A67="","",IF(J$6="NÃO",0,IF($A67=0,DATEDIF(ESTRUTURA!$F$3,ESTRUTURA!$F$4,"m")*Tabela!$H$8,IF(J$6="NÃO",0,Tabela!$H$8))))</f>
        <v/>
      </c>
      <c r="K67" s="60" t="str">
        <f t="shared" si="17"/>
        <v/>
      </c>
      <c r="L67" s="30" t="str">
        <f t="shared" si="17"/>
        <v/>
      </c>
      <c r="M67" s="60" t="str">
        <f t="shared" si="17"/>
        <v/>
      </c>
      <c r="N67" s="30" t="str">
        <f t="shared" si="17"/>
        <v/>
      </c>
      <c r="O67" s="60" t="str">
        <f t="shared" si="17"/>
        <v/>
      </c>
      <c r="P67" s="30" t="str">
        <f t="shared" si="14"/>
        <v/>
      </c>
      <c r="Q67" s="60" t="str">
        <f t="shared" si="17"/>
        <v/>
      </c>
      <c r="R67" s="30" t="str">
        <f t="shared" si="17"/>
        <v/>
      </c>
      <c r="S67" s="60" t="str">
        <f>IF($A67="","",IF(S$6="NÃO",0,IF($A67=0,DATEDIF(ESTRUTURA!$F$3,ESTRUTURA!$F$4,"m")*Tabela!$H$17,Tabela!$H$17)))</f>
        <v/>
      </c>
      <c r="T67" s="30" t="str">
        <f>IF($A67="","",IF(T$6="NÃO",0,IF($A67=0,DATEDIF(ESTRUTURA!$F$3,ESTRUTURA!$F$4,"m")*Tabela!$H$18,Tabela!$H$18)))</f>
        <v/>
      </c>
      <c r="U67" s="60" t="str">
        <f t="shared" si="16"/>
        <v/>
      </c>
      <c r="V67" s="30" t="str">
        <f>IF($A67="","",IF(V$6="NÃO",0,IF($A67=0,DATEDIF(ESTRUTURA!$F$3,ESTRUTURA!$F$4,"m")*Tabela!$H$20,Tabela!$H$20)))</f>
        <v/>
      </c>
      <c r="W67" s="60" t="str">
        <f t="shared" si="16"/>
        <v/>
      </c>
      <c r="X67" s="30" t="str">
        <f t="shared" si="16"/>
        <v/>
      </c>
      <c r="Y67" s="60" t="str">
        <f>IF($A67="","",IF(Y$6="NÃO",0,IF(A67=0,Tabela!$H$23,IF(Y$7="mensal",Tabela!$H$23,IF(AND(MONTH(ESTRUTURA!C67)=MONTH(ESTRUTURA!$F$3),A67&gt;0),Tabela!$H$23,0)))))</f>
        <v/>
      </c>
      <c r="Z67" s="30" t="str">
        <f t="shared" si="16"/>
        <v/>
      </c>
      <c r="AA67" s="60" t="str">
        <f>IF($A67="","",IF(AA$6="NÃO",0,Tabela!$H$25*nm_séries))</f>
        <v/>
      </c>
      <c r="AB67" s="30" t="str">
        <f t="shared" si="16"/>
        <v/>
      </c>
      <c r="AC67" s="60" t="str">
        <f>IF($A67="","",IF(AC$6="NÃO",0,IF(A67=0,Tabela!$H$27,IF(MOD(A67,3)=0,Tabela!$H$27,0))))</f>
        <v/>
      </c>
      <c r="AD67" s="30" t="str">
        <f t="shared" si="16"/>
        <v/>
      </c>
      <c r="AE67" s="60" t="str">
        <f t="shared" si="16"/>
        <v/>
      </c>
      <c r="AF67" s="30" t="str">
        <f>IF($A67="","",IF(AF$6="NÃO",0,IF(AND(MONTH(ESTRUTURA!C67)=MONTH(ESTRUTURA!$F$3),A67&gt;0),Tabela!$H$30,0)))</f>
        <v/>
      </c>
      <c r="AG67" s="60" t="str">
        <f t="shared" si="16"/>
        <v/>
      </c>
      <c r="AH67" s="30" t="str">
        <f t="shared" si="16"/>
        <v/>
      </c>
      <c r="AI67" s="60" t="str">
        <f>IF($A67="","",IF(AI$6="NÃO",0,IF($A67=0,DATEDIF(ESTRUTURA!$F$3,ESTRUTURA!$F$4,"m")*Tabela!$H$33,Tabela!$H$33)))</f>
        <v/>
      </c>
      <c r="AJ67" s="30" t="str">
        <f t="shared" si="13"/>
        <v/>
      </c>
    </row>
    <row r="68" spans="1:36" x14ac:dyDescent="0.2">
      <c r="A68" s="66" t="str">
        <f>ESTRUTURA!A68</f>
        <v/>
      </c>
      <c r="B68" s="58">
        <f t="shared" si="7"/>
        <v>0</v>
      </c>
      <c r="C68" s="60" t="str">
        <f t="shared" si="17"/>
        <v/>
      </c>
      <c r="D68" s="30" t="str">
        <f t="shared" si="17"/>
        <v/>
      </c>
      <c r="E68" s="60" t="str">
        <f t="shared" si="17"/>
        <v/>
      </c>
      <c r="F68" s="30" t="str">
        <f>IF($A68="","",IF(F$6="NÃO",0,Tabela!$H$34*ESTRUTURA!$I$4))</f>
        <v/>
      </c>
      <c r="G68" s="60" t="str">
        <f t="shared" si="17"/>
        <v/>
      </c>
      <c r="H68" s="30" t="str">
        <f>IF($A68="","",IF(H$6="NÃO",0,IF($A68=0,DATEDIF(ESTRUTURA!$F$3,ESTRUTURA!$F$4,"m")*Tabela!$H$6,Tabela!$H$6)))</f>
        <v/>
      </c>
      <c r="I68" s="60" t="str">
        <f t="shared" si="17"/>
        <v/>
      </c>
      <c r="J68" s="30" t="str">
        <f>IF($A68="","",IF(J$6="NÃO",0,IF($A68=0,DATEDIF(ESTRUTURA!$F$3,ESTRUTURA!$F$4,"m")*Tabela!$H$8,IF(J$6="NÃO",0,Tabela!$H$8))))</f>
        <v/>
      </c>
      <c r="K68" s="60" t="str">
        <f t="shared" si="17"/>
        <v/>
      </c>
      <c r="L68" s="30" t="str">
        <f t="shared" si="17"/>
        <v/>
      </c>
      <c r="M68" s="60" t="str">
        <f t="shared" si="17"/>
        <v/>
      </c>
      <c r="N68" s="30" t="str">
        <f t="shared" si="17"/>
        <v/>
      </c>
      <c r="O68" s="60" t="str">
        <f t="shared" si="17"/>
        <v/>
      </c>
      <c r="P68" s="30" t="str">
        <f t="shared" si="14"/>
        <v/>
      </c>
      <c r="Q68" s="60" t="str">
        <f t="shared" si="17"/>
        <v/>
      </c>
      <c r="R68" s="30" t="str">
        <f t="shared" si="17"/>
        <v/>
      </c>
      <c r="S68" s="60" t="str">
        <f>IF($A68="","",IF(S$6="NÃO",0,IF($A68=0,DATEDIF(ESTRUTURA!$F$3,ESTRUTURA!$F$4,"m")*Tabela!$H$17,Tabela!$H$17)))</f>
        <v/>
      </c>
      <c r="T68" s="30" t="str">
        <f>IF($A68="","",IF(T$6="NÃO",0,IF($A68=0,DATEDIF(ESTRUTURA!$F$3,ESTRUTURA!$F$4,"m")*Tabela!$H$18,Tabela!$H$18)))</f>
        <v/>
      </c>
      <c r="U68" s="60" t="str">
        <f t="shared" si="16"/>
        <v/>
      </c>
      <c r="V68" s="30" t="str">
        <f>IF($A68="","",IF(V$6="NÃO",0,IF($A68=0,DATEDIF(ESTRUTURA!$F$3,ESTRUTURA!$F$4,"m")*Tabela!$H$20,Tabela!$H$20)))</f>
        <v/>
      </c>
      <c r="W68" s="60" t="str">
        <f t="shared" si="16"/>
        <v/>
      </c>
      <c r="X68" s="30" t="str">
        <f t="shared" si="16"/>
        <v/>
      </c>
      <c r="Y68" s="60" t="str">
        <f>IF($A68="","",IF(Y$6="NÃO",0,IF(A68=0,Tabela!$H$23,IF(Y$7="mensal",Tabela!$H$23,IF(AND(MONTH(ESTRUTURA!C68)=MONTH(ESTRUTURA!$F$3),A68&gt;0),Tabela!$H$23,0)))))</f>
        <v/>
      </c>
      <c r="Z68" s="30" t="str">
        <f t="shared" si="16"/>
        <v/>
      </c>
      <c r="AA68" s="60" t="str">
        <f>IF($A68="","",IF(AA$6="NÃO",0,Tabela!$H$25*nm_séries))</f>
        <v/>
      </c>
      <c r="AB68" s="30" t="str">
        <f t="shared" si="16"/>
        <v/>
      </c>
      <c r="AC68" s="60" t="str">
        <f>IF($A68="","",IF(AC$6="NÃO",0,IF(A68=0,Tabela!$H$27,IF(MOD(A68,3)=0,Tabela!$H$27,0))))</f>
        <v/>
      </c>
      <c r="AD68" s="30" t="str">
        <f t="shared" si="16"/>
        <v/>
      </c>
      <c r="AE68" s="60" t="str">
        <f t="shared" si="16"/>
        <v/>
      </c>
      <c r="AF68" s="30" t="str">
        <f>IF($A68="","",IF(AF$6="NÃO",0,IF(AND(MONTH(ESTRUTURA!C68)=MONTH(ESTRUTURA!$F$3),A68&gt;0),Tabela!$H$30,0)))</f>
        <v/>
      </c>
      <c r="AG68" s="60" t="str">
        <f t="shared" si="16"/>
        <v/>
      </c>
      <c r="AH68" s="30" t="str">
        <f t="shared" si="16"/>
        <v/>
      </c>
      <c r="AI68" s="60" t="str">
        <f>IF($A68="","",IF(AI$6="NÃO",0,IF($A68=0,DATEDIF(ESTRUTURA!$F$3,ESTRUTURA!$F$4,"m")*Tabela!$H$33,Tabela!$H$33)))</f>
        <v/>
      </c>
      <c r="AJ68" s="30" t="str">
        <f t="shared" si="13"/>
        <v/>
      </c>
    </row>
    <row r="69" spans="1:36" x14ac:dyDescent="0.2">
      <c r="A69" s="66" t="str">
        <f>ESTRUTURA!A69</f>
        <v/>
      </c>
      <c r="B69" s="58">
        <f t="shared" si="7"/>
        <v>0</v>
      </c>
      <c r="C69" s="60" t="str">
        <f t="shared" si="17"/>
        <v/>
      </c>
      <c r="D69" s="30" t="str">
        <f t="shared" si="17"/>
        <v/>
      </c>
      <c r="E69" s="60" t="str">
        <f t="shared" si="17"/>
        <v/>
      </c>
      <c r="F69" s="30" t="str">
        <f>IF($A69="","",IF(F$6="NÃO",0,Tabela!$H$34*ESTRUTURA!$I$4))</f>
        <v/>
      </c>
      <c r="G69" s="60" t="str">
        <f t="shared" si="17"/>
        <v/>
      </c>
      <c r="H69" s="30" t="str">
        <f>IF($A69="","",IF(H$6="NÃO",0,IF($A69=0,DATEDIF(ESTRUTURA!$F$3,ESTRUTURA!$F$4,"m")*Tabela!$H$6,Tabela!$H$6)))</f>
        <v/>
      </c>
      <c r="I69" s="60" t="str">
        <f t="shared" si="17"/>
        <v/>
      </c>
      <c r="J69" s="30" t="str">
        <f>IF($A69="","",IF(J$6="NÃO",0,IF($A69=0,DATEDIF(ESTRUTURA!$F$3,ESTRUTURA!$F$4,"m")*Tabela!$H$8,IF(J$6="NÃO",0,Tabela!$H$8))))</f>
        <v/>
      </c>
      <c r="K69" s="60" t="str">
        <f t="shared" si="17"/>
        <v/>
      </c>
      <c r="L69" s="30" t="str">
        <f t="shared" si="17"/>
        <v/>
      </c>
      <c r="M69" s="60" t="str">
        <f t="shared" si="17"/>
        <v/>
      </c>
      <c r="N69" s="30" t="str">
        <f t="shared" si="17"/>
        <v/>
      </c>
      <c r="O69" s="60" t="str">
        <f t="shared" si="17"/>
        <v/>
      </c>
      <c r="P69" s="30" t="str">
        <f t="shared" si="14"/>
        <v/>
      </c>
      <c r="Q69" s="60" t="str">
        <f t="shared" si="17"/>
        <v/>
      </c>
      <c r="R69" s="30" t="str">
        <f t="shared" si="17"/>
        <v/>
      </c>
      <c r="S69" s="60" t="str">
        <f>IF($A69="","",IF(S$6="NÃO",0,IF($A69=0,DATEDIF(ESTRUTURA!$F$3,ESTRUTURA!$F$4,"m")*Tabela!$H$17,Tabela!$H$17)))</f>
        <v/>
      </c>
      <c r="T69" s="30" t="str">
        <f>IF($A69="","",IF(T$6="NÃO",0,IF($A69=0,DATEDIF(ESTRUTURA!$F$3,ESTRUTURA!$F$4,"m")*Tabela!$H$18,Tabela!$H$18)))</f>
        <v/>
      </c>
      <c r="U69" s="60" t="str">
        <f t="shared" si="16"/>
        <v/>
      </c>
      <c r="V69" s="30" t="str">
        <f>IF($A69="","",IF(V$6="NÃO",0,IF($A69=0,DATEDIF(ESTRUTURA!$F$3,ESTRUTURA!$F$4,"m")*Tabela!$H$20,Tabela!$H$20)))</f>
        <v/>
      </c>
      <c r="W69" s="60" t="str">
        <f t="shared" si="16"/>
        <v/>
      </c>
      <c r="X69" s="30" t="str">
        <f t="shared" si="16"/>
        <v/>
      </c>
      <c r="Y69" s="60" t="str">
        <f>IF($A69="","",IF(Y$6="NÃO",0,IF(A69=0,Tabela!$H$23,IF(Y$7="mensal",Tabela!$H$23,IF(AND(MONTH(ESTRUTURA!C69)=MONTH(ESTRUTURA!$F$3),A69&gt;0),Tabela!$H$23,0)))))</f>
        <v/>
      </c>
      <c r="Z69" s="30" t="str">
        <f t="shared" si="16"/>
        <v/>
      </c>
      <c r="AA69" s="60" t="str">
        <f>IF($A69="","",IF(AA$6="NÃO",0,Tabela!$H$25*nm_séries))</f>
        <v/>
      </c>
      <c r="AB69" s="30" t="str">
        <f t="shared" si="16"/>
        <v/>
      </c>
      <c r="AC69" s="60" t="str">
        <f>IF($A69="","",IF(AC$6="NÃO",0,IF(A69=0,Tabela!$H$27,IF(MOD(A69,3)=0,Tabela!$H$27,0))))</f>
        <v/>
      </c>
      <c r="AD69" s="30" t="str">
        <f t="shared" si="16"/>
        <v/>
      </c>
      <c r="AE69" s="60" t="str">
        <f t="shared" si="16"/>
        <v/>
      </c>
      <c r="AF69" s="30" t="str">
        <f>IF($A69="","",IF(AF$6="NÃO",0,IF(AND(MONTH(ESTRUTURA!C69)=MONTH(ESTRUTURA!$F$3),A69&gt;0),Tabela!$H$30,0)))</f>
        <v/>
      </c>
      <c r="AG69" s="60" t="str">
        <f t="shared" si="16"/>
        <v/>
      </c>
      <c r="AH69" s="30" t="str">
        <f t="shared" si="16"/>
        <v/>
      </c>
      <c r="AI69" s="60" t="str">
        <f>IF($A69="","",IF(AI$6="NÃO",0,IF($A69=0,DATEDIF(ESTRUTURA!$F$3,ESTRUTURA!$F$4,"m")*Tabela!$H$33,Tabela!$H$33)))</f>
        <v/>
      </c>
      <c r="AJ69" s="30" t="str">
        <f t="shared" si="13"/>
        <v/>
      </c>
    </row>
    <row r="70" spans="1:36" x14ac:dyDescent="0.2">
      <c r="A70" s="66" t="str">
        <f>ESTRUTURA!A70</f>
        <v/>
      </c>
      <c r="B70" s="58">
        <f t="shared" si="7"/>
        <v>0</v>
      </c>
      <c r="C70" s="60" t="str">
        <f t="shared" si="17"/>
        <v/>
      </c>
      <c r="D70" s="30" t="str">
        <f t="shared" si="17"/>
        <v/>
      </c>
      <c r="E70" s="60" t="str">
        <f t="shared" si="17"/>
        <v/>
      </c>
      <c r="F70" s="30" t="str">
        <f>IF($A70="","",IF(F$6="NÃO",0,Tabela!$H$34*ESTRUTURA!$I$4))</f>
        <v/>
      </c>
      <c r="G70" s="60" t="str">
        <f t="shared" si="17"/>
        <v/>
      </c>
      <c r="H70" s="30" t="str">
        <f>IF($A70="","",IF(H$6="NÃO",0,IF($A70=0,DATEDIF(ESTRUTURA!$F$3,ESTRUTURA!$F$4,"m")*Tabela!$H$6,Tabela!$H$6)))</f>
        <v/>
      </c>
      <c r="I70" s="60" t="str">
        <f t="shared" si="17"/>
        <v/>
      </c>
      <c r="J70" s="30" t="str">
        <f>IF($A70="","",IF(J$6="NÃO",0,IF($A70=0,DATEDIF(ESTRUTURA!$F$3,ESTRUTURA!$F$4,"m")*Tabela!$H$8,IF(J$6="NÃO",0,Tabela!$H$8))))</f>
        <v/>
      </c>
      <c r="K70" s="60" t="str">
        <f t="shared" si="17"/>
        <v/>
      </c>
      <c r="L70" s="30" t="str">
        <f t="shared" si="17"/>
        <v/>
      </c>
      <c r="M70" s="60" t="str">
        <f t="shared" si="17"/>
        <v/>
      </c>
      <c r="N70" s="30" t="str">
        <f t="shared" si="17"/>
        <v/>
      </c>
      <c r="O70" s="60" t="str">
        <f t="shared" si="17"/>
        <v/>
      </c>
      <c r="P70" s="30" t="str">
        <f t="shared" si="14"/>
        <v/>
      </c>
      <c r="Q70" s="60" t="str">
        <f t="shared" si="17"/>
        <v/>
      </c>
      <c r="R70" s="30" t="str">
        <f t="shared" si="17"/>
        <v/>
      </c>
      <c r="S70" s="60" t="str">
        <f>IF($A70="","",IF(S$6="NÃO",0,IF($A70=0,DATEDIF(ESTRUTURA!$F$3,ESTRUTURA!$F$4,"m")*Tabela!$H$17,Tabela!$H$17)))</f>
        <v/>
      </c>
      <c r="T70" s="30" t="str">
        <f>IF($A70="","",IF(T$6="NÃO",0,IF($A70=0,DATEDIF(ESTRUTURA!$F$3,ESTRUTURA!$F$4,"m")*Tabela!$H$18,Tabela!$H$18)))</f>
        <v/>
      </c>
      <c r="U70" s="60" t="str">
        <f t="shared" si="16"/>
        <v/>
      </c>
      <c r="V70" s="30" t="str">
        <f>IF($A70="","",IF(V$6="NÃO",0,IF($A70=0,DATEDIF(ESTRUTURA!$F$3,ESTRUTURA!$F$4,"m")*Tabela!$H$20,Tabela!$H$20)))</f>
        <v/>
      </c>
      <c r="W70" s="60" t="str">
        <f t="shared" si="16"/>
        <v/>
      </c>
      <c r="X70" s="30" t="str">
        <f t="shared" si="16"/>
        <v/>
      </c>
      <c r="Y70" s="60" t="str">
        <f>IF($A70="","",IF(Y$6="NÃO",0,IF(A70=0,Tabela!$H$23,IF(Y$7="mensal",Tabela!$H$23,IF(AND(MONTH(ESTRUTURA!C70)=MONTH(ESTRUTURA!$F$3),A70&gt;0),Tabela!$H$23,0)))))</f>
        <v/>
      </c>
      <c r="Z70" s="30" t="str">
        <f t="shared" si="16"/>
        <v/>
      </c>
      <c r="AA70" s="60" t="str">
        <f>IF($A70="","",IF(AA$6="NÃO",0,Tabela!$H$25*nm_séries))</f>
        <v/>
      </c>
      <c r="AB70" s="30" t="str">
        <f t="shared" si="16"/>
        <v/>
      </c>
      <c r="AC70" s="60" t="str">
        <f>IF($A70="","",IF(AC$6="NÃO",0,IF(A70=0,Tabela!$H$27,IF(MOD(A70,3)=0,Tabela!$H$27,0))))</f>
        <v/>
      </c>
      <c r="AD70" s="30" t="str">
        <f t="shared" si="16"/>
        <v/>
      </c>
      <c r="AE70" s="60" t="str">
        <f t="shared" si="16"/>
        <v/>
      </c>
      <c r="AF70" s="30" t="str">
        <f>IF($A70="","",IF(AF$6="NÃO",0,IF(AND(MONTH(ESTRUTURA!C70)=MONTH(ESTRUTURA!$F$3),A70&gt;0),Tabela!$H$30,0)))</f>
        <v/>
      </c>
      <c r="AG70" s="60" t="str">
        <f t="shared" si="16"/>
        <v/>
      </c>
      <c r="AH70" s="30" t="str">
        <f t="shared" si="16"/>
        <v/>
      </c>
      <c r="AI70" s="60" t="str">
        <f>IF($A70="","",IF(AI$6="NÃO",0,IF($A70=0,DATEDIF(ESTRUTURA!$F$3,ESTRUTURA!$F$4,"m")*Tabela!$H$33,Tabela!$H$33)))</f>
        <v/>
      </c>
      <c r="AJ70" s="30" t="str">
        <f t="shared" si="13"/>
        <v/>
      </c>
    </row>
    <row r="71" spans="1:36" x14ac:dyDescent="0.2">
      <c r="A71" s="66" t="str">
        <f>ESTRUTURA!A71</f>
        <v/>
      </c>
      <c r="B71" s="58">
        <f t="shared" si="7"/>
        <v>0</v>
      </c>
      <c r="C71" s="60" t="str">
        <f t="shared" si="17"/>
        <v/>
      </c>
      <c r="D71" s="30" t="str">
        <f t="shared" si="17"/>
        <v/>
      </c>
      <c r="E71" s="60" t="str">
        <f t="shared" si="17"/>
        <v/>
      </c>
      <c r="F71" s="30" t="str">
        <f>IF($A71="","",IF(F$6="NÃO",0,Tabela!$H$34*ESTRUTURA!$I$4))</f>
        <v/>
      </c>
      <c r="G71" s="60" t="str">
        <f t="shared" si="17"/>
        <v/>
      </c>
      <c r="H71" s="30" t="str">
        <f>IF($A71="","",IF(H$6="NÃO",0,IF($A71=0,DATEDIF(ESTRUTURA!$F$3,ESTRUTURA!$F$4,"m")*Tabela!$H$6,Tabela!$H$6)))</f>
        <v/>
      </c>
      <c r="I71" s="60" t="str">
        <f t="shared" si="17"/>
        <v/>
      </c>
      <c r="J71" s="30" t="str">
        <f>IF($A71="","",IF(J$6="NÃO",0,IF($A71=0,DATEDIF(ESTRUTURA!$F$3,ESTRUTURA!$F$4,"m")*Tabela!$H$8,IF(J$6="NÃO",0,Tabela!$H$8))))</f>
        <v/>
      </c>
      <c r="K71" s="60" t="str">
        <f t="shared" si="17"/>
        <v/>
      </c>
      <c r="L71" s="30" t="str">
        <f t="shared" si="17"/>
        <v/>
      </c>
      <c r="M71" s="60" t="str">
        <f t="shared" si="17"/>
        <v/>
      </c>
      <c r="N71" s="30" t="str">
        <f t="shared" si="17"/>
        <v/>
      </c>
      <c r="O71" s="60" t="str">
        <f t="shared" si="17"/>
        <v/>
      </c>
      <c r="P71" s="30" t="str">
        <f t="shared" si="14"/>
        <v/>
      </c>
      <c r="Q71" s="60" t="str">
        <f t="shared" si="17"/>
        <v/>
      </c>
      <c r="R71" s="30" t="str">
        <f t="shared" si="17"/>
        <v/>
      </c>
      <c r="S71" s="60" t="str">
        <f>IF($A71="","",IF(S$6="NÃO",0,IF($A71=0,DATEDIF(ESTRUTURA!$F$3,ESTRUTURA!$F$4,"m")*Tabela!$H$17,Tabela!$H$17)))</f>
        <v/>
      </c>
      <c r="T71" s="30" t="str">
        <f>IF($A71="","",IF(T$6="NÃO",0,IF($A71=0,DATEDIF(ESTRUTURA!$F$3,ESTRUTURA!$F$4,"m")*Tabela!$H$18,Tabela!$H$18)))</f>
        <v/>
      </c>
      <c r="U71" s="60" t="str">
        <f t="shared" si="16"/>
        <v/>
      </c>
      <c r="V71" s="30" t="str">
        <f>IF($A71="","",IF(V$6="NÃO",0,IF($A71=0,DATEDIF(ESTRUTURA!$F$3,ESTRUTURA!$F$4,"m")*Tabela!$H$20,Tabela!$H$20)))</f>
        <v/>
      </c>
      <c r="W71" s="60" t="str">
        <f t="shared" si="16"/>
        <v/>
      </c>
      <c r="X71" s="30" t="str">
        <f t="shared" si="16"/>
        <v/>
      </c>
      <c r="Y71" s="60" t="str">
        <f>IF($A71="","",IF(Y$6="NÃO",0,IF(A71=0,Tabela!$H$23,IF(Y$7="mensal",Tabela!$H$23,IF(AND(MONTH(ESTRUTURA!C71)=MONTH(ESTRUTURA!$F$3),A71&gt;0),Tabela!$H$23,0)))))</f>
        <v/>
      </c>
      <c r="Z71" s="30" t="str">
        <f t="shared" si="16"/>
        <v/>
      </c>
      <c r="AA71" s="60" t="str">
        <f>IF($A71="","",IF(AA$6="NÃO",0,Tabela!$H$25*nm_séries))</f>
        <v/>
      </c>
      <c r="AB71" s="30" t="str">
        <f t="shared" si="16"/>
        <v/>
      </c>
      <c r="AC71" s="60" t="str">
        <f>IF($A71="","",IF(AC$6="NÃO",0,IF(A71=0,Tabela!$H$27,IF(MOD(A71,3)=0,Tabela!$H$27,0))))</f>
        <v/>
      </c>
      <c r="AD71" s="30" t="str">
        <f t="shared" si="16"/>
        <v/>
      </c>
      <c r="AE71" s="60" t="str">
        <f t="shared" si="16"/>
        <v/>
      </c>
      <c r="AF71" s="30" t="str">
        <f>IF($A71="","",IF(AF$6="NÃO",0,IF(AND(MONTH(ESTRUTURA!C71)=MONTH(ESTRUTURA!$F$3),A71&gt;0),Tabela!$H$30,0)))</f>
        <v/>
      </c>
      <c r="AG71" s="60" t="str">
        <f t="shared" si="16"/>
        <v/>
      </c>
      <c r="AH71" s="30" t="str">
        <f t="shared" si="16"/>
        <v/>
      </c>
      <c r="AI71" s="60" t="str">
        <f>IF($A71="","",IF(AI$6="NÃO",0,IF($A71=0,DATEDIF(ESTRUTURA!$F$3,ESTRUTURA!$F$4,"m")*Tabela!$H$33,Tabela!$H$33)))</f>
        <v/>
      </c>
      <c r="AJ71" s="30" t="str">
        <f t="shared" si="13"/>
        <v/>
      </c>
    </row>
    <row r="72" spans="1:36" x14ac:dyDescent="0.2">
      <c r="A72" s="66" t="str">
        <f>ESTRUTURA!A72</f>
        <v/>
      </c>
      <c r="B72" s="58">
        <f t="shared" si="7"/>
        <v>0</v>
      </c>
      <c r="C72" s="60" t="str">
        <f t="shared" si="17"/>
        <v/>
      </c>
      <c r="D72" s="30" t="str">
        <f t="shared" si="17"/>
        <v/>
      </c>
      <c r="E72" s="60" t="str">
        <f t="shared" si="17"/>
        <v/>
      </c>
      <c r="F72" s="30" t="str">
        <f>IF($A72="","",IF(F$6="NÃO",0,Tabela!$H$34*ESTRUTURA!$I$4))</f>
        <v/>
      </c>
      <c r="G72" s="60" t="str">
        <f t="shared" si="17"/>
        <v/>
      </c>
      <c r="H72" s="30" t="str">
        <f>IF($A72="","",IF(H$6="NÃO",0,IF($A72=0,DATEDIF(ESTRUTURA!$F$3,ESTRUTURA!$F$4,"m")*Tabela!$H$6,Tabela!$H$6)))</f>
        <v/>
      </c>
      <c r="I72" s="60" t="str">
        <f t="shared" si="17"/>
        <v/>
      </c>
      <c r="J72" s="30" t="str">
        <f>IF($A72="","",IF(J$6="NÃO",0,IF($A72=0,DATEDIF(ESTRUTURA!$F$3,ESTRUTURA!$F$4,"m")*Tabela!$H$8,IF(J$6="NÃO",0,Tabela!$H$8))))</f>
        <v/>
      </c>
      <c r="K72" s="60" t="str">
        <f t="shared" si="17"/>
        <v/>
      </c>
      <c r="L72" s="30" t="str">
        <f t="shared" si="17"/>
        <v/>
      </c>
      <c r="M72" s="60" t="str">
        <f t="shared" si="17"/>
        <v/>
      </c>
      <c r="N72" s="30" t="str">
        <f t="shared" si="17"/>
        <v/>
      </c>
      <c r="O72" s="60" t="str">
        <f t="shared" si="17"/>
        <v/>
      </c>
      <c r="P72" s="30" t="str">
        <f t="shared" si="14"/>
        <v/>
      </c>
      <c r="Q72" s="60" t="str">
        <f t="shared" si="17"/>
        <v/>
      </c>
      <c r="R72" s="30" t="str">
        <f t="shared" si="17"/>
        <v/>
      </c>
      <c r="S72" s="60" t="str">
        <f>IF($A72="","",IF(S$6="NÃO",0,IF($A72=0,DATEDIF(ESTRUTURA!$F$3,ESTRUTURA!$F$4,"m")*Tabela!$H$17,Tabela!$H$17)))</f>
        <v/>
      </c>
      <c r="T72" s="30" t="str">
        <f>IF($A72="","",IF(T$6="NÃO",0,IF($A72=0,DATEDIF(ESTRUTURA!$F$3,ESTRUTURA!$F$4,"m")*Tabela!$H$18,Tabela!$H$18)))</f>
        <v/>
      </c>
      <c r="U72" s="60" t="str">
        <f t="shared" si="16"/>
        <v/>
      </c>
      <c r="V72" s="30" t="str">
        <f>IF($A72="","",IF(V$6="NÃO",0,IF($A72=0,DATEDIF(ESTRUTURA!$F$3,ESTRUTURA!$F$4,"m")*Tabela!$H$20,Tabela!$H$20)))</f>
        <v/>
      </c>
      <c r="W72" s="60" t="str">
        <f t="shared" si="16"/>
        <v/>
      </c>
      <c r="X72" s="30" t="str">
        <f t="shared" si="16"/>
        <v/>
      </c>
      <c r="Y72" s="60" t="str">
        <f>IF($A72="","",IF(Y$6="NÃO",0,IF(A72=0,Tabela!$H$23,IF(Y$7="mensal",Tabela!$H$23,IF(AND(MONTH(ESTRUTURA!C72)=MONTH(ESTRUTURA!$F$3),A72&gt;0),Tabela!$H$23,0)))))</f>
        <v/>
      </c>
      <c r="Z72" s="30" t="str">
        <f t="shared" si="16"/>
        <v/>
      </c>
      <c r="AA72" s="60" t="str">
        <f>IF($A72="","",IF(AA$6="NÃO",0,Tabela!$H$25*nm_séries))</f>
        <v/>
      </c>
      <c r="AB72" s="30" t="str">
        <f t="shared" si="16"/>
        <v/>
      </c>
      <c r="AC72" s="60" t="str">
        <f>IF($A72="","",IF(AC$6="NÃO",0,IF(A72=0,Tabela!$H$27,IF(MOD(A72,3)=0,Tabela!$H$27,0))))</f>
        <v/>
      </c>
      <c r="AD72" s="30" t="str">
        <f t="shared" si="16"/>
        <v/>
      </c>
      <c r="AE72" s="60" t="str">
        <f t="shared" si="16"/>
        <v/>
      </c>
      <c r="AF72" s="30" t="str">
        <f>IF($A72="","",IF(AF$6="NÃO",0,IF(AND(MONTH(ESTRUTURA!C72)=MONTH(ESTRUTURA!$F$3),A72&gt;0),Tabela!$H$30,0)))</f>
        <v/>
      </c>
      <c r="AG72" s="60" t="str">
        <f t="shared" si="16"/>
        <v/>
      </c>
      <c r="AH72" s="30" t="str">
        <f t="shared" si="16"/>
        <v/>
      </c>
      <c r="AI72" s="60" t="str">
        <f>IF($A72="","",IF(AI$6="NÃO",0,IF($A72=0,DATEDIF(ESTRUTURA!$F$3,ESTRUTURA!$F$4,"m")*Tabela!$H$33,Tabela!$H$33)))</f>
        <v/>
      </c>
      <c r="AJ72" s="30" t="str">
        <f t="shared" si="13"/>
        <v/>
      </c>
    </row>
    <row r="73" spans="1:36" x14ac:dyDescent="0.2">
      <c r="A73" s="66" t="str">
        <f>ESTRUTURA!A73</f>
        <v/>
      </c>
      <c r="B73" s="58">
        <f t="shared" si="7"/>
        <v>0</v>
      </c>
      <c r="C73" s="60" t="str">
        <f t="shared" si="17"/>
        <v/>
      </c>
      <c r="D73" s="30" t="str">
        <f t="shared" si="17"/>
        <v/>
      </c>
      <c r="E73" s="60" t="str">
        <f t="shared" si="17"/>
        <v/>
      </c>
      <c r="F73" s="30" t="str">
        <f>IF($A73="","",IF(F$6="NÃO",0,Tabela!$H$34*ESTRUTURA!$I$4))</f>
        <v/>
      </c>
      <c r="G73" s="60" t="str">
        <f t="shared" si="17"/>
        <v/>
      </c>
      <c r="H73" s="30" t="str">
        <f>IF($A73="","",IF(H$6="NÃO",0,IF($A73=0,DATEDIF(ESTRUTURA!$F$3,ESTRUTURA!$F$4,"m")*Tabela!$H$6,Tabela!$H$6)))</f>
        <v/>
      </c>
      <c r="I73" s="60" t="str">
        <f t="shared" si="17"/>
        <v/>
      </c>
      <c r="J73" s="30" t="str">
        <f>IF($A73="","",IF(J$6="NÃO",0,IF($A73=0,DATEDIF(ESTRUTURA!$F$3,ESTRUTURA!$F$4,"m")*Tabela!$H$8,IF(J$6="NÃO",0,Tabela!$H$8))))</f>
        <v/>
      </c>
      <c r="K73" s="60" t="str">
        <f t="shared" si="17"/>
        <v/>
      </c>
      <c r="L73" s="30" t="str">
        <f t="shared" si="17"/>
        <v/>
      </c>
      <c r="M73" s="60" t="str">
        <f t="shared" si="17"/>
        <v/>
      </c>
      <c r="N73" s="30" t="str">
        <f t="shared" si="17"/>
        <v/>
      </c>
      <c r="O73" s="60" t="str">
        <f t="shared" si="17"/>
        <v/>
      </c>
      <c r="P73" s="30" t="str">
        <f t="shared" si="14"/>
        <v/>
      </c>
      <c r="Q73" s="60" t="str">
        <f t="shared" si="17"/>
        <v/>
      </c>
      <c r="R73" s="30" t="str">
        <f t="shared" si="17"/>
        <v/>
      </c>
      <c r="S73" s="60" t="str">
        <f>IF($A73="","",IF(S$6="NÃO",0,IF($A73=0,DATEDIF(ESTRUTURA!$F$3,ESTRUTURA!$F$4,"m")*Tabela!$H$17,Tabela!$H$17)))</f>
        <v/>
      </c>
      <c r="T73" s="30" t="str">
        <f>IF($A73="","",IF(T$6="NÃO",0,IF($A73=0,DATEDIF(ESTRUTURA!$F$3,ESTRUTURA!$F$4,"m")*Tabela!$H$18,Tabela!$H$18)))</f>
        <v/>
      </c>
      <c r="U73" s="60" t="str">
        <f t="shared" si="16"/>
        <v/>
      </c>
      <c r="V73" s="30" t="str">
        <f>IF($A73="","",IF(V$6="NÃO",0,IF($A73=0,DATEDIF(ESTRUTURA!$F$3,ESTRUTURA!$F$4,"m")*Tabela!$H$20,Tabela!$H$20)))</f>
        <v/>
      </c>
      <c r="W73" s="60" t="str">
        <f t="shared" si="16"/>
        <v/>
      </c>
      <c r="X73" s="30" t="str">
        <f t="shared" si="16"/>
        <v/>
      </c>
      <c r="Y73" s="60" t="str">
        <f>IF($A73="","",IF(Y$6="NÃO",0,IF(A73=0,Tabela!$H$23,IF(Y$7="mensal",Tabela!$H$23,IF(AND(MONTH(ESTRUTURA!C73)=MONTH(ESTRUTURA!$F$3),A73&gt;0),Tabela!$H$23,0)))))</f>
        <v/>
      </c>
      <c r="Z73" s="30" t="str">
        <f t="shared" si="16"/>
        <v/>
      </c>
      <c r="AA73" s="60" t="str">
        <f>IF($A73="","",IF(AA$6="NÃO",0,Tabela!$H$25*nm_séries))</f>
        <v/>
      </c>
      <c r="AB73" s="30" t="str">
        <f t="shared" si="16"/>
        <v/>
      </c>
      <c r="AC73" s="60" t="str">
        <f>IF($A73="","",IF(AC$6="NÃO",0,IF(A73=0,Tabela!$H$27,IF(MOD(A73,3)=0,Tabela!$H$27,0))))</f>
        <v/>
      </c>
      <c r="AD73" s="30" t="str">
        <f t="shared" si="16"/>
        <v/>
      </c>
      <c r="AE73" s="60" t="str">
        <f t="shared" si="16"/>
        <v/>
      </c>
      <c r="AF73" s="30" t="str">
        <f>IF($A73="","",IF(AF$6="NÃO",0,IF(AND(MONTH(ESTRUTURA!C73)=MONTH(ESTRUTURA!$F$3),A73&gt;0),Tabela!$H$30,0)))</f>
        <v/>
      </c>
      <c r="AG73" s="60" t="str">
        <f t="shared" si="16"/>
        <v/>
      </c>
      <c r="AH73" s="30" t="str">
        <f t="shared" si="16"/>
        <v/>
      </c>
      <c r="AI73" s="60" t="str">
        <f>IF($A73="","",IF(AI$6="NÃO",0,IF($A73=0,DATEDIF(ESTRUTURA!$F$3,ESTRUTURA!$F$4,"m")*Tabela!$H$33,Tabela!$H$33)))</f>
        <v/>
      </c>
      <c r="AJ73" s="30" t="str">
        <f t="shared" si="13"/>
        <v/>
      </c>
    </row>
    <row r="74" spans="1:36" x14ac:dyDescent="0.2">
      <c r="A74" s="66" t="str">
        <f>ESTRUTURA!A74</f>
        <v/>
      </c>
      <c r="B74" s="58">
        <f t="shared" si="7"/>
        <v>0</v>
      </c>
      <c r="C74" s="60" t="str">
        <f t="shared" si="17"/>
        <v/>
      </c>
      <c r="D74" s="30" t="str">
        <f t="shared" si="17"/>
        <v/>
      </c>
      <c r="E74" s="60" t="str">
        <f t="shared" si="17"/>
        <v/>
      </c>
      <c r="F74" s="30" t="str">
        <f>IF($A74="","",IF(F$6="NÃO",0,Tabela!$H$34*ESTRUTURA!$I$4))</f>
        <v/>
      </c>
      <c r="G74" s="60" t="str">
        <f t="shared" si="17"/>
        <v/>
      </c>
      <c r="H74" s="30" t="str">
        <f>IF($A74="","",IF(H$6="NÃO",0,IF($A74=0,DATEDIF(ESTRUTURA!$F$3,ESTRUTURA!$F$4,"m")*Tabela!$H$6,Tabela!$H$6)))</f>
        <v/>
      </c>
      <c r="I74" s="60" t="str">
        <f t="shared" si="17"/>
        <v/>
      </c>
      <c r="J74" s="30" t="str">
        <f>IF($A74="","",IF(J$6="NÃO",0,IF($A74=0,DATEDIF(ESTRUTURA!$F$3,ESTRUTURA!$F$4,"m")*Tabela!$H$8,IF(J$6="NÃO",0,Tabela!$H$8))))</f>
        <v/>
      </c>
      <c r="K74" s="60" t="str">
        <f t="shared" si="17"/>
        <v/>
      </c>
      <c r="L74" s="30" t="str">
        <f t="shared" si="17"/>
        <v/>
      </c>
      <c r="M74" s="60" t="str">
        <f t="shared" si="17"/>
        <v/>
      </c>
      <c r="N74" s="30" t="str">
        <f t="shared" si="17"/>
        <v/>
      </c>
      <c r="O74" s="60" t="str">
        <f t="shared" si="17"/>
        <v/>
      </c>
      <c r="P74" s="30" t="str">
        <f t="shared" si="14"/>
        <v/>
      </c>
      <c r="Q74" s="60" t="str">
        <f t="shared" si="17"/>
        <v/>
      </c>
      <c r="R74" s="30" t="str">
        <f t="shared" si="17"/>
        <v/>
      </c>
      <c r="S74" s="60" t="str">
        <f>IF($A74="","",IF(S$6="NÃO",0,IF($A74=0,DATEDIF(ESTRUTURA!$F$3,ESTRUTURA!$F$4,"m")*Tabela!$H$17,Tabela!$H$17)))</f>
        <v/>
      </c>
      <c r="T74" s="30" t="str">
        <f>IF($A74="","",IF(T$6="NÃO",0,IF($A74=0,DATEDIF(ESTRUTURA!$F$3,ESTRUTURA!$F$4,"m")*Tabela!$H$18,Tabela!$H$18)))</f>
        <v/>
      </c>
      <c r="U74" s="60" t="str">
        <f t="shared" si="16"/>
        <v/>
      </c>
      <c r="V74" s="30" t="str">
        <f>IF($A74="","",IF(V$6="NÃO",0,IF($A74=0,DATEDIF(ESTRUTURA!$F$3,ESTRUTURA!$F$4,"m")*Tabela!$H$20,Tabela!$H$20)))</f>
        <v/>
      </c>
      <c r="W74" s="60" t="str">
        <f t="shared" si="16"/>
        <v/>
      </c>
      <c r="X74" s="30" t="str">
        <f t="shared" si="16"/>
        <v/>
      </c>
      <c r="Y74" s="60" t="str">
        <f>IF($A74="","",IF(Y$6="NÃO",0,IF(A74=0,Tabela!$H$23,IF(Y$7="mensal",Tabela!$H$23,IF(AND(MONTH(ESTRUTURA!C74)=MONTH(ESTRUTURA!$F$3),A74&gt;0),Tabela!$H$23,0)))))</f>
        <v/>
      </c>
      <c r="Z74" s="30" t="str">
        <f t="shared" si="16"/>
        <v/>
      </c>
      <c r="AA74" s="60" t="str">
        <f>IF($A74="","",IF(AA$6="NÃO",0,Tabela!$H$25*nm_séries))</f>
        <v/>
      </c>
      <c r="AB74" s="30" t="str">
        <f t="shared" si="16"/>
        <v/>
      </c>
      <c r="AC74" s="60" t="str">
        <f>IF($A74="","",IF(AC$6="NÃO",0,IF(A74=0,Tabela!$H$27,IF(MOD(A74,3)=0,Tabela!$H$27,0))))</f>
        <v/>
      </c>
      <c r="AD74" s="30" t="str">
        <f t="shared" si="16"/>
        <v/>
      </c>
      <c r="AE74" s="60" t="str">
        <f t="shared" si="16"/>
        <v/>
      </c>
      <c r="AF74" s="30" t="str">
        <f>IF($A74="","",IF(AF$6="NÃO",0,IF(AND(MONTH(ESTRUTURA!C74)=MONTH(ESTRUTURA!$F$3),A74&gt;0),Tabela!$H$30,0)))</f>
        <v/>
      </c>
      <c r="AG74" s="60" t="str">
        <f t="shared" si="16"/>
        <v/>
      </c>
      <c r="AH74" s="30" t="str">
        <f t="shared" si="16"/>
        <v/>
      </c>
      <c r="AI74" s="60" t="str">
        <f>IF($A74="","",IF(AI$6="NÃO",0,IF($A74=0,DATEDIF(ESTRUTURA!$F$3,ESTRUTURA!$F$4,"m")*Tabela!$H$33,Tabela!$H$33)))</f>
        <v/>
      </c>
      <c r="AJ74" s="30" t="str">
        <f t="shared" si="13"/>
        <v/>
      </c>
    </row>
    <row r="75" spans="1:36" x14ac:dyDescent="0.2">
      <c r="A75" s="66" t="str">
        <f>ESTRUTURA!A75</f>
        <v/>
      </c>
      <c r="B75" s="58">
        <f t="shared" si="7"/>
        <v>0</v>
      </c>
      <c r="C75" s="60" t="str">
        <f t="shared" si="17"/>
        <v/>
      </c>
      <c r="D75" s="30" t="str">
        <f t="shared" si="17"/>
        <v/>
      </c>
      <c r="E75" s="60" t="str">
        <f t="shared" si="17"/>
        <v/>
      </c>
      <c r="F75" s="30" t="str">
        <f>IF($A75="","",IF(F$6="NÃO",0,Tabela!$H$34*ESTRUTURA!$I$4))</f>
        <v/>
      </c>
      <c r="G75" s="60" t="str">
        <f t="shared" si="17"/>
        <v/>
      </c>
      <c r="H75" s="30" t="str">
        <f>IF($A75="","",IF(H$6="NÃO",0,IF($A75=0,DATEDIF(ESTRUTURA!$F$3,ESTRUTURA!$F$4,"m")*Tabela!$H$6,Tabela!$H$6)))</f>
        <v/>
      </c>
      <c r="I75" s="60" t="str">
        <f t="shared" si="17"/>
        <v/>
      </c>
      <c r="J75" s="30" t="str">
        <f>IF($A75="","",IF(J$6="NÃO",0,IF($A75=0,DATEDIF(ESTRUTURA!$F$3,ESTRUTURA!$F$4,"m")*Tabela!$H$8,IF(J$6="NÃO",0,Tabela!$H$8))))</f>
        <v/>
      </c>
      <c r="K75" s="60" t="str">
        <f t="shared" si="17"/>
        <v/>
      </c>
      <c r="L75" s="30" t="str">
        <f t="shared" si="17"/>
        <v/>
      </c>
      <c r="M75" s="60" t="str">
        <f t="shared" si="17"/>
        <v/>
      </c>
      <c r="N75" s="30" t="str">
        <f t="shared" si="17"/>
        <v/>
      </c>
      <c r="O75" s="60" t="str">
        <f t="shared" si="17"/>
        <v/>
      </c>
      <c r="P75" s="30" t="str">
        <f t="shared" si="14"/>
        <v/>
      </c>
      <c r="Q75" s="60" t="str">
        <f t="shared" si="17"/>
        <v/>
      </c>
      <c r="R75" s="30" t="str">
        <f t="shared" si="17"/>
        <v/>
      </c>
      <c r="S75" s="60" t="str">
        <f>IF($A75="","",IF(S$6="NÃO",0,IF($A75=0,DATEDIF(ESTRUTURA!$F$3,ESTRUTURA!$F$4,"m")*Tabela!$H$17,Tabela!$H$17)))</f>
        <v/>
      </c>
      <c r="T75" s="30" t="str">
        <f>IF($A75="","",IF(T$6="NÃO",0,IF($A75=0,DATEDIF(ESTRUTURA!$F$3,ESTRUTURA!$F$4,"m")*Tabela!$H$18,Tabela!$H$18)))</f>
        <v/>
      </c>
      <c r="U75" s="60" t="str">
        <f t="shared" ref="U75:AH90" si="18">IF($A75="","",IF(U$6="NÃO",0,0))</f>
        <v/>
      </c>
      <c r="V75" s="30" t="str">
        <f>IF($A75="","",IF(V$6="NÃO",0,IF($A75=0,DATEDIF(ESTRUTURA!$F$3,ESTRUTURA!$F$4,"m")*Tabela!$H$20,Tabela!$H$20)))</f>
        <v/>
      </c>
      <c r="W75" s="60" t="str">
        <f t="shared" si="18"/>
        <v/>
      </c>
      <c r="X75" s="30" t="str">
        <f t="shared" si="18"/>
        <v/>
      </c>
      <c r="Y75" s="60" t="str">
        <f>IF($A75="","",IF(Y$6="NÃO",0,IF(A75=0,Tabela!$H$23,IF(Y$7="mensal",Tabela!$H$23,IF(AND(MONTH(ESTRUTURA!C75)=MONTH(ESTRUTURA!$F$3),A75&gt;0),Tabela!$H$23,0)))))</f>
        <v/>
      </c>
      <c r="Z75" s="30" t="str">
        <f t="shared" si="18"/>
        <v/>
      </c>
      <c r="AA75" s="60" t="str">
        <f>IF($A75="","",IF(AA$6="NÃO",0,Tabela!$H$25*nm_séries))</f>
        <v/>
      </c>
      <c r="AB75" s="30" t="str">
        <f t="shared" si="18"/>
        <v/>
      </c>
      <c r="AC75" s="60" t="str">
        <f>IF($A75="","",IF(AC$6="NÃO",0,IF(A75=0,Tabela!$H$27,IF(MOD(A75,3)=0,Tabela!$H$27,0))))</f>
        <v/>
      </c>
      <c r="AD75" s="30" t="str">
        <f t="shared" si="18"/>
        <v/>
      </c>
      <c r="AE75" s="60" t="str">
        <f t="shared" si="18"/>
        <v/>
      </c>
      <c r="AF75" s="30" t="str">
        <f>IF($A75="","",IF(AF$6="NÃO",0,IF(AND(MONTH(ESTRUTURA!C75)=MONTH(ESTRUTURA!$F$3),A75&gt;0),Tabela!$H$30,0)))</f>
        <v/>
      </c>
      <c r="AG75" s="60" t="str">
        <f t="shared" si="18"/>
        <v/>
      </c>
      <c r="AH75" s="30" t="str">
        <f t="shared" si="18"/>
        <v/>
      </c>
      <c r="AI75" s="60" t="str">
        <f>IF($A75="","",IF(AI$6="NÃO",0,IF($A75=0,DATEDIF(ESTRUTURA!$F$3,ESTRUTURA!$F$4,"m")*Tabela!$H$33,Tabela!$H$33)))</f>
        <v/>
      </c>
      <c r="AJ75" s="30" t="str">
        <f t="shared" si="13"/>
        <v/>
      </c>
    </row>
    <row r="76" spans="1:36" x14ac:dyDescent="0.2">
      <c r="A76" s="66" t="str">
        <f>ESTRUTURA!A76</f>
        <v/>
      </c>
      <c r="B76" s="58">
        <f t="shared" si="7"/>
        <v>0</v>
      </c>
      <c r="C76" s="60" t="str">
        <f t="shared" ref="C76:R91" si="19">IF($A76="","",IF(C$6="NÃO",0,0))</f>
        <v/>
      </c>
      <c r="D76" s="30" t="str">
        <f t="shared" si="19"/>
        <v/>
      </c>
      <c r="E76" s="60" t="str">
        <f t="shared" si="19"/>
        <v/>
      </c>
      <c r="F76" s="30" t="str">
        <f>IF($A76="","",IF(F$6="NÃO",0,Tabela!$H$34*ESTRUTURA!$I$4))</f>
        <v/>
      </c>
      <c r="G76" s="60" t="str">
        <f t="shared" si="19"/>
        <v/>
      </c>
      <c r="H76" s="30" t="str">
        <f>IF($A76="","",IF(H$6="NÃO",0,IF($A76=0,DATEDIF(ESTRUTURA!$F$3,ESTRUTURA!$F$4,"m")*Tabela!$H$6,Tabela!$H$6)))</f>
        <v/>
      </c>
      <c r="I76" s="60" t="str">
        <f t="shared" si="19"/>
        <v/>
      </c>
      <c r="J76" s="30" t="str">
        <f>IF($A76="","",IF(J$6="NÃO",0,IF($A76=0,DATEDIF(ESTRUTURA!$F$3,ESTRUTURA!$F$4,"m")*Tabela!$H$8,IF(J$6="NÃO",0,Tabela!$H$8))))</f>
        <v/>
      </c>
      <c r="K76" s="60" t="str">
        <f t="shared" si="19"/>
        <v/>
      </c>
      <c r="L76" s="30" t="str">
        <f t="shared" si="19"/>
        <v/>
      </c>
      <c r="M76" s="60" t="str">
        <f t="shared" si="19"/>
        <v/>
      </c>
      <c r="N76" s="30" t="str">
        <f t="shared" si="19"/>
        <v/>
      </c>
      <c r="O76" s="60" t="str">
        <f t="shared" si="19"/>
        <v/>
      </c>
      <c r="P76" s="30" t="str">
        <f t="shared" si="19"/>
        <v/>
      </c>
      <c r="Q76" s="60" t="str">
        <f t="shared" si="19"/>
        <v/>
      </c>
      <c r="R76" s="30" t="str">
        <f t="shared" si="19"/>
        <v/>
      </c>
      <c r="S76" s="60" t="str">
        <f>IF($A76="","",IF(S$6="NÃO",0,IF($A76=0,DATEDIF(ESTRUTURA!$F$3,ESTRUTURA!$F$4,"m")*Tabela!$H$17,Tabela!$H$17)))</f>
        <v/>
      </c>
      <c r="T76" s="30" t="str">
        <f>IF($A76="","",IF(T$6="NÃO",0,IF($A76=0,DATEDIF(ESTRUTURA!$F$3,ESTRUTURA!$F$4,"m")*Tabela!$H$18,Tabela!$H$18)))</f>
        <v/>
      </c>
      <c r="U76" s="60" t="str">
        <f t="shared" si="18"/>
        <v/>
      </c>
      <c r="V76" s="30" t="str">
        <f>IF($A76="","",IF(V$6="NÃO",0,IF($A76=0,DATEDIF(ESTRUTURA!$F$3,ESTRUTURA!$F$4,"m")*Tabela!$H$20,Tabela!$H$20)))</f>
        <v/>
      </c>
      <c r="W76" s="60" t="str">
        <f t="shared" si="18"/>
        <v/>
      </c>
      <c r="X76" s="30" t="str">
        <f t="shared" si="18"/>
        <v/>
      </c>
      <c r="Y76" s="60" t="str">
        <f>IF($A76="","",IF(Y$6="NÃO",0,IF(A76=0,Tabela!$H$23,IF(Y$7="mensal",Tabela!$H$23,IF(AND(MONTH(ESTRUTURA!C76)=MONTH(ESTRUTURA!$F$3),A76&gt;0),Tabela!$H$23,0)))))</f>
        <v/>
      </c>
      <c r="Z76" s="30" t="str">
        <f t="shared" si="18"/>
        <v/>
      </c>
      <c r="AA76" s="60" t="str">
        <f>IF($A76="","",IF(AA$6="NÃO",0,Tabela!$H$25*nm_séries))</f>
        <v/>
      </c>
      <c r="AB76" s="30" t="str">
        <f t="shared" si="18"/>
        <v/>
      </c>
      <c r="AC76" s="60" t="str">
        <f>IF($A76="","",IF(AC$6="NÃO",0,IF(A76=0,Tabela!$H$27,IF(MOD(A76,3)=0,Tabela!$H$27,0))))</f>
        <v/>
      </c>
      <c r="AD76" s="30" t="str">
        <f t="shared" si="18"/>
        <v/>
      </c>
      <c r="AE76" s="60" t="str">
        <f t="shared" si="18"/>
        <v/>
      </c>
      <c r="AF76" s="30" t="str">
        <f>IF($A76="","",IF(AF$6="NÃO",0,IF(AND(MONTH(ESTRUTURA!C76)=MONTH(ESTRUTURA!$F$3),A76&gt;0),Tabela!$H$30,0)))</f>
        <v/>
      </c>
      <c r="AG76" s="60" t="str">
        <f t="shared" si="18"/>
        <v/>
      </c>
      <c r="AH76" s="30" t="str">
        <f t="shared" si="18"/>
        <v/>
      </c>
      <c r="AI76" s="60" t="str">
        <f>IF($A76="","",IF(AI$6="NÃO",0,IF($A76=0,DATEDIF(ESTRUTURA!$F$3,ESTRUTURA!$F$4,"m")*Tabela!$H$33,Tabela!$H$33)))</f>
        <v/>
      </c>
      <c r="AJ76" s="30" t="str">
        <f t="shared" si="13"/>
        <v/>
      </c>
    </row>
    <row r="77" spans="1:36" x14ac:dyDescent="0.2">
      <c r="A77" s="66" t="str">
        <f>ESTRUTURA!A77</f>
        <v/>
      </c>
      <c r="B77" s="58">
        <f t="shared" ref="B77:B140" si="20">IF($C$2="SIM",0,-SUM(C77:AJ77))</f>
        <v>0</v>
      </c>
      <c r="C77" s="60" t="str">
        <f t="shared" si="19"/>
        <v/>
      </c>
      <c r="D77" s="30" t="str">
        <f t="shared" si="19"/>
        <v/>
      </c>
      <c r="E77" s="60" t="str">
        <f t="shared" si="19"/>
        <v/>
      </c>
      <c r="F77" s="30" t="str">
        <f>IF($A77="","",IF(F$6="NÃO",0,Tabela!$H$34*ESTRUTURA!$I$4))</f>
        <v/>
      </c>
      <c r="G77" s="60" t="str">
        <f t="shared" si="19"/>
        <v/>
      </c>
      <c r="H77" s="30" t="str">
        <f>IF($A77="","",IF(H$6="NÃO",0,IF($A77=0,DATEDIF(ESTRUTURA!$F$3,ESTRUTURA!$F$4,"m")*Tabela!$H$6,Tabela!$H$6)))</f>
        <v/>
      </c>
      <c r="I77" s="60" t="str">
        <f t="shared" si="19"/>
        <v/>
      </c>
      <c r="J77" s="30" t="str">
        <f>IF($A77="","",IF(J$6="NÃO",0,IF($A77=0,DATEDIF(ESTRUTURA!$F$3,ESTRUTURA!$F$4,"m")*Tabela!$H$8,IF(J$6="NÃO",0,Tabela!$H$8))))</f>
        <v/>
      </c>
      <c r="K77" s="60" t="str">
        <f t="shared" si="19"/>
        <v/>
      </c>
      <c r="L77" s="30" t="str">
        <f t="shared" si="19"/>
        <v/>
      </c>
      <c r="M77" s="60" t="str">
        <f t="shared" si="19"/>
        <v/>
      </c>
      <c r="N77" s="30" t="str">
        <f t="shared" si="19"/>
        <v/>
      </c>
      <c r="O77" s="60" t="str">
        <f t="shared" si="19"/>
        <v/>
      </c>
      <c r="P77" s="30" t="str">
        <f t="shared" si="19"/>
        <v/>
      </c>
      <c r="Q77" s="60" t="str">
        <f t="shared" si="19"/>
        <v/>
      </c>
      <c r="R77" s="30" t="str">
        <f t="shared" si="19"/>
        <v/>
      </c>
      <c r="S77" s="60" t="str">
        <f>IF($A77="","",IF(S$6="NÃO",0,IF($A77=0,DATEDIF(ESTRUTURA!$F$3,ESTRUTURA!$F$4,"m")*Tabela!$H$17,Tabela!$H$17)))</f>
        <v/>
      </c>
      <c r="T77" s="30" t="str">
        <f>IF($A77="","",IF(T$6="NÃO",0,IF($A77=0,DATEDIF(ESTRUTURA!$F$3,ESTRUTURA!$F$4,"m")*Tabela!$H$18,Tabela!$H$18)))</f>
        <v/>
      </c>
      <c r="U77" s="60" t="str">
        <f t="shared" si="18"/>
        <v/>
      </c>
      <c r="V77" s="30" t="str">
        <f>IF($A77="","",IF(V$6="NÃO",0,IF($A77=0,DATEDIF(ESTRUTURA!$F$3,ESTRUTURA!$F$4,"m")*Tabela!$H$20,Tabela!$H$20)))</f>
        <v/>
      </c>
      <c r="W77" s="60" t="str">
        <f t="shared" si="18"/>
        <v/>
      </c>
      <c r="X77" s="30" t="str">
        <f t="shared" si="18"/>
        <v/>
      </c>
      <c r="Y77" s="60" t="str">
        <f>IF($A77="","",IF(Y$6="NÃO",0,IF(A77=0,Tabela!$H$23,IF(Y$7="mensal",Tabela!$H$23,IF(AND(MONTH(ESTRUTURA!C77)=MONTH(ESTRUTURA!$F$3),A77&gt;0),Tabela!$H$23,0)))))</f>
        <v/>
      </c>
      <c r="Z77" s="30" t="str">
        <f t="shared" si="18"/>
        <v/>
      </c>
      <c r="AA77" s="60" t="str">
        <f>IF($A77="","",IF(AA$6="NÃO",0,Tabela!$H$25*nm_séries))</f>
        <v/>
      </c>
      <c r="AB77" s="30" t="str">
        <f t="shared" si="18"/>
        <v/>
      </c>
      <c r="AC77" s="60" t="str">
        <f>IF($A77="","",IF(AC$6="NÃO",0,IF(A77=0,Tabela!$H$27,IF(MOD(A77,3)=0,Tabela!$H$27,0))))</f>
        <v/>
      </c>
      <c r="AD77" s="30" t="str">
        <f t="shared" si="18"/>
        <v/>
      </c>
      <c r="AE77" s="60" t="str">
        <f t="shared" si="18"/>
        <v/>
      </c>
      <c r="AF77" s="30" t="str">
        <f>IF($A77="","",IF(AF$6="NÃO",0,IF(AND(MONTH(ESTRUTURA!C77)=MONTH(ESTRUTURA!$F$3),A77&gt;0),Tabela!$H$30,0)))</f>
        <v/>
      </c>
      <c r="AG77" s="60" t="str">
        <f t="shared" si="18"/>
        <v/>
      </c>
      <c r="AH77" s="30" t="str">
        <f t="shared" si="18"/>
        <v/>
      </c>
      <c r="AI77" s="60" t="str">
        <f>IF($A77="","",IF(AI$6="NÃO",0,IF($A77=0,DATEDIF(ESTRUTURA!$F$3,ESTRUTURA!$F$4,"m")*Tabela!$H$33,Tabela!$H$33)))</f>
        <v/>
      </c>
      <c r="AJ77" s="30" t="str">
        <f t="shared" si="13"/>
        <v/>
      </c>
    </row>
    <row r="78" spans="1:36" x14ac:dyDescent="0.2">
      <c r="A78" s="66" t="str">
        <f>ESTRUTURA!A78</f>
        <v/>
      </c>
      <c r="B78" s="58">
        <f t="shared" si="20"/>
        <v>0</v>
      </c>
      <c r="C78" s="60" t="str">
        <f t="shared" si="19"/>
        <v/>
      </c>
      <c r="D78" s="30" t="str">
        <f t="shared" si="19"/>
        <v/>
      </c>
      <c r="E78" s="60" t="str">
        <f t="shared" si="19"/>
        <v/>
      </c>
      <c r="F78" s="30" t="str">
        <f>IF($A78="","",IF(F$6="NÃO",0,Tabela!$H$34*ESTRUTURA!$I$4))</f>
        <v/>
      </c>
      <c r="G78" s="60" t="str">
        <f t="shared" si="19"/>
        <v/>
      </c>
      <c r="H78" s="30" t="str">
        <f>IF($A78="","",IF(H$6="NÃO",0,IF($A78=0,DATEDIF(ESTRUTURA!$F$3,ESTRUTURA!$F$4,"m")*Tabela!$H$6,Tabela!$H$6)))</f>
        <v/>
      </c>
      <c r="I78" s="60" t="str">
        <f t="shared" si="19"/>
        <v/>
      </c>
      <c r="J78" s="30" t="str">
        <f>IF($A78="","",IF(J$6="NÃO",0,IF($A78=0,DATEDIF(ESTRUTURA!$F$3,ESTRUTURA!$F$4,"m")*Tabela!$H$8,IF(J$6="NÃO",0,Tabela!$H$8))))</f>
        <v/>
      </c>
      <c r="K78" s="60" t="str">
        <f t="shared" si="19"/>
        <v/>
      </c>
      <c r="L78" s="30" t="str">
        <f t="shared" si="19"/>
        <v/>
      </c>
      <c r="M78" s="60" t="str">
        <f t="shared" si="19"/>
        <v/>
      </c>
      <c r="N78" s="30" t="str">
        <f t="shared" si="19"/>
        <v/>
      </c>
      <c r="O78" s="60" t="str">
        <f t="shared" si="19"/>
        <v/>
      </c>
      <c r="P78" s="30" t="str">
        <f t="shared" si="19"/>
        <v/>
      </c>
      <c r="Q78" s="60" t="str">
        <f t="shared" si="19"/>
        <v/>
      </c>
      <c r="R78" s="30" t="str">
        <f t="shared" si="19"/>
        <v/>
      </c>
      <c r="S78" s="60" t="str">
        <f>IF($A78="","",IF(S$6="NÃO",0,IF($A78=0,DATEDIF(ESTRUTURA!$F$3,ESTRUTURA!$F$4,"m")*Tabela!$H$17,Tabela!$H$17)))</f>
        <v/>
      </c>
      <c r="T78" s="30" t="str">
        <f>IF($A78="","",IF(T$6="NÃO",0,IF($A78=0,DATEDIF(ESTRUTURA!$F$3,ESTRUTURA!$F$4,"m")*Tabela!$H$18,Tabela!$H$18)))</f>
        <v/>
      </c>
      <c r="U78" s="60" t="str">
        <f t="shared" si="18"/>
        <v/>
      </c>
      <c r="V78" s="30" t="str">
        <f>IF($A78="","",IF(V$6="NÃO",0,IF($A78=0,DATEDIF(ESTRUTURA!$F$3,ESTRUTURA!$F$4,"m")*Tabela!$H$20,Tabela!$H$20)))</f>
        <v/>
      </c>
      <c r="W78" s="60" t="str">
        <f t="shared" si="18"/>
        <v/>
      </c>
      <c r="X78" s="30" t="str">
        <f t="shared" si="18"/>
        <v/>
      </c>
      <c r="Y78" s="60" t="str">
        <f>IF($A78="","",IF(Y$6="NÃO",0,IF(A78=0,Tabela!$H$23,IF(Y$7="mensal",Tabela!$H$23,IF(AND(MONTH(ESTRUTURA!C78)=MONTH(ESTRUTURA!$F$3),A78&gt;0),Tabela!$H$23,0)))))</f>
        <v/>
      </c>
      <c r="Z78" s="30" t="str">
        <f t="shared" si="18"/>
        <v/>
      </c>
      <c r="AA78" s="60" t="str">
        <f>IF($A78="","",IF(AA$6="NÃO",0,Tabela!$H$25*nm_séries))</f>
        <v/>
      </c>
      <c r="AB78" s="30" t="str">
        <f t="shared" si="18"/>
        <v/>
      </c>
      <c r="AC78" s="60" t="str">
        <f>IF($A78="","",IF(AC$6="NÃO",0,IF(A78=0,Tabela!$H$27,IF(MOD(A78,3)=0,Tabela!$H$27,0))))</f>
        <v/>
      </c>
      <c r="AD78" s="30" t="str">
        <f t="shared" si="18"/>
        <v/>
      </c>
      <c r="AE78" s="60" t="str">
        <f t="shared" si="18"/>
        <v/>
      </c>
      <c r="AF78" s="30" t="str">
        <f>IF($A78="","",IF(AF$6="NÃO",0,IF(AND(MONTH(ESTRUTURA!C78)=MONTH(ESTRUTURA!$F$3),A78&gt;0),Tabela!$H$30,0)))</f>
        <v/>
      </c>
      <c r="AG78" s="60" t="str">
        <f t="shared" si="18"/>
        <v/>
      </c>
      <c r="AH78" s="30" t="str">
        <f t="shared" si="18"/>
        <v/>
      </c>
      <c r="AI78" s="60" t="str">
        <f>IF($A78="","",IF(AI$6="NÃO",0,IF($A78=0,DATEDIF(ESTRUTURA!$F$3,ESTRUTURA!$F$4,"m")*Tabela!$H$33,Tabela!$H$33)))</f>
        <v/>
      </c>
      <c r="AJ78" s="30" t="str">
        <f t="shared" si="13"/>
        <v/>
      </c>
    </row>
    <row r="79" spans="1:36" x14ac:dyDescent="0.2">
      <c r="A79" s="66" t="str">
        <f>ESTRUTURA!A79</f>
        <v/>
      </c>
      <c r="B79" s="58">
        <f t="shared" si="20"/>
        <v>0</v>
      </c>
      <c r="C79" s="60" t="str">
        <f t="shared" si="19"/>
        <v/>
      </c>
      <c r="D79" s="30" t="str">
        <f t="shared" si="19"/>
        <v/>
      </c>
      <c r="E79" s="60" t="str">
        <f t="shared" si="19"/>
        <v/>
      </c>
      <c r="F79" s="30" t="str">
        <f>IF($A79="","",IF(F$6="NÃO",0,Tabela!$H$34*ESTRUTURA!$I$4))</f>
        <v/>
      </c>
      <c r="G79" s="60" t="str">
        <f t="shared" si="19"/>
        <v/>
      </c>
      <c r="H79" s="30" t="str">
        <f>IF($A79="","",IF(H$6="NÃO",0,IF($A79=0,DATEDIF(ESTRUTURA!$F$3,ESTRUTURA!$F$4,"m")*Tabela!$H$6,Tabela!$H$6)))</f>
        <v/>
      </c>
      <c r="I79" s="60" t="str">
        <f t="shared" si="19"/>
        <v/>
      </c>
      <c r="J79" s="30" t="str">
        <f>IF($A79="","",IF(J$6="NÃO",0,IF($A79=0,DATEDIF(ESTRUTURA!$F$3,ESTRUTURA!$F$4,"m")*Tabela!$H$8,IF(J$6="NÃO",0,Tabela!$H$8))))</f>
        <v/>
      </c>
      <c r="K79" s="60" t="str">
        <f t="shared" si="19"/>
        <v/>
      </c>
      <c r="L79" s="30" t="str">
        <f t="shared" si="19"/>
        <v/>
      </c>
      <c r="M79" s="60" t="str">
        <f t="shared" si="19"/>
        <v/>
      </c>
      <c r="N79" s="30" t="str">
        <f t="shared" si="19"/>
        <v/>
      </c>
      <c r="O79" s="60" t="str">
        <f t="shared" si="19"/>
        <v/>
      </c>
      <c r="P79" s="30" t="str">
        <f t="shared" si="19"/>
        <v/>
      </c>
      <c r="Q79" s="60" t="str">
        <f t="shared" si="19"/>
        <v/>
      </c>
      <c r="R79" s="30" t="str">
        <f t="shared" si="19"/>
        <v/>
      </c>
      <c r="S79" s="60" t="str">
        <f>IF($A79="","",IF(S$6="NÃO",0,IF($A79=0,DATEDIF(ESTRUTURA!$F$3,ESTRUTURA!$F$4,"m")*Tabela!$H$17,Tabela!$H$17)))</f>
        <v/>
      </c>
      <c r="T79" s="30" t="str">
        <f>IF($A79="","",IF(T$6="NÃO",0,IF($A79=0,DATEDIF(ESTRUTURA!$F$3,ESTRUTURA!$F$4,"m")*Tabela!$H$18,Tabela!$H$18)))</f>
        <v/>
      </c>
      <c r="U79" s="60" t="str">
        <f t="shared" si="18"/>
        <v/>
      </c>
      <c r="V79" s="30" t="str">
        <f>IF($A79="","",IF(V$6="NÃO",0,IF($A79=0,DATEDIF(ESTRUTURA!$F$3,ESTRUTURA!$F$4,"m")*Tabela!$H$20,Tabela!$H$20)))</f>
        <v/>
      </c>
      <c r="W79" s="60" t="str">
        <f t="shared" si="18"/>
        <v/>
      </c>
      <c r="X79" s="30" t="str">
        <f t="shared" si="18"/>
        <v/>
      </c>
      <c r="Y79" s="60" t="str">
        <f>IF($A79="","",IF(Y$6="NÃO",0,IF(A79=0,Tabela!$H$23,IF(Y$7="mensal",Tabela!$H$23,IF(AND(MONTH(ESTRUTURA!C79)=MONTH(ESTRUTURA!$F$3),A79&gt;0),Tabela!$H$23,0)))))</f>
        <v/>
      </c>
      <c r="Z79" s="30" t="str">
        <f t="shared" si="18"/>
        <v/>
      </c>
      <c r="AA79" s="60" t="str">
        <f>IF($A79="","",IF(AA$6="NÃO",0,Tabela!$H$25*nm_séries))</f>
        <v/>
      </c>
      <c r="AB79" s="30" t="str">
        <f t="shared" si="18"/>
        <v/>
      </c>
      <c r="AC79" s="60" t="str">
        <f>IF($A79="","",IF(AC$6="NÃO",0,IF(A79=0,Tabela!$H$27,IF(MOD(A79,3)=0,Tabela!$H$27,0))))</f>
        <v/>
      </c>
      <c r="AD79" s="30" t="str">
        <f t="shared" si="18"/>
        <v/>
      </c>
      <c r="AE79" s="60" t="str">
        <f t="shared" si="18"/>
        <v/>
      </c>
      <c r="AF79" s="30" t="str">
        <f>IF($A79="","",IF(AF$6="NÃO",0,IF(AND(MONTH(ESTRUTURA!C79)=MONTH(ESTRUTURA!$F$3),A79&gt;0),Tabela!$H$30,0)))</f>
        <v/>
      </c>
      <c r="AG79" s="60" t="str">
        <f t="shared" si="18"/>
        <v/>
      </c>
      <c r="AH79" s="30" t="str">
        <f t="shared" si="18"/>
        <v/>
      </c>
      <c r="AI79" s="60" t="str">
        <f>IF($A79="","",IF(AI$6="NÃO",0,IF($A79=0,DATEDIF(ESTRUTURA!$F$3,ESTRUTURA!$F$4,"m")*Tabela!$H$33,Tabela!$H$33)))</f>
        <v/>
      </c>
      <c r="AJ79" s="30" t="str">
        <f t="shared" si="13"/>
        <v/>
      </c>
    </row>
    <row r="80" spans="1:36" x14ac:dyDescent="0.2">
      <c r="A80" s="66" t="str">
        <f>ESTRUTURA!A80</f>
        <v/>
      </c>
      <c r="B80" s="58">
        <f t="shared" si="20"/>
        <v>0</v>
      </c>
      <c r="C80" s="60" t="str">
        <f t="shared" si="19"/>
        <v/>
      </c>
      <c r="D80" s="30" t="str">
        <f t="shared" si="19"/>
        <v/>
      </c>
      <c r="E80" s="60" t="str">
        <f t="shared" si="19"/>
        <v/>
      </c>
      <c r="F80" s="30" t="str">
        <f>IF($A80="","",IF(F$6="NÃO",0,Tabela!$H$34*ESTRUTURA!$I$4))</f>
        <v/>
      </c>
      <c r="G80" s="60" t="str">
        <f t="shared" si="19"/>
        <v/>
      </c>
      <c r="H80" s="30" t="str">
        <f>IF($A80="","",IF(H$6="NÃO",0,IF($A80=0,DATEDIF(ESTRUTURA!$F$3,ESTRUTURA!$F$4,"m")*Tabela!$H$6,Tabela!$H$6)))</f>
        <v/>
      </c>
      <c r="I80" s="60" t="str">
        <f t="shared" si="19"/>
        <v/>
      </c>
      <c r="J80" s="30" t="str">
        <f>IF($A80="","",IF(J$6="NÃO",0,IF($A80=0,DATEDIF(ESTRUTURA!$F$3,ESTRUTURA!$F$4,"m")*Tabela!$H$8,IF(J$6="NÃO",0,Tabela!$H$8))))</f>
        <v/>
      </c>
      <c r="K80" s="60" t="str">
        <f t="shared" si="19"/>
        <v/>
      </c>
      <c r="L80" s="30" t="str">
        <f t="shared" si="19"/>
        <v/>
      </c>
      <c r="M80" s="60" t="str">
        <f t="shared" si="19"/>
        <v/>
      </c>
      <c r="N80" s="30" t="str">
        <f t="shared" si="19"/>
        <v/>
      </c>
      <c r="O80" s="60" t="str">
        <f t="shared" si="19"/>
        <v/>
      </c>
      <c r="P80" s="30" t="str">
        <f t="shared" si="19"/>
        <v/>
      </c>
      <c r="Q80" s="60" t="str">
        <f t="shared" si="19"/>
        <v/>
      </c>
      <c r="R80" s="30" t="str">
        <f t="shared" si="19"/>
        <v/>
      </c>
      <c r="S80" s="60" t="str">
        <f>IF($A80="","",IF(S$6="NÃO",0,IF($A80=0,DATEDIF(ESTRUTURA!$F$3,ESTRUTURA!$F$4,"m")*Tabela!$H$17,Tabela!$H$17)))</f>
        <v/>
      </c>
      <c r="T80" s="30" t="str">
        <f>IF($A80="","",IF(T$6="NÃO",0,IF($A80=0,DATEDIF(ESTRUTURA!$F$3,ESTRUTURA!$F$4,"m")*Tabela!$H$18,Tabela!$H$18)))</f>
        <v/>
      </c>
      <c r="U80" s="60" t="str">
        <f t="shared" si="18"/>
        <v/>
      </c>
      <c r="V80" s="30" t="str">
        <f>IF($A80="","",IF(V$6="NÃO",0,IF($A80=0,DATEDIF(ESTRUTURA!$F$3,ESTRUTURA!$F$4,"m")*Tabela!$H$20,Tabela!$H$20)))</f>
        <v/>
      </c>
      <c r="W80" s="60" t="str">
        <f t="shared" si="18"/>
        <v/>
      </c>
      <c r="X80" s="30" t="str">
        <f t="shared" si="18"/>
        <v/>
      </c>
      <c r="Y80" s="60" t="str">
        <f>IF($A80="","",IF(Y$6="NÃO",0,IF(A80=0,Tabela!$H$23,IF(Y$7="mensal",Tabela!$H$23,IF(AND(MONTH(ESTRUTURA!C80)=MONTH(ESTRUTURA!$F$3),A80&gt;0),Tabela!$H$23,0)))))</f>
        <v/>
      </c>
      <c r="Z80" s="30" t="str">
        <f t="shared" si="18"/>
        <v/>
      </c>
      <c r="AA80" s="60" t="str">
        <f>IF($A80="","",IF(AA$6="NÃO",0,Tabela!$H$25*nm_séries))</f>
        <v/>
      </c>
      <c r="AB80" s="30" t="str">
        <f t="shared" si="18"/>
        <v/>
      </c>
      <c r="AC80" s="60" t="str">
        <f>IF($A80="","",IF(AC$6="NÃO",0,IF(A80=0,Tabela!$H$27,IF(MOD(A80,3)=0,Tabela!$H$27,0))))</f>
        <v/>
      </c>
      <c r="AD80" s="30" t="str">
        <f t="shared" si="18"/>
        <v/>
      </c>
      <c r="AE80" s="60" t="str">
        <f t="shared" si="18"/>
        <v/>
      </c>
      <c r="AF80" s="30" t="str">
        <f>IF($A80="","",IF(AF$6="NÃO",0,IF(AND(MONTH(ESTRUTURA!C80)=MONTH(ESTRUTURA!$F$3),A80&gt;0),Tabela!$H$30,0)))</f>
        <v/>
      </c>
      <c r="AG80" s="60" t="str">
        <f t="shared" si="18"/>
        <v/>
      </c>
      <c r="AH80" s="30" t="str">
        <f t="shared" si="18"/>
        <v/>
      </c>
      <c r="AI80" s="60" t="str">
        <f>IF($A80="","",IF(AI$6="NÃO",0,IF($A80=0,DATEDIF(ESTRUTURA!$F$3,ESTRUTURA!$F$4,"m")*Tabela!$H$33,Tabela!$H$33)))</f>
        <v/>
      </c>
      <c r="AJ80" s="30" t="str">
        <f t="shared" si="13"/>
        <v/>
      </c>
    </row>
    <row r="81" spans="1:36" x14ac:dyDescent="0.2">
      <c r="A81" s="66" t="str">
        <f>ESTRUTURA!A81</f>
        <v/>
      </c>
      <c r="B81" s="58">
        <f t="shared" si="20"/>
        <v>0</v>
      </c>
      <c r="C81" s="60" t="str">
        <f t="shared" si="19"/>
        <v/>
      </c>
      <c r="D81" s="30" t="str">
        <f t="shared" si="19"/>
        <v/>
      </c>
      <c r="E81" s="60" t="str">
        <f t="shared" si="19"/>
        <v/>
      </c>
      <c r="F81" s="30" t="str">
        <f>IF($A81="","",IF(F$6="NÃO",0,Tabela!$H$34*ESTRUTURA!$I$4))</f>
        <v/>
      </c>
      <c r="G81" s="60" t="str">
        <f t="shared" si="19"/>
        <v/>
      </c>
      <c r="H81" s="30" t="str">
        <f>IF($A81="","",IF(H$6="NÃO",0,IF($A81=0,DATEDIF(ESTRUTURA!$F$3,ESTRUTURA!$F$4,"m")*Tabela!$H$6,Tabela!$H$6)))</f>
        <v/>
      </c>
      <c r="I81" s="60" t="str">
        <f t="shared" si="19"/>
        <v/>
      </c>
      <c r="J81" s="30" t="str">
        <f>IF($A81="","",IF(J$6="NÃO",0,IF($A81=0,DATEDIF(ESTRUTURA!$F$3,ESTRUTURA!$F$4,"m")*Tabela!$H$8,IF(J$6="NÃO",0,Tabela!$H$8))))</f>
        <v/>
      </c>
      <c r="K81" s="60" t="str">
        <f t="shared" si="19"/>
        <v/>
      </c>
      <c r="L81" s="30" t="str">
        <f t="shared" si="19"/>
        <v/>
      </c>
      <c r="M81" s="60" t="str">
        <f t="shared" si="19"/>
        <v/>
      </c>
      <c r="N81" s="30" t="str">
        <f t="shared" si="19"/>
        <v/>
      </c>
      <c r="O81" s="60" t="str">
        <f t="shared" si="19"/>
        <v/>
      </c>
      <c r="P81" s="30" t="str">
        <f t="shared" si="19"/>
        <v/>
      </c>
      <c r="Q81" s="60" t="str">
        <f t="shared" si="19"/>
        <v/>
      </c>
      <c r="R81" s="30" t="str">
        <f t="shared" si="19"/>
        <v/>
      </c>
      <c r="S81" s="60" t="str">
        <f>IF($A81="","",IF(S$6="NÃO",0,IF($A81=0,DATEDIF(ESTRUTURA!$F$3,ESTRUTURA!$F$4,"m")*Tabela!$H$17,Tabela!$H$17)))</f>
        <v/>
      </c>
      <c r="T81" s="30" t="str">
        <f>IF($A81="","",IF(T$6="NÃO",0,IF($A81=0,DATEDIF(ESTRUTURA!$F$3,ESTRUTURA!$F$4,"m")*Tabela!$H$18,Tabela!$H$18)))</f>
        <v/>
      </c>
      <c r="U81" s="60" t="str">
        <f t="shared" si="18"/>
        <v/>
      </c>
      <c r="V81" s="30" t="str">
        <f>IF($A81="","",IF(V$6="NÃO",0,IF($A81=0,DATEDIF(ESTRUTURA!$F$3,ESTRUTURA!$F$4,"m")*Tabela!$H$20,Tabela!$H$20)))</f>
        <v/>
      </c>
      <c r="W81" s="60" t="str">
        <f t="shared" si="18"/>
        <v/>
      </c>
      <c r="X81" s="30" t="str">
        <f t="shared" si="18"/>
        <v/>
      </c>
      <c r="Y81" s="60" t="str">
        <f>IF($A81="","",IF(Y$6="NÃO",0,IF(A81=0,Tabela!$H$23,IF(Y$7="mensal",Tabela!$H$23,IF(AND(MONTH(ESTRUTURA!C81)=MONTH(ESTRUTURA!$F$3),A81&gt;0),Tabela!$H$23,0)))))</f>
        <v/>
      </c>
      <c r="Z81" s="30" t="str">
        <f t="shared" si="18"/>
        <v/>
      </c>
      <c r="AA81" s="60" t="str">
        <f>IF($A81="","",IF(AA$6="NÃO",0,Tabela!$H$25*nm_séries))</f>
        <v/>
      </c>
      <c r="AB81" s="30" t="str">
        <f t="shared" si="18"/>
        <v/>
      </c>
      <c r="AC81" s="60" t="str">
        <f>IF($A81="","",IF(AC$6="NÃO",0,IF(A81=0,Tabela!$H$27,IF(MOD(A81,3)=0,Tabela!$H$27,0))))</f>
        <v/>
      </c>
      <c r="AD81" s="30" t="str">
        <f t="shared" si="18"/>
        <v/>
      </c>
      <c r="AE81" s="60" t="str">
        <f t="shared" si="18"/>
        <v/>
      </c>
      <c r="AF81" s="30" t="str">
        <f>IF($A81="","",IF(AF$6="NÃO",0,IF(AND(MONTH(ESTRUTURA!C81)=MONTH(ESTRUTURA!$F$3),A81&gt;0),Tabela!$H$30,0)))</f>
        <v/>
      </c>
      <c r="AG81" s="60" t="str">
        <f t="shared" si="18"/>
        <v/>
      </c>
      <c r="AH81" s="30" t="str">
        <f t="shared" si="18"/>
        <v/>
      </c>
      <c r="AI81" s="60" t="str">
        <f>IF($A81="","",IF(AI$6="NÃO",0,IF($A81=0,DATEDIF(ESTRUTURA!$F$3,ESTRUTURA!$F$4,"m")*Tabela!$H$33,Tabela!$H$33)))</f>
        <v/>
      </c>
      <c r="AJ81" s="30" t="str">
        <f t="shared" si="13"/>
        <v/>
      </c>
    </row>
    <row r="82" spans="1:36" x14ac:dyDescent="0.2">
      <c r="A82" s="66" t="str">
        <f>ESTRUTURA!A82</f>
        <v/>
      </c>
      <c r="B82" s="58">
        <f t="shared" si="20"/>
        <v>0</v>
      </c>
      <c r="C82" s="60" t="str">
        <f t="shared" si="19"/>
        <v/>
      </c>
      <c r="D82" s="30" t="str">
        <f t="shared" si="19"/>
        <v/>
      </c>
      <c r="E82" s="60" t="str">
        <f t="shared" si="19"/>
        <v/>
      </c>
      <c r="F82" s="30" t="str">
        <f>IF($A82="","",IF(F$6="NÃO",0,Tabela!$H$34*ESTRUTURA!$I$4))</f>
        <v/>
      </c>
      <c r="G82" s="60" t="str">
        <f t="shared" si="19"/>
        <v/>
      </c>
      <c r="H82" s="30" t="str">
        <f>IF($A82="","",IF(H$6="NÃO",0,IF($A82=0,DATEDIF(ESTRUTURA!$F$3,ESTRUTURA!$F$4,"m")*Tabela!$H$6,Tabela!$H$6)))</f>
        <v/>
      </c>
      <c r="I82" s="60" t="str">
        <f t="shared" si="19"/>
        <v/>
      </c>
      <c r="J82" s="30" t="str">
        <f>IF($A82="","",IF(J$6="NÃO",0,IF($A82=0,DATEDIF(ESTRUTURA!$F$3,ESTRUTURA!$F$4,"m")*Tabela!$H$8,IF(J$6="NÃO",0,Tabela!$H$8))))</f>
        <v/>
      </c>
      <c r="K82" s="60" t="str">
        <f t="shared" si="19"/>
        <v/>
      </c>
      <c r="L82" s="30" t="str">
        <f t="shared" si="19"/>
        <v/>
      </c>
      <c r="M82" s="60" t="str">
        <f t="shared" si="19"/>
        <v/>
      </c>
      <c r="N82" s="30" t="str">
        <f t="shared" si="19"/>
        <v/>
      </c>
      <c r="O82" s="60" t="str">
        <f t="shared" si="19"/>
        <v/>
      </c>
      <c r="P82" s="30" t="str">
        <f t="shared" si="19"/>
        <v/>
      </c>
      <c r="Q82" s="60" t="str">
        <f t="shared" si="19"/>
        <v/>
      </c>
      <c r="R82" s="30" t="str">
        <f t="shared" si="19"/>
        <v/>
      </c>
      <c r="S82" s="60" t="str">
        <f>IF($A82="","",IF(S$6="NÃO",0,IF($A82=0,DATEDIF(ESTRUTURA!$F$3,ESTRUTURA!$F$4,"m")*Tabela!$H$17,Tabela!$H$17)))</f>
        <v/>
      </c>
      <c r="T82" s="30" t="str">
        <f>IF($A82="","",IF(T$6="NÃO",0,IF($A82=0,DATEDIF(ESTRUTURA!$F$3,ESTRUTURA!$F$4,"m")*Tabela!$H$18,Tabela!$H$18)))</f>
        <v/>
      </c>
      <c r="U82" s="60" t="str">
        <f t="shared" si="18"/>
        <v/>
      </c>
      <c r="V82" s="30" t="str">
        <f>IF($A82="","",IF(V$6="NÃO",0,IF($A82=0,DATEDIF(ESTRUTURA!$F$3,ESTRUTURA!$F$4,"m")*Tabela!$H$20,Tabela!$H$20)))</f>
        <v/>
      </c>
      <c r="W82" s="60" t="str">
        <f t="shared" si="18"/>
        <v/>
      </c>
      <c r="X82" s="30" t="str">
        <f t="shared" si="18"/>
        <v/>
      </c>
      <c r="Y82" s="60" t="str">
        <f>IF($A82="","",IF(Y$6="NÃO",0,IF(A82=0,Tabela!$H$23,IF(Y$7="mensal",Tabela!$H$23,IF(AND(MONTH(ESTRUTURA!C82)=MONTH(ESTRUTURA!$F$3),A82&gt;0),Tabela!$H$23,0)))))</f>
        <v/>
      </c>
      <c r="Z82" s="30" t="str">
        <f t="shared" si="18"/>
        <v/>
      </c>
      <c r="AA82" s="60" t="str">
        <f>IF($A82="","",IF(AA$6="NÃO",0,Tabela!$H$25*nm_séries))</f>
        <v/>
      </c>
      <c r="AB82" s="30" t="str">
        <f t="shared" si="18"/>
        <v/>
      </c>
      <c r="AC82" s="60" t="str">
        <f>IF($A82="","",IF(AC$6="NÃO",0,IF(A82=0,Tabela!$H$27,IF(MOD(A82,3)=0,Tabela!$H$27,0))))</f>
        <v/>
      </c>
      <c r="AD82" s="30" t="str">
        <f t="shared" si="18"/>
        <v/>
      </c>
      <c r="AE82" s="60" t="str">
        <f t="shared" si="18"/>
        <v/>
      </c>
      <c r="AF82" s="30" t="str">
        <f>IF($A82="","",IF(AF$6="NÃO",0,IF(AND(MONTH(ESTRUTURA!C82)=MONTH(ESTRUTURA!$F$3),A82&gt;0),Tabela!$H$30,0)))</f>
        <v/>
      </c>
      <c r="AG82" s="60" t="str">
        <f t="shared" si="18"/>
        <v/>
      </c>
      <c r="AH82" s="30" t="str">
        <f t="shared" si="18"/>
        <v/>
      </c>
      <c r="AI82" s="60" t="str">
        <f>IF($A82="","",IF(AI$6="NÃO",0,IF($A82=0,DATEDIF(ESTRUTURA!$F$3,ESTRUTURA!$F$4,"m")*Tabela!$H$33,Tabela!$H$33)))</f>
        <v/>
      </c>
      <c r="AJ82" s="30" t="str">
        <f t="shared" si="13"/>
        <v/>
      </c>
    </row>
    <row r="83" spans="1:36" x14ac:dyDescent="0.2">
      <c r="A83" s="66" t="str">
        <f>ESTRUTURA!A83</f>
        <v/>
      </c>
      <c r="B83" s="58">
        <f t="shared" si="20"/>
        <v>0</v>
      </c>
      <c r="C83" s="60" t="str">
        <f t="shared" si="19"/>
        <v/>
      </c>
      <c r="D83" s="30" t="str">
        <f t="shared" si="19"/>
        <v/>
      </c>
      <c r="E83" s="60" t="str">
        <f t="shared" si="19"/>
        <v/>
      </c>
      <c r="F83" s="30" t="str">
        <f>IF($A83="","",IF(F$6="NÃO",0,Tabela!$H$34*ESTRUTURA!$I$4))</f>
        <v/>
      </c>
      <c r="G83" s="60" t="str">
        <f t="shared" si="19"/>
        <v/>
      </c>
      <c r="H83" s="30" t="str">
        <f>IF($A83="","",IF(H$6="NÃO",0,IF($A83=0,DATEDIF(ESTRUTURA!$F$3,ESTRUTURA!$F$4,"m")*Tabela!$H$6,Tabela!$H$6)))</f>
        <v/>
      </c>
      <c r="I83" s="60" t="str">
        <f t="shared" si="19"/>
        <v/>
      </c>
      <c r="J83" s="30" t="str">
        <f>IF($A83="","",IF(J$6="NÃO",0,IF($A83=0,DATEDIF(ESTRUTURA!$F$3,ESTRUTURA!$F$4,"m")*Tabela!$H$8,IF(J$6="NÃO",0,Tabela!$H$8))))</f>
        <v/>
      </c>
      <c r="K83" s="60" t="str">
        <f t="shared" si="19"/>
        <v/>
      </c>
      <c r="L83" s="30" t="str">
        <f t="shared" si="19"/>
        <v/>
      </c>
      <c r="M83" s="60" t="str">
        <f t="shared" si="19"/>
        <v/>
      </c>
      <c r="N83" s="30" t="str">
        <f t="shared" si="19"/>
        <v/>
      </c>
      <c r="O83" s="60" t="str">
        <f t="shared" si="19"/>
        <v/>
      </c>
      <c r="P83" s="30" t="str">
        <f t="shared" si="19"/>
        <v/>
      </c>
      <c r="Q83" s="60" t="str">
        <f t="shared" si="19"/>
        <v/>
      </c>
      <c r="R83" s="30" t="str">
        <f t="shared" si="19"/>
        <v/>
      </c>
      <c r="S83" s="60" t="str">
        <f>IF($A83="","",IF(S$6="NÃO",0,IF($A83=0,DATEDIF(ESTRUTURA!$F$3,ESTRUTURA!$F$4,"m")*Tabela!$H$17,Tabela!$H$17)))</f>
        <v/>
      </c>
      <c r="T83" s="30" t="str">
        <f>IF($A83="","",IF(T$6="NÃO",0,IF($A83=0,DATEDIF(ESTRUTURA!$F$3,ESTRUTURA!$F$4,"m")*Tabela!$H$18,Tabela!$H$18)))</f>
        <v/>
      </c>
      <c r="U83" s="60" t="str">
        <f t="shared" si="18"/>
        <v/>
      </c>
      <c r="V83" s="30" t="str">
        <f>IF($A83="","",IF(V$6="NÃO",0,IF($A83=0,DATEDIF(ESTRUTURA!$F$3,ESTRUTURA!$F$4,"m")*Tabela!$H$20,Tabela!$H$20)))</f>
        <v/>
      </c>
      <c r="W83" s="60" t="str">
        <f t="shared" si="18"/>
        <v/>
      </c>
      <c r="X83" s="30" t="str">
        <f t="shared" si="18"/>
        <v/>
      </c>
      <c r="Y83" s="60" t="str">
        <f>IF($A83="","",IF(Y$6="NÃO",0,IF(A83=0,Tabela!$H$23,IF(Y$7="mensal",Tabela!$H$23,IF(AND(MONTH(ESTRUTURA!C83)=MONTH(ESTRUTURA!$F$3),A83&gt;0),Tabela!$H$23,0)))))</f>
        <v/>
      </c>
      <c r="Z83" s="30" t="str">
        <f t="shared" si="18"/>
        <v/>
      </c>
      <c r="AA83" s="60" t="str">
        <f>IF($A83="","",IF(AA$6="NÃO",0,Tabela!$H$25*nm_séries))</f>
        <v/>
      </c>
      <c r="AB83" s="30" t="str">
        <f t="shared" si="18"/>
        <v/>
      </c>
      <c r="AC83" s="60" t="str">
        <f>IF($A83="","",IF(AC$6="NÃO",0,IF(A83=0,Tabela!$H$27,IF(MOD(A83,3)=0,Tabela!$H$27,0))))</f>
        <v/>
      </c>
      <c r="AD83" s="30" t="str">
        <f t="shared" si="18"/>
        <v/>
      </c>
      <c r="AE83" s="60" t="str">
        <f t="shared" si="18"/>
        <v/>
      </c>
      <c r="AF83" s="30" t="str">
        <f>IF($A83="","",IF(AF$6="NÃO",0,IF(AND(MONTH(ESTRUTURA!C83)=MONTH(ESTRUTURA!$F$3),A83&gt;0),Tabela!$H$30,0)))</f>
        <v/>
      </c>
      <c r="AG83" s="60" t="str">
        <f t="shared" si="18"/>
        <v/>
      </c>
      <c r="AH83" s="30" t="str">
        <f t="shared" si="18"/>
        <v/>
      </c>
      <c r="AI83" s="60" t="str">
        <f>IF($A83="","",IF(AI$6="NÃO",0,IF($A83=0,DATEDIF(ESTRUTURA!$F$3,ESTRUTURA!$F$4,"m")*Tabela!$H$33,Tabela!$H$33)))</f>
        <v/>
      </c>
      <c r="AJ83" s="30" t="str">
        <f t="shared" si="13"/>
        <v/>
      </c>
    </row>
    <row r="84" spans="1:36" x14ac:dyDescent="0.2">
      <c r="A84" s="66" t="str">
        <f>ESTRUTURA!A84</f>
        <v/>
      </c>
      <c r="B84" s="58">
        <f t="shared" si="20"/>
        <v>0</v>
      </c>
      <c r="C84" s="60" t="str">
        <f t="shared" si="19"/>
        <v/>
      </c>
      <c r="D84" s="30" t="str">
        <f t="shared" si="19"/>
        <v/>
      </c>
      <c r="E84" s="60" t="str">
        <f t="shared" si="19"/>
        <v/>
      </c>
      <c r="F84" s="30" t="str">
        <f>IF($A84="","",IF(F$6="NÃO",0,Tabela!$H$34*ESTRUTURA!$I$4))</f>
        <v/>
      </c>
      <c r="G84" s="60" t="str">
        <f t="shared" si="19"/>
        <v/>
      </c>
      <c r="H84" s="30" t="str">
        <f>IF($A84="","",IF(H$6="NÃO",0,IF($A84=0,DATEDIF(ESTRUTURA!$F$3,ESTRUTURA!$F$4,"m")*Tabela!$H$6,Tabela!$H$6)))</f>
        <v/>
      </c>
      <c r="I84" s="60" t="str">
        <f t="shared" si="19"/>
        <v/>
      </c>
      <c r="J84" s="30" t="str">
        <f>IF($A84="","",IF(J$6="NÃO",0,IF($A84=0,DATEDIF(ESTRUTURA!$F$3,ESTRUTURA!$F$4,"m")*Tabela!$H$8,IF(J$6="NÃO",0,Tabela!$H$8))))</f>
        <v/>
      </c>
      <c r="K84" s="60" t="str">
        <f t="shared" si="19"/>
        <v/>
      </c>
      <c r="L84" s="30" t="str">
        <f t="shared" si="19"/>
        <v/>
      </c>
      <c r="M84" s="60" t="str">
        <f t="shared" si="19"/>
        <v/>
      </c>
      <c r="N84" s="30" t="str">
        <f t="shared" si="19"/>
        <v/>
      </c>
      <c r="O84" s="60" t="str">
        <f t="shared" si="19"/>
        <v/>
      </c>
      <c r="P84" s="30" t="str">
        <f t="shared" si="19"/>
        <v/>
      </c>
      <c r="Q84" s="60" t="str">
        <f t="shared" si="19"/>
        <v/>
      </c>
      <c r="R84" s="30" t="str">
        <f t="shared" si="19"/>
        <v/>
      </c>
      <c r="S84" s="60" t="str">
        <f>IF($A84="","",IF(S$6="NÃO",0,IF($A84=0,DATEDIF(ESTRUTURA!$F$3,ESTRUTURA!$F$4,"m")*Tabela!$H$17,Tabela!$H$17)))</f>
        <v/>
      </c>
      <c r="T84" s="30" t="str">
        <f>IF($A84="","",IF(T$6="NÃO",0,IF($A84=0,DATEDIF(ESTRUTURA!$F$3,ESTRUTURA!$F$4,"m")*Tabela!$H$18,Tabela!$H$18)))</f>
        <v/>
      </c>
      <c r="U84" s="60" t="str">
        <f t="shared" si="18"/>
        <v/>
      </c>
      <c r="V84" s="30" t="str">
        <f>IF($A84="","",IF(V$6="NÃO",0,IF($A84=0,DATEDIF(ESTRUTURA!$F$3,ESTRUTURA!$F$4,"m")*Tabela!$H$20,Tabela!$H$20)))</f>
        <v/>
      </c>
      <c r="W84" s="60" t="str">
        <f t="shared" si="18"/>
        <v/>
      </c>
      <c r="X84" s="30" t="str">
        <f t="shared" si="18"/>
        <v/>
      </c>
      <c r="Y84" s="60" t="str">
        <f>IF($A84="","",IF(Y$6="NÃO",0,IF(A84=0,Tabela!$H$23,IF(Y$7="mensal",Tabela!$H$23,IF(AND(MONTH(ESTRUTURA!C84)=MONTH(ESTRUTURA!$F$3),A84&gt;0),Tabela!$H$23,0)))))</f>
        <v/>
      </c>
      <c r="Z84" s="30" t="str">
        <f t="shared" si="18"/>
        <v/>
      </c>
      <c r="AA84" s="60" t="str">
        <f>IF($A84="","",IF(AA$6="NÃO",0,Tabela!$H$25*nm_séries))</f>
        <v/>
      </c>
      <c r="AB84" s="30" t="str">
        <f t="shared" si="18"/>
        <v/>
      </c>
      <c r="AC84" s="60" t="str">
        <f>IF($A84="","",IF(AC$6="NÃO",0,IF(A84=0,Tabela!$H$27,IF(MOD(A84,3)=0,Tabela!$H$27,0))))</f>
        <v/>
      </c>
      <c r="AD84" s="30" t="str">
        <f t="shared" si="18"/>
        <v/>
      </c>
      <c r="AE84" s="60" t="str">
        <f t="shared" si="18"/>
        <v/>
      </c>
      <c r="AF84" s="30" t="str">
        <f>IF($A84="","",IF(AF$6="NÃO",0,IF(AND(MONTH(ESTRUTURA!C84)=MONTH(ESTRUTURA!$F$3),A84&gt;0),Tabela!$H$30,0)))</f>
        <v/>
      </c>
      <c r="AG84" s="60" t="str">
        <f t="shared" si="18"/>
        <v/>
      </c>
      <c r="AH84" s="30" t="str">
        <f t="shared" si="18"/>
        <v/>
      </c>
      <c r="AI84" s="60" t="str">
        <f>IF($A84="","",IF(AI$6="NÃO",0,IF($A84=0,DATEDIF(ESTRUTURA!$F$3,ESTRUTURA!$F$4,"m")*Tabela!$H$33,Tabela!$H$33)))</f>
        <v/>
      </c>
      <c r="AJ84" s="30" t="str">
        <f t="shared" si="13"/>
        <v/>
      </c>
    </row>
    <row r="85" spans="1:36" x14ac:dyDescent="0.2">
      <c r="A85" s="66" t="str">
        <f>ESTRUTURA!A85</f>
        <v/>
      </c>
      <c r="B85" s="58">
        <f t="shared" si="20"/>
        <v>0</v>
      </c>
      <c r="C85" s="60" t="str">
        <f t="shared" si="19"/>
        <v/>
      </c>
      <c r="D85" s="30" t="str">
        <f t="shared" si="19"/>
        <v/>
      </c>
      <c r="E85" s="60" t="str">
        <f t="shared" si="19"/>
        <v/>
      </c>
      <c r="F85" s="30" t="str">
        <f>IF($A85="","",IF(F$6="NÃO",0,Tabela!$H$34*ESTRUTURA!$I$4))</f>
        <v/>
      </c>
      <c r="G85" s="60" t="str">
        <f t="shared" si="19"/>
        <v/>
      </c>
      <c r="H85" s="30" t="str">
        <f>IF($A85="","",IF(H$6="NÃO",0,IF($A85=0,DATEDIF(ESTRUTURA!$F$3,ESTRUTURA!$F$4,"m")*Tabela!$H$6,Tabela!$H$6)))</f>
        <v/>
      </c>
      <c r="I85" s="60" t="str">
        <f t="shared" si="19"/>
        <v/>
      </c>
      <c r="J85" s="30" t="str">
        <f>IF($A85="","",IF(J$6="NÃO",0,IF($A85=0,DATEDIF(ESTRUTURA!$F$3,ESTRUTURA!$F$4,"m")*Tabela!$H$8,IF(J$6="NÃO",0,Tabela!$H$8))))</f>
        <v/>
      </c>
      <c r="K85" s="60" t="str">
        <f t="shared" si="19"/>
        <v/>
      </c>
      <c r="L85" s="30" t="str">
        <f t="shared" si="19"/>
        <v/>
      </c>
      <c r="M85" s="60" t="str">
        <f t="shared" si="19"/>
        <v/>
      </c>
      <c r="N85" s="30" t="str">
        <f t="shared" si="19"/>
        <v/>
      </c>
      <c r="O85" s="60" t="str">
        <f t="shared" si="19"/>
        <v/>
      </c>
      <c r="P85" s="30" t="str">
        <f t="shared" si="19"/>
        <v/>
      </c>
      <c r="Q85" s="60" t="str">
        <f t="shared" si="19"/>
        <v/>
      </c>
      <c r="R85" s="30" t="str">
        <f t="shared" si="19"/>
        <v/>
      </c>
      <c r="S85" s="60" t="str">
        <f>IF($A85="","",IF(S$6="NÃO",0,IF($A85=0,DATEDIF(ESTRUTURA!$F$3,ESTRUTURA!$F$4,"m")*Tabela!$H$17,Tabela!$H$17)))</f>
        <v/>
      </c>
      <c r="T85" s="30" t="str">
        <f>IF($A85="","",IF(T$6="NÃO",0,IF($A85=0,DATEDIF(ESTRUTURA!$F$3,ESTRUTURA!$F$4,"m")*Tabela!$H$18,Tabela!$H$18)))</f>
        <v/>
      </c>
      <c r="U85" s="60" t="str">
        <f t="shared" si="18"/>
        <v/>
      </c>
      <c r="V85" s="30" t="str">
        <f>IF($A85="","",IF(V$6="NÃO",0,IF($A85=0,DATEDIF(ESTRUTURA!$F$3,ESTRUTURA!$F$4,"m")*Tabela!$H$20,Tabela!$H$20)))</f>
        <v/>
      </c>
      <c r="W85" s="60" t="str">
        <f t="shared" si="18"/>
        <v/>
      </c>
      <c r="X85" s="30" t="str">
        <f t="shared" si="18"/>
        <v/>
      </c>
      <c r="Y85" s="60" t="str">
        <f>IF($A85="","",IF(Y$6="NÃO",0,IF(A85=0,Tabela!$H$23,IF(Y$7="mensal",Tabela!$H$23,IF(AND(MONTH(ESTRUTURA!C85)=MONTH(ESTRUTURA!$F$3),A85&gt;0),Tabela!$H$23,0)))))</f>
        <v/>
      </c>
      <c r="Z85" s="30" t="str">
        <f t="shared" si="18"/>
        <v/>
      </c>
      <c r="AA85" s="60" t="str">
        <f>IF($A85="","",IF(AA$6="NÃO",0,Tabela!$H$25*nm_séries))</f>
        <v/>
      </c>
      <c r="AB85" s="30" t="str">
        <f t="shared" si="18"/>
        <v/>
      </c>
      <c r="AC85" s="60" t="str">
        <f>IF($A85="","",IF(AC$6="NÃO",0,IF(A85=0,Tabela!$H$27,IF(MOD(A85,3)=0,Tabela!$H$27,0))))</f>
        <v/>
      </c>
      <c r="AD85" s="30" t="str">
        <f t="shared" si="18"/>
        <v/>
      </c>
      <c r="AE85" s="60" t="str">
        <f t="shared" si="18"/>
        <v/>
      </c>
      <c r="AF85" s="30" t="str">
        <f>IF($A85="","",IF(AF$6="NÃO",0,IF(AND(MONTH(ESTRUTURA!C85)=MONTH(ESTRUTURA!$F$3),A85&gt;0),Tabela!$H$30,0)))</f>
        <v/>
      </c>
      <c r="AG85" s="60" t="str">
        <f t="shared" si="18"/>
        <v/>
      </c>
      <c r="AH85" s="30" t="str">
        <f t="shared" si="18"/>
        <v/>
      </c>
      <c r="AI85" s="60" t="str">
        <f>IF($A85="","",IF(AI$6="NÃO",0,IF($A85=0,DATEDIF(ESTRUTURA!$F$3,ESTRUTURA!$F$4,"m")*Tabela!$H$33,Tabela!$H$33)))</f>
        <v/>
      </c>
      <c r="AJ85" s="30" t="str">
        <f t="shared" si="13"/>
        <v/>
      </c>
    </row>
    <row r="86" spans="1:36" x14ac:dyDescent="0.2">
      <c r="A86" s="66" t="str">
        <f>ESTRUTURA!A86</f>
        <v/>
      </c>
      <c r="B86" s="58">
        <f t="shared" si="20"/>
        <v>0</v>
      </c>
      <c r="C86" s="60" t="str">
        <f t="shared" si="19"/>
        <v/>
      </c>
      <c r="D86" s="30" t="str">
        <f t="shared" si="19"/>
        <v/>
      </c>
      <c r="E86" s="60" t="str">
        <f t="shared" si="19"/>
        <v/>
      </c>
      <c r="F86" s="30" t="str">
        <f>IF($A86="","",IF(F$6="NÃO",0,Tabela!$H$34*ESTRUTURA!$I$4))</f>
        <v/>
      </c>
      <c r="G86" s="60" t="str">
        <f t="shared" si="19"/>
        <v/>
      </c>
      <c r="H86" s="30" t="str">
        <f>IF($A86="","",IF(H$6="NÃO",0,IF($A86=0,DATEDIF(ESTRUTURA!$F$3,ESTRUTURA!$F$4,"m")*Tabela!$H$6,Tabela!$H$6)))</f>
        <v/>
      </c>
      <c r="I86" s="60" t="str">
        <f t="shared" si="19"/>
        <v/>
      </c>
      <c r="J86" s="30" t="str">
        <f>IF($A86="","",IF(J$6="NÃO",0,IF($A86=0,DATEDIF(ESTRUTURA!$F$3,ESTRUTURA!$F$4,"m")*Tabela!$H$8,IF(J$6="NÃO",0,Tabela!$H$8))))</f>
        <v/>
      </c>
      <c r="K86" s="60" t="str">
        <f t="shared" si="19"/>
        <v/>
      </c>
      <c r="L86" s="30" t="str">
        <f t="shared" si="19"/>
        <v/>
      </c>
      <c r="M86" s="60" t="str">
        <f t="shared" si="19"/>
        <v/>
      </c>
      <c r="N86" s="30" t="str">
        <f t="shared" si="19"/>
        <v/>
      </c>
      <c r="O86" s="60" t="str">
        <f t="shared" si="19"/>
        <v/>
      </c>
      <c r="P86" s="30" t="str">
        <f t="shared" si="19"/>
        <v/>
      </c>
      <c r="Q86" s="60" t="str">
        <f t="shared" si="19"/>
        <v/>
      </c>
      <c r="R86" s="30" t="str">
        <f t="shared" si="19"/>
        <v/>
      </c>
      <c r="S86" s="60" t="str">
        <f>IF($A86="","",IF(S$6="NÃO",0,IF($A86=0,DATEDIF(ESTRUTURA!$F$3,ESTRUTURA!$F$4,"m")*Tabela!$H$17,Tabela!$H$17)))</f>
        <v/>
      </c>
      <c r="T86" s="30" t="str">
        <f>IF($A86="","",IF(T$6="NÃO",0,IF($A86=0,DATEDIF(ESTRUTURA!$F$3,ESTRUTURA!$F$4,"m")*Tabela!$H$18,Tabela!$H$18)))</f>
        <v/>
      </c>
      <c r="U86" s="60" t="str">
        <f t="shared" si="18"/>
        <v/>
      </c>
      <c r="V86" s="30" t="str">
        <f>IF($A86="","",IF(V$6="NÃO",0,IF($A86=0,DATEDIF(ESTRUTURA!$F$3,ESTRUTURA!$F$4,"m")*Tabela!$H$20,Tabela!$H$20)))</f>
        <v/>
      </c>
      <c r="W86" s="60" t="str">
        <f t="shared" si="18"/>
        <v/>
      </c>
      <c r="X86" s="30" t="str">
        <f t="shared" si="18"/>
        <v/>
      </c>
      <c r="Y86" s="60" t="str">
        <f>IF($A86="","",IF(Y$6="NÃO",0,IF(A86=0,Tabela!$H$23,IF(Y$7="mensal",Tabela!$H$23,IF(AND(MONTH(ESTRUTURA!C86)=MONTH(ESTRUTURA!$F$3),A86&gt;0),Tabela!$H$23,0)))))</f>
        <v/>
      </c>
      <c r="Z86" s="30" t="str">
        <f t="shared" si="18"/>
        <v/>
      </c>
      <c r="AA86" s="60" t="str">
        <f>IF($A86="","",IF(AA$6="NÃO",0,Tabela!$H$25*nm_séries))</f>
        <v/>
      </c>
      <c r="AB86" s="30" t="str">
        <f t="shared" si="18"/>
        <v/>
      </c>
      <c r="AC86" s="60" t="str">
        <f>IF($A86="","",IF(AC$6="NÃO",0,IF(A86=0,Tabela!$H$27,IF(MOD(A86,3)=0,Tabela!$H$27,0))))</f>
        <v/>
      </c>
      <c r="AD86" s="30" t="str">
        <f t="shared" si="18"/>
        <v/>
      </c>
      <c r="AE86" s="60" t="str">
        <f t="shared" si="18"/>
        <v/>
      </c>
      <c r="AF86" s="30" t="str">
        <f>IF($A86="","",IF(AF$6="NÃO",0,IF(AND(MONTH(ESTRUTURA!C86)=MONTH(ESTRUTURA!$F$3),A86&gt;0),Tabela!$H$30,0)))</f>
        <v/>
      </c>
      <c r="AG86" s="60" t="str">
        <f t="shared" si="18"/>
        <v/>
      </c>
      <c r="AH86" s="30" t="str">
        <f t="shared" si="18"/>
        <v/>
      </c>
      <c r="AI86" s="60" t="str">
        <f>IF($A86="","",IF(AI$6="NÃO",0,IF($A86=0,DATEDIF(ESTRUTURA!$F$3,ESTRUTURA!$F$4,"m")*Tabela!$H$33,Tabela!$H$33)))</f>
        <v/>
      </c>
      <c r="AJ86" s="30" t="str">
        <f t="shared" si="13"/>
        <v/>
      </c>
    </row>
    <row r="87" spans="1:36" x14ac:dyDescent="0.2">
      <c r="A87" s="66" t="str">
        <f>ESTRUTURA!A87</f>
        <v/>
      </c>
      <c r="B87" s="58">
        <f t="shared" si="20"/>
        <v>0</v>
      </c>
      <c r="C87" s="60" t="str">
        <f t="shared" si="19"/>
        <v/>
      </c>
      <c r="D87" s="30" t="str">
        <f t="shared" si="19"/>
        <v/>
      </c>
      <c r="E87" s="60" t="str">
        <f t="shared" si="19"/>
        <v/>
      </c>
      <c r="F87" s="30" t="str">
        <f>IF($A87="","",IF(F$6="NÃO",0,Tabela!$H$34*ESTRUTURA!$I$4))</f>
        <v/>
      </c>
      <c r="G87" s="60" t="str">
        <f t="shared" si="19"/>
        <v/>
      </c>
      <c r="H87" s="30" t="str">
        <f>IF($A87="","",IF(H$6="NÃO",0,IF($A87=0,DATEDIF(ESTRUTURA!$F$3,ESTRUTURA!$F$4,"m")*Tabela!$H$6,Tabela!$H$6)))</f>
        <v/>
      </c>
      <c r="I87" s="60" t="str">
        <f t="shared" si="19"/>
        <v/>
      </c>
      <c r="J87" s="30" t="str">
        <f>IF($A87="","",IF(J$6="NÃO",0,IF($A87=0,DATEDIF(ESTRUTURA!$F$3,ESTRUTURA!$F$4,"m")*Tabela!$H$8,IF(J$6="NÃO",0,Tabela!$H$8))))</f>
        <v/>
      </c>
      <c r="K87" s="60" t="str">
        <f t="shared" si="19"/>
        <v/>
      </c>
      <c r="L87" s="30" t="str">
        <f t="shared" si="19"/>
        <v/>
      </c>
      <c r="M87" s="60" t="str">
        <f t="shared" si="19"/>
        <v/>
      </c>
      <c r="N87" s="30" t="str">
        <f t="shared" si="19"/>
        <v/>
      </c>
      <c r="O87" s="60" t="str">
        <f t="shared" si="19"/>
        <v/>
      </c>
      <c r="P87" s="30" t="str">
        <f t="shared" si="19"/>
        <v/>
      </c>
      <c r="Q87" s="60" t="str">
        <f t="shared" si="19"/>
        <v/>
      </c>
      <c r="R87" s="30" t="str">
        <f t="shared" si="19"/>
        <v/>
      </c>
      <c r="S87" s="60" t="str">
        <f>IF($A87="","",IF(S$6="NÃO",0,IF($A87=0,DATEDIF(ESTRUTURA!$F$3,ESTRUTURA!$F$4,"m")*Tabela!$H$17,Tabela!$H$17)))</f>
        <v/>
      </c>
      <c r="T87" s="30" t="str">
        <f>IF($A87="","",IF(T$6="NÃO",0,IF($A87=0,DATEDIF(ESTRUTURA!$F$3,ESTRUTURA!$F$4,"m")*Tabela!$H$18,Tabela!$H$18)))</f>
        <v/>
      </c>
      <c r="U87" s="60" t="str">
        <f t="shared" si="18"/>
        <v/>
      </c>
      <c r="V87" s="30" t="str">
        <f>IF($A87="","",IF(V$6="NÃO",0,IF($A87=0,DATEDIF(ESTRUTURA!$F$3,ESTRUTURA!$F$4,"m")*Tabela!$H$20,Tabela!$H$20)))</f>
        <v/>
      </c>
      <c r="W87" s="60" t="str">
        <f t="shared" si="18"/>
        <v/>
      </c>
      <c r="X87" s="30" t="str">
        <f t="shared" si="18"/>
        <v/>
      </c>
      <c r="Y87" s="60" t="str">
        <f>IF($A87="","",IF(Y$6="NÃO",0,IF(A87=0,Tabela!$H$23,IF(Y$7="mensal",Tabela!$H$23,IF(AND(MONTH(ESTRUTURA!C87)=MONTH(ESTRUTURA!$F$3),A87&gt;0),Tabela!$H$23,0)))))</f>
        <v/>
      </c>
      <c r="Z87" s="30" t="str">
        <f t="shared" si="18"/>
        <v/>
      </c>
      <c r="AA87" s="60" t="str">
        <f>IF($A87="","",IF(AA$6="NÃO",0,Tabela!$H$25*nm_séries))</f>
        <v/>
      </c>
      <c r="AB87" s="30" t="str">
        <f t="shared" si="18"/>
        <v/>
      </c>
      <c r="AC87" s="60" t="str">
        <f>IF($A87="","",IF(AC$6="NÃO",0,IF(A87=0,Tabela!$H$27,IF(MOD(A87,3)=0,Tabela!$H$27,0))))</f>
        <v/>
      </c>
      <c r="AD87" s="30" t="str">
        <f t="shared" si="18"/>
        <v/>
      </c>
      <c r="AE87" s="60" t="str">
        <f t="shared" si="18"/>
        <v/>
      </c>
      <c r="AF87" s="30" t="str">
        <f>IF($A87="","",IF(AF$6="NÃO",0,IF(AND(MONTH(ESTRUTURA!C87)=MONTH(ESTRUTURA!$F$3),A87&gt;0),Tabela!$H$30,0)))</f>
        <v/>
      </c>
      <c r="AG87" s="60" t="str">
        <f t="shared" si="18"/>
        <v/>
      </c>
      <c r="AH87" s="30" t="str">
        <f t="shared" si="18"/>
        <v/>
      </c>
      <c r="AI87" s="60" t="str">
        <f>IF($A87="","",IF(AI$6="NÃO",0,IF($A87=0,DATEDIF(ESTRUTURA!$F$3,ESTRUTURA!$F$4,"m")*Tabela!$H$33,Tabela!$H$33)))</f>
        <v/>
      </c>
      <c r="AJ87" s="30" t="str">
        <f t="shared" si="13"/>
        <v/>
      </c>
    </row>
    <row r="88" spans="1:36" x14ac:dyDescent="0.2">
      <c r="A88" s="66" t="str">
        <f>ESTRUTURA!A88</f>
        <v/>
      </c>
      <c r="B88" s="58">
        <f t="shared" si="20"/>
        <v>0</v>
      </c>
      <c r="C88" s="60" t="str">
        <f t="shared" si="19"/>
        <v/>
      </c>
      <c r="D88" s="30" t="str">
        <f t="shared" si="19"/>
        <v/>
      </c>
      <c r="E88" s="60" t="str">
        <f t="shared" si="19"/>
        <v/>
      </c>
      <c r="F88" s="30" t="str">
        <f>IF($A88="","",IF(F$6="NÃO",0,Tabela!$H$34*ESTRUTURA!$I$4))</f>
        <v/>
      </c>
      <c r="G88" s="60" t="str">
        <f t="shared" si="19"/>
        <v/>
      </c>
      <c r="H88" s="30" t="str">
        <f>IF($A88="","",IF(H$6="NÃO",0,IF($A88=0,DATEDIF(ESTRUTURA!$F$3,ESTRUTURA!$F$4,"m")*Tabela!$H$6,Tabela!$H$6)))</f>
        <v/>
      </c>
      <c r="I88" s="60" t="str">
        <f t="shared" si="19"/>
        <v/>
      </c>
      <c r="J88" s="30" t="str">
        <f>IF($A88="","",IF(J$6="NÃO",0,IF($A88=0,DATEDIF(ESTRUTURA!$F$3,ESTRUTURA!$F$4,"m")*Tabela!$H$8,IF(J$6="NÃO",0,Tabela!$H$8))))</f>
        <v/>
      </c>
      <c r="K88" s="60" t="str">
        <f t="shared" si="19"/>
        <v/>
      </c>
      <c r="L88" s="30" t="str">
        <f t="shared" si="19"/>
        <v/>
      </c>
      <c r="M88" s="60" t="str">
        <f t="shared" si="19"/>
        <v/>
      </c>
      <c r="N88" s="30" t="str">
        <f t="shared" si="19"/>
        <v/>
      </c>
      <c r="O88" s="60" t="str">
        <f t="shared" si="19"/>
        <v/>
      </c>
      <c r="P88" s="30" t="str">
        <f t="shared" si="19"/>
        <v/>
      </c>
      <c r="Q88" s="60" t="str">
        <f t="shared" si="19"/>
        <v/>
      </c>
      <c r="R88" s="30" t="str">
        <f t="shared" si="19"/>
        <v/>
      </c>
      <c r="S88" s="60" t="str">
        <f>IF($A88="","",IF(S$6="NÃO",0,IF($A88=0,DATEDIF(ESTRUTURA!$F$3,ESTRUTURA!$F$4,"m")*Tabela!$H$17,Tabela!$H$17)))</f>
        <v/>
      </c>
      <c r="T88" s="30" t="str">
        <f>IF($A88="","",IF(T$6="NÃO",0,IF($A88=0,DATEDIF(ESTRUTURA!$F$3,ESTRUTURA!$F$4,"m")*Tabela!$H$18,Tabela!$H$18)))</f>
        <v/>
      </c>
      <c r="U88" s="60" t="str">
        <f t="shared" si="18"/>
        <v/>
      </c>
      <c r="V88" s="30" t="str">
        <f>IF($A88="","",IF(V$6="NÃO",0,IF($A88=0,DATEDIF(ESTRUTURA!$F$3,ESTRUTURA!$F$4,"m")*Tabela!$H$20,Tabela!$H$20)))</f>
        <v/>
      </c>
      <c r="W88" s="60" t="str">
        <f t="shared" si="18"/>
        <v/>
      </c>
      <c r="X88" s="30" t="str">
        <f t="shared" si="18"/>
        <v/>
      </c>
      <c r="Y88" s="60" t="str">
        <f>IF($A88="","",IF(Y$6="NÃO",0,IF(A88=0,Tabela!$H$23,IF(Y$7="mensal",Tabela!$H$23,IF(AND(MONTH(ESTRUTURA!C88)=MONTH(ESTRUTURA!$F$3),A88&gt;0),Tabela!$H$23,0)))))</f>
        <v/>
      </c>
      <c r="Z88" s="30" t="str">
        <f t="shared" si="18"/>
        <v/>
      </c>
      <c r="AA88" s="60" t="str">
        <f>IF($A88="","",IF(AA$6="NÃO",0,Tabela!$H$25*nm_séries))</f>
        <v/>
      </c>
      <c r="AB88" s="30" t="str">
        <f t="shared" si="18"/>
        <v/>
      </c>
      <c r="AC88" s="60" t="str">
        <f>IF($A88="","",IF(AC$6="NÃO",0,IF(A88=0,Tabela!$H$27,IF(MOD(A88,3)=0,Tabela!$H$27,0))))</f>
        <v/>
      </c>
      <c r="AD88" s="30" t="str">
        <f t="shared" si="18"/>
        <v/>
      </c>
      <c r="AE88" s="60" t="str">
        <f t="shared" si="18"/>
        <v/>
      </c>
      <c r="AF88" s="30" t="str">
        <f>IF($A88="","",IF(AF$6="NÃO",0,IF(AND(MONTH(ESTRUTURA!C88)=MONTH(ESTRUTURA!$F$3),A88&gt;0),Tabela!$H$30,0)))</f>
        <v/>
      </c>
      <c r="AG88" s="60" t="str">
        <f t="shared" si="18"/>
        <v/>
      </c>
      <c r="AH88" s="30" t="str">
        <f t="shared" si="18"/>
        <v/>
      </c>
      <c r="AI88" s="60" t="str">
        <f>IF($A88="","",IF(AI$6="NÃO",0,IF($A88=0,DATEDIF(ESTRUTURA!$F$3,ESTRUTURA!$F$4,"m")*Tabela!$H$33,Tabela!$H$33)))</f>
        <v/>
      </c>
      <c r="AJ88" s="30" t="str">
        <f t="shared" si="13"/>
        <v/>
      </c>
    </row>
    <row r="89" spans="1:36" x14ac:dyDescent="0.2">
      <c r="A89" s="66" t="str">
        <f>ESTRUTURA!A89</f>
        <v/>
      </c>
      <c r="B89" s="58">
        <f t="shared" si="20"/>
        <v>0</v>
      </c>
      <c r="C89" s="60" t="str">
        <f t="shared" si="19"/>
        <v/>
      </c>
      <c r="D89" s="30" t="str">
        <f t="shared" si="19"/>
        <v/>
      </c>
      <c r="E89" s="60" t="str">
        <f t="shared" si="19"/>
        <v/>
      </c>
      <c r="F89" s="30" t="str">
        <f>IF($A89="","",IF(F$6="NÃO",0,Tabela!$H$34*ESTRUTURA!$I$4))</f>
        <v/>
      </c>
      <c r="G89" s="60" t="str">
        <f t="shared" si="19"/>
        <v/>
      </c>
      <c r="H89" s="30" t="str">
        <f>IF($A89="","",IF(H$6="NÃO",0,IF($A89=0,DATEDIF(ESTRUTURA!$F$3,ESTRUTURA!$F$4,"m")*Tabela!$H$6,Tabela!$H$6)))</f>
        <v/>
      </c>
      <c r="I89" s="60" t="str">
        <f t="shared" si="19"/>
        <v/>
      </c>
      <c r="J89" s="30" t="str">
        <f>IF($A89="","",IF(J$6="NÃO",0,IF($A89=0,DATEDIF(ESTRUTURA!$F$3,ESTRUTURA!$F$4,"m")*Tabela!$H$8,IF(J$6="NÃO",0,Tabela!$H$8))))</f>
        <v/>
      </c>
      <c r="K89" s="60" t="str">
        <f t="shared" si="19"/>
        <v/>
      </c>
      <c r="L89" s="30" t="str">
        <f t="shared" si="19"/>
        <v/>
      </c>
      <c r="M89" s="60" t="str">
        <f t="shared" si="19"/>
        <v/>
      </c>
      <c r="N89" s="30" t="str">
        <f t="shared" si="19"/>
        <v/>
      </c>
      <c r="O89" s="60" t="str">
        <f t="shared" si="19"/>
        <v/>
      </c>
      <c r="P89" s="30" t="str">
        <f t="shared" si="19"/>
        <v/>
      </c>
      <c r="Q89" s="60" t="str">
        <f t="shared" si="19"/>
        <v/>
      </c>
      <c r="R89" s="30" t="str">
        <f t="shared" si="19"/>
        <v/>
      </c>
      <c r="S89" s="60" t="str">
        <f>IF($A89="","",IF(S$6="NÃO",0,IF($A89=0,DATEDIF(ESTRUTURA!$F$3,ESTRUTURA!$F$4,"m")*Tabela!$H$17,Tabela!$H$17)))</f>
        <v/>
      </c>
      <c r="T89" s="30" t="str">
        <f>IF($A89="","",IF(T$6="NÃO",0,IF($A89=0,DATEDIF(ESTRUTURA!$F$3,ESTRUTURA!$F$4,"m")*Tabela!$H$18,Tabela!$H$18)))</f>
        <v/>
      </c>
      <c r="U89" s="60" t="str">
        <f t="shared" si="18"/>
        <v/>
      </c>
      <c r="V89" s="30" t="str">
        <f>IF($A89="","",IF(V$6="NÃO",0,IF($A89=0,DATEDIF(ESTRUTURA!$F$3,ESTRUTURA!$F$4,"m")*Tabela!$H$20,Tabela!$H$20)))</f>
        <v/>
      </c>
      <c r="W89" s="60" t="str">
        <f t="shared" si="18"/>
        <v/>
      </c>
      <c r="X89" s="30" t="str">
        <f t="shared" si="18"/>
        <v/>
      </c>
      <c r="Y89" s="60" t="str">
        <f>IF($A89="","",IF(Y$6="NÃO",0,IF(A89=0,Tabela!$H$23,IF(Y$7="mensal",Tabela!$H$23,IF(AND(MONTH(ESTRUTURA!C89)=MONTH(ESTRUTURA!$F$3),A89&gt;0),Tabela!$H$23,0)))))</f>
        <v/>
      </c>
      <c r="Z89" s="30" t="str">
        <f t="shared" si="18"/>
        <v/>
      </c>
      <c r="AA89" s="60" t="str">
        <f>IF($A89="","",IF(AA$6="NÃO",0,Tabela!$H$25*nm_séries))</f>
        <v/>
      </c>
      <c r="AB89" s="30" t="str">
        <f t="shared" si="18"/>
        <v/>
      </c>
      <c r="AC89" s="60" t="str">
        <f>IF($A89="","",IF(AC$6="NÃO",0,IF(A89=0,Tabela!$H$27,IF(MOD(A89,3)=0,Tabela!$H$27,0))))</f>
        <v/>
      </c>
      <c r="AD89" s="30" t="str">
        <f t="shared" si="18"/>
        <v/>
      </c>
      <c r="AE89" s="60" t="str">
        <f t="shared" si="18"/>
        <v/>
      </c>
      <c r="AF89" s="30" t="str">
        <f>IF($A89="","",IF(AF$6="NÃO",0,IF(AND(MONTH(ESTRUTURA!C89)=MONTH(ESTRUTURA!$F$3),A89&gt;0),Tabela!$H$30,0)))</f>
        <v/>
      </c>
      <c r="AG89" s="60" t="str">
        <f t="shared" si="18"/>
        <v/>
      </c>
      <c r="AH89" s="30" t="str">
        <f t="shared" si="18"/>
        <v/>
      </c>
      <c r="AI89" s="60" t="str">
        <f>IF($A89="","",IF(AI$6="NÃO",0,IF($A89=0,DATEDIF(ESTRUTURA!$F$3,ESTRUTURA!$F$4,"m")*Tabela!$H$33,Tabela!$H$33)))</f>
        <v/>
      </c>
      <c r="AJ89" s="30" t="str">
        <f t="shared" si="13"/>
        <v/>
      </c>
    </row>
    <row r="90" spans="1:36" x14ac:dyDescent="0.2">
      <c r="A90" s="66" t="str">
        <f>ESTRUTURA!A90</f>
        <v/>
      </c>
      <c r="B90" s="58">
        <f t="shared" si="20"/>
        <v>0</v>
      </c>
      <c r="C90" s="60" t="str">
        <f t="shared" si="19"/>
        <v/>
      </c>
      <c r="D90" s="30" t="str">
        <f t="shared" si="19"/>
        <v/>
      </c>
      <c r="E90" s="60" t="str">
        <f t="shared" si="19"/>
        <v/>
      </c>
      <c r="F90" s="30" t="str">
        <f>IF($A90="","",IF(F$6="NÃO",0,Tabela!$H$34*ESTRUTURA!$I$4))</f>
        <v/>
      </c>
      <c r="G90" s="60" t="str">
        <f t="shared" si="19"/>
        <v/>
      </c>
      <c r="H90" s="30" t="str">
        <f>IF($A90="","",IF(H$6="NÃO",0,IF($A90=0,DATEDIF(ESTRUTURA!$F$3,ESTRUTURA!$F$4,"m")*Tabela!$H$6,Tabela!$H$6)))</f>
        <v/>
      </c>
      <c r="I90" s="60" t="str">
        <f t="shared" si="19"/>
        <v/>
      </c>
      <c r="J90" s="30" t="str">
        <f>IF($A90="","",IF(J$6="NÃO",0,IF($A90=0,DATEDIF(ESTRUTURA!$F$3,ESTRUTURA!$F$4,"m")*Tabela!$H$8,IF(J$6="NÃO",0,Tabela!$H$8))))</f>
        <v/>
      </c>
      <c r="K90" s="60" t="str">
        <f t="shared" si="19"/>
        <v/>
      </c>
      <c r="L90" s="30" t="str">
        <f t="shared" si="19"/>
        <v/>
      </c>
      <c r="M90" s="60" t="str">
        <f t="shared" si="19"/>
        <v/>
      </c>
      <c r="N90" s="30" t="str">
        <f t="shared" si="19"/>
        <v/>
      </c>
      <c r="O90" s="60" t="str">
        <f t="shared" si="19"/>
        <v/>
      </c>
      <c r="P90" s="30" t="str">
        <f t="shared" ref="P90:P107" si="21">IF($A90="","",IF(P$6="NÃO",0,0))</f>
        <v/>
      </c>
      <c r="Q90" s="60" t="str">
        <f t="shared" si="19"/>
        <v/>
      </c>
      <c r="R90" s="30" t="str">
        <f t="shared" si="19"/>
        <v/>
      </c>
      <c r="S90" s="60" t="str">
        <f>IF($A90="","",IF(S$6="NÃO",0,IF($A90=0,DATEDIF(ESTRUTURA!$F$3,ESTRUTURA!$F$4,"m")*Tabela!$H$17,Tabela!$H$17)))</f>
        <v/>
      </c>
      <c r="T90" s="30" t="str">
        <f>IF($A90="","",IF(T$6="NÃO",0,IF($A90=0,DATEDIF(ESTRUTURA!$F$3,ESTRUTURA!$F$4,"m")*Tabela!$H$18,Tabela!$H$18)))</f>
        <v/>
      </c>
      <c r="U90" s="60" t="str">
        <f t="shared" si="18"/>
        <v/>
      </c>
      <c r="V90" s="30" t="str">
        <f>IF($A90="","",IF(V$6="NÃO",0,IF($A90=0,DATEDIF(ESTRUTURA!$F$3,ESTRUTURA!$F$4,"m")*Tabela!$H$20,Tabela!$H$20)))</f>
        <v/>
      </c>
      <c r="W90" s="60" t="str">
        <f t="shared" si="18"/>
        <v/>
      </c>
      <c r="X90" s="30" t="str">
        <f t="shared" si="18"/>
        <v/>
      </c>
      <c r="Y90" s="60" t="str">
        <f>IF($A90="","",IF(Y$6="NÃO",0,IF(A90=0,Tabela!$H$23,IF(Y$7="mensal",Tabela!$H$23,IF(AND(MONTH(ESTRUTURA!C90)=MONTH(ESTRUTURA!$F$3),A90&gt;0),Tabela!$H$23,0)))))</f>
        <v/>
      </c>
      <c r="Z90" s="30" t="str">
        <f t="shared" si="18"/>
        <v/>
      </c>
      <c r="AA90" s="60" t="str">
        <f>IF($A90="","",IF(AA$6="NÃO",0,Tabela!$H$25*nm_séries))</f>
        <v/>
      </c>
      <c r="AB90" s="30" t="str">
        <f t="shared" si="18"/>
        <v/>
      </c>
      <c r="AC90" s="60" t="str">
        <f>IF($A90="","",IF(AC$6="NÃO",0,IF(A90=0,Tabela!$H$27,IF(MOD(A90,3)=0,Tabela!$H$27,0))))</f>
        <v/>
      </c>
      <c r="AD90" s="30" t="str">
        <f t="shared" si="18"/>
        <v/>
      </c>
      <c r="AE90" s="60" t="str">
        <f t="shared" si="18"/>
        <v/>
      </c>
      <c r="AF90" s="30" t="str">
        <f>IF($A90="","",IF(AF$6="NÃO",0,IF(AND(MONTH(ESTRUTURA!C90)=MONTH(ESTRUTURA!$F$3),A90&gt;0),Tabela!$H$30,0)))</f>
        <v/>
      </c>
      <c r="AG90" s="60" t="str">
        <f t="shared" si="18"/>
        <v/>
      </c>
      <c r="AH90" s="30" t="str">
        <f t="shared" si="18"/>
        <v/>
      </c>
      <c r="AI90" s="60" t="str">
        <f>IF($A90="","",IF(AI$6="NÃO",0,IF($A90=0,DATEDIF(ESTRUTURA!$F$3,ESTRUTURA!$F$4,"m")*Tabela!$H$33,Tabela!$H$33)))</f>
        <v/>
      </c>
      <c r="AJ90" s="30" t="str">
        <f t="shared" si="13"/>
        <v/>
      </c>
    </row>
    <row r="91" spans="1:36" x14ac:dyDescent="0.2">
      <c r="A91" s="66" t="str">
        <f>ESTRUTURA!A91</f>
        <v/>
      </c>
      <c r="B91" s="58">
        <f t="shared" si="20"/>
        <v>0</v>
      </c>
      <c r="C91" s="60" t="str">
        <f t="shared" si="19"/>
        <v/>
      </c>
      <c r="D91" s="30" t="str">
        <f t="shared" si="19"/>
        <v/>
      </c>
      <c r="E91" s="60" t="str">
        <f t="shared" si="19"/>
        <v/>
      </c>
      <c r="F91" s="30" t="str">
        <f>IF($A91="","",IF(F$6="NÃO",0,Tabela!$H$34*ESTRUTURA!$I$4))</f>
        <v/>
      </c>
      <c r="G91" s="60" t="str">
        <f t="shared" si="19"/>
        <v/>
      </c>
      <c r="H91" s="30" t="str">
        <f>IF($A91="","",IF(H$6="NÃO",0,IF($A91=0,DATEDIF(ESTRUTURA!$F$3,ESTRUTURA!$F$4,"m")*Tabela!$H$6,Tabela!$H$6)))</f>
        <v/>
      </c>
      <c r="I91" s="60" t="str">
        <f t="shared" si="19"/>
        <v/>
      </c>
      <c r="J91" s="30" t="str">
        <f>IF($A91="","",IF(J$6="NÃO",0,IF($A91=0,DATEDIF(ESTRUTURA!$F$3,ESTRUTURA!$F$4,"m")*Tabela!$H$8,IF(J$6="NÃO",0,Tabela!$H$8))))</f>
        <v/>
      </c>
      <c r="K91" s="60" t="str">
        <f t="shared" si="19"/>
        <v/>
      </c>
      <c r="L91" s="30" t="str">
        <f t="shared" si="19"/>
        <v/>
      </c>
      <c r="M91" s="60" t="str">
        <f t="shared" si="19"/>
        <v/>
      </c>
      <c r="N91" s="30" t="str">
        <f t="shared" si="19"/>
        <v/>
      </c>
      <c r="O91" s="60" t="str">
        <f t="shared" si="19"/>
        <v/>
      </c>
      <c r="P91" s="30" t="str">
        <f t="shared" si="21"/>
        <v/>
      </c>
      <c r="Q91" s="60" t="str">
        <f t="shared" si="19"/>
        <v/>
      </c>
      <c r="R91" s="30" t="str">
        <f t="shared" si="19"/>
        <v/>
      </c>
      <c r="S91" s="60" t="str">
        <f>IF($A91="","",IF(S$6="NÃO",0,IF($A91=0,DATEDIF(ESTRUTURA!$F$3,ESTRUTURA!$F$4,"m")*Tabela!$H$17,Tabela!$H$17)))</f>
        <v/>
      </c>
      <c r="T91" s="30" t="str">
        <f>IF($A91="","",IF(T$6="NÃO",0,IF($A91=0,DATEDIF(ESTRUTURA!$F$3,ESTRUTURA!$F$4,"m")*Tabela!$H$18,Tabela!$H$18)))</f>
        <v/>
      </c>
      <c r="U91" s="60" t="str">
        <f t="shared" ref="U91:AH106" si="22">IF($A91="","",IF(U$6="NÃO",0,0))</f>
        <v/>
      </c>
      <c r="V91" s="30" t="str">
        <f>IF($A91="","",IF(V$6="NÃO",0,IF($A91=0,DATEDIF(ESTRUTURA!$F$3,ESTRUTURA!$F$4,"m")*Tabela!$H$20,Tabela!$H$20)))</f>
        <v/>
      </c>
      <c r="W91" s="60" t="str">
        <f t="shared" si="22"/>
        <v/>
      </c>
      <c r="X91" s="30" t="str">
        <f t="shared" si="22"/>
        <v/>
      </c>
      <c r="Y91" s="60" t="str">
        <f>IF($A91="","",IF(Y$6="NÃO",0,IF(A91=0,Tabela!$H$23,IF(Y$7="mensal",Tabela!$H$23,IF(AND(MONTH(ESTRUTURA!C91)=MONTH(ESTRUTURA!$F$3),A91&gt;0),Tabela!$H$23,0)))))</f>
        <v/>
      </c>
      <c r="Z91" s="30" t="str">
        <f t="shared" si="22"/>
        <v/>
      </c>
      <c r="AA91" s="60" t="str">
        <f>IF($A91="","",IF(AA$6="NÃO",0,Tabela!$H$25*nm_séries))</f>
        <v/>
      </c>
      <c r="AB91" s="30" t="str">
        <f t="shared" si="22"/>
        <v/>
      </c>
      <c r="AC91" s="60" t="str">
        <f>IF($A91="","",IF(AC$6="NÃO",0,IF(A91=0,Tabela!$H$27,IF(MOD(A91,3)=0,Tabela!$H$27,0))))</f>
        <v/>
      </c>
      <c r="AD91" s="30" t="str">
        <f t="shared" si="22"/>
        <v/>
      </c>
      <c r="AE91" s="60" t="str">
        <f t="shared" si="22"/>
        <v/>
      </c>
      <c r="AF91" s="30" t="str">
        <f>IF($A91="","",IF(AF$6="NÃO",0,IF(AND(MONTH(ESTRUTURA!C91)=MONTH(ESTRUTURA!$F$3),A91&gt;0),Tabela!$H$30,0)))</f>
        <v/>
      </c>
      <c r="AG91" s="60" t="str">
        <f t="shared" si="22"/>
        <v/>
      </c>
      <c r="AH91" s="30" t="str">
        <f t="shared" si="22"/>
        <v/>
      </c>
      <c r="AI91" s="60" t="str">
        <f>IF($A91="","",IF(AI$6="NÃO",0,IF($A91=0,DATEDIF(ESTRUTURA!$F$3,ESTRUTURA!$F$4,"m")*Tabela!$H$33,Tabela!$H$33)))</f>
        <v/>
      </c>
      <c r="AJ91" s="30" t="str">
        <f t="shared" si="13"/>
        <v/>
      </c>
    </row>
    <row r="92" spans="1:36" x14ac:dyDescent="0.2">
      <c r="A92" s="66" t="str">
        <f>ESTRUTURA!A92</f>
        <v/>
      </c>
      <c r="B92" s="58">
        <f t="shared" si="20"/>
        <v>0</v>
      </c>
      <c r="C92" s="60" t="str">
        <f t="shared" ref="C92:R107" si="23">IF($A92="","",IF(C$6="NÃO",0,0))</f>
        <v/>
      </c>
      <c r="D92" s="30" t="str">
        <f t="shared" si="23"/>
        <v/>
      </c>
      <c r="E92" s="60" t="str">
        <f t="shared" si="23"/>
        <v/>
      </c>
      <c r="F92" s="30" t="str">
        <f>IF($A92="","",IF(F$6="NÃO",0,Tabela!$H$34*ESTRUTURA!$I$4))</f>
        <v/>
      </c>
      <c r="G92" s="60" t="str">
        <f t="shared" si="23"/>
        <v/>
      </c>
      <c r="H92" s="30" t="str">
        <f>IF($A92="","",IF(H$6="NÃO",0,IF($A92=0,DATEDIF(ESTRUTURA!$F$3,ESTRUTURA!$F$4,"m")*Tabela!$H$6,Tabela!$H$6)))</f>
        <v/>
      </c>
      <c r="I92" s="60" t="str">
        <f t="shared" si="23"/>
        <v/>
      </c>
      <c r="J92" s="30" t="str">
        <f>IF($A92="","",IF(J$6="NÃO",0,IF($A92=0,DATEDIF(ESTRUTURA!$F$3,ESTRUTURA!$F$4,"m")*Tabela!$H$8,IF(J$6="NÃO",0,Tabela!$H$8))))</f>
        <v/>
      </c>
      <c r="K92" s="60" t="str">
        <f t="shared" si="23"/>
        <v/>
      </c>
      <c r="L92" s="30" t="str">
        <f t="shared" si="23"/>
        <v/>
      </c>
      <c r="M92" s="60" t="str">
        <f t="shared" si="23"/>
        <v/>
      </c>
      <c r="N92" s="30" t="str">
        <f t="shared" si="23"/>
        <v/>
      </c>
      <c r="O92" s="60" t="str">
        <f t="shared" si="23"/>
        <v/>
      </c>
      <c r="P92" s="30" t="str">
        <f t="shared" si="21"/>
        <v/>
      </c>
      <c r="Q92" s="60" t="str">
        <f t="shared" si="23"/>
        <v/>
      </c>
      <c r="R92" s="30" t="str">
        <f t="shared" si="23"/>
        <v/>
      </c>
      <c r="S92" s="60" t="str">
        <f>IF($A92="","",IF(S$6="NÃO",0,IF($A92=0,DATEDIF(ESTRUTURA!$F$3,ESTRUTURA!$F$4,"m")*Tabela!$H$17,Tabela!$H$17)))</f>
        <v/>
      </c>
      <c r="T92" s="30" t="str">
        <f>IF($A92="","",IF(T$6="NÃO",0,IF($A92=0,DATEDIF(ESTRUTURA!$F$3,ESTRUTURA!$F$4,"m")*Tabela!$H$18,Tabela!$H$18)))</f>
        <v/>
      </c>
      <c r="U92" s="60" t="str">
        <f t="shared" si="22"/>
        <v/>
      </c>
      <c r="V92" s="30" t="str">
        <f>IF($A92="","",IF(V$6="NÃO",0,IF($A92=0,DATEDIF(ESTRUTURA!$F$3,ESTRUTURA!$F$4,"m")*Tabela!$H$20,Tabela!$H$20)))</f>
        <v/>
      </c>
      <c r="W92" s="60" t="str">
        <f t="shared" si="22"/>
        <v/>
      </c>
      <c r="X92" s="30" t="str">
        <f t="shared" si="22"/>
        <v/>
      </c>
      <c r="Y92" s="60" t="str">
        <f>IF($A92="","",IF(Y$6="NÃO",0,IF(A92=0,Tabela!$H$23,IF(Y$7="mensal",Tabela!$H$23,IF(AND(MONTH(ESTRUTURA!C92)=MONTH(ESTRUTURA!$F$3),A92&gt;0),Tabela!$H$23,0)))))</f>
        <v/>
      </c>
      <c r="Z92" s="30" t="str">
        <f t="shared" si="22"/>
        <v/>
      </c>
      <c r="AA92" s="60" t="str">
        <f>IF($A92="","",IF(AA$6="NÃO",0,Tabela!$H$25*nm_séries))</f>
        <v/>
      </c>
      <c r="AB92" s="30" t="str">
        <f t="shared" si="22"/>
        <v/>
      </c>
      <c r="AC92" s="60" t="str">
        <f>IF($A92="","",IF(AC$6="NÃO",0,IF(A92=0,Tabela!$H$27,IF(MOD(A92,3)=0,Tabela!$H$27,0))))</f>
        <v/>
      </c>
      <c r="AD92" s="30" t="str">
        <f t="shared" si="22"/>
        <v/>
      </c>
      <c r="AE92" s="60" t="str">
        <f t="shared" si="22"/>
        <v/>
      </c>
      <c r="AF92" s="30" t="str">
        <f>IF($A92="","",IF(AF$6="NÃO",0,IF(AND(MONTH(ESTRUTURA!C92)=MONTH(ESTRUTURA!$F$3),A92&gt;0),Tabela!$H$30,0)))</f>
        <v/>
      </c>
      <c r="AG92" s="60" t="str">
        <f t="shared" si="22"/>
        <v/>
      </c>
      <c r="AH92" s="30" t="str">
        <f t="shared" si="22"/>
        <v/>
      </c>
      <c r="AI92" s="60" t="str">
        <f>IF($A92="","",IF(AI$6="NÃO",0,IF($A92=0,DATEDIF(ESTRUTURA!$F$3,ESTRUTURA!$F$4,"m")*Tabela!$H$33,Tabela!$H$33)))</f>
        <v/>
      </c>
      <c r="AJ92" s="30" t="str">
        <f t="shared" si="13"/>
        <v/>
      </c>
    </row>
    <row r="93" spans="1:36" x14ac:dyDescent="0.2">
      <c r="A93" s="66" t="str">
        <f>ESTRUTURA!A93</f>
        <v/>
      </c>
      <c r="B93" s="58">
        <f t="shared" si="20"/>
        <v>0</v>
      </c>
      <c r="C93" s="60" t="str">
        <f t="shared" si="23"/>
        <v/>
      </c>
      <c r="D93" s="30" t="str">
        <f t="shared" si="23"/>
        <v/>
      </c>
      <c r="E93" s="60" t="str">
        <f t="shared" si="23"/>
        <v/>
      </c>
      <c r="F93" s="30" t="str">
        <f>IF($A93="","",IF(F$6="NÃO",0,Tabela!$H$34*ESTRUTURA!$I$4))</f>
        <v/>
      </c>
      <c r="G93" s="60" t="str">
        <f t="shared" si="23"/>
        <v/>
      </c>
      <c r="H93" s="30" t="str">
        <f>IF($A93="","",IF(H$6="NÃO",0,IF($A93=0,DATEDIF(ESTRUTURA!$F$3,ESTRUTURA!$F$4,"m")*Tabela!$H$6,Tabela!$H$6)))</f>
        <v/>
      </c>
      <c r="I93" s="60" t="str">
        <f t="shared" si="23"/>
        <v/>
      </c>
      <c r="J93" s="30" t="str">
        <f>IF($A93="","",IF(J$6="NÃO",0,IF($A93=0,DATEDIF(ESTRUTURA!$F$3,ESTRUTURA!$F$4,"m")*Tabela!$H$8,IF(J$6="NÃO",0,Tabela!$H$8))))</f>
        <v/>
      </c>
      <c r="K93" s="60" t="str">
        <f t="shared" si="23"/>
        <v/>
      </c>
      <c r="L93" s="30" t="str">
        <f t="shared" si="23"/>
        <v/>
      </c>
      <c r="M93" s="60" t="str">
        <f t="shared" si="23"/>
        <v/>
      </c>
      <c r="N93" s="30" t="str">
        <f t="shared" si="23"/>
        <v/>
      </c>
      <c r="O93" s="60" t="str">
        <f t="shared" si="23"/>
        <v/>
      </c>
      <c r="P93" s="30" t="str">
        <f t="shared" si="21"/>
        <v/>
      </c>
      <c r="Q93" s="60" t="str">
        <f t="shared" si="23"/>
        <v/>
      </c>
      <c r="R93" s="30" t="str">
        <f t="shared" si="23"/>
        <v/>
      </c>
      <c r="S93" s="60" t="str">
        <f>IF($A93="","",IF(S$6="NÃO",0,IF($A93=0,DATEDIF(ESTRUTURA!$F$3,ESTRUTURA!$F$4,"m")*Tabela!$H$17,Tabela!$H$17)))</f>
        <v/>
      </c>
      <c r="T93" s="30" t="str">
        <f>IF($A93="","",IF(T$6="NÃO",0,IF($A93=0,DATEDIF(ESTRUTURA!$F$3,ESTRUTURA!$F$4,"m")*Tabela!$H$18,Tabela!$H$18)))</f>
        <v/>
      </c>
      <c r="U93" s="60" t="str">
        <f t="shared" si="22"/>
        <v/>
      </c>
      <c r="V93" s="30" t="str">
        <f>IF($A93="","",IF(V$6="NÃO",0,IF($A93=0,DATEDIF(ESTRUTURA!$F$3,ESTRUTURA!$F$4,"m")*Tabela!$H$20,Tabela!$H$20)))</f>
        <v/>
      </c>
      <c r="W93" s="60" t="str">
        <f t="shared" si="22"/>
        <v/>
      </c>
      <c r="X93" s="30" t="str">
        <f t="shared" si="22"/>
        <v/>
      </c>
      <c r="Y93" s="60" t="str">
        <f>IF($A93="","",IF(Y$6="NÃO",0,IF(A93=0,Tabela!$H$23,IF(Y$7="mensal",Tabela!$H$23,IF(AND(MONTH(ESTRUTURA!C93)=MONTH(ESTRUTURA!$F$3),A93&gt;0),Tabela!$H$23,0)))))</f>
        <v/>
      </c>
      <c r="Z93" s="30" t="str">
        <f t="shared" si="22"/>
        <v/>
      </c>
      <c r="AA93" s="60" t="str">
        <f>IF($A93="","",IF(AA$6="NÃO",0,Tabela!$H$25*nm_séries))</f>
        <v/>
      </c>
      <c r="AB93" s="30" t="str">
        <f t="shared" si="22"/>
        <v/>
      </c>
      <c r="AC93" s="60" t="str">
        <f>IF($A93="","",IF(AC$6="NÃO",0,IF(A93=0,Tabela!$H$27,IF(MOD(A93,3)=0,Tabela!$H$27,0))))</f>
        <v/>
      </c>
      <c r="AD93" s="30" t="str">
        <f t="shared" si="22"/>
        <v/>
      </c>
      <c r="AE93" s="60" t="str">
        <f t="shared" si="22"/>
        <v/>
      </c>
      <c r="AF93" s="30" t="str">
        <f>IF($A93="","",IF(AF$6="NÃO",0,IF(AND(MONTH(ESTRUTURA!C93)=MONTH(ESTRUTURA!$F$3),A93&gt;0),Tabela!$H$30,0)))</f>
        <v/>
      </c>
      <c r="AG93" s="60" t="str">
        <f t="shared" si="22"/>
        <v/>
      </c>
      <c r="AH93" s="30" t="str">
        <f t="shared" si="22"/>
        <v/>
      </c>
      <c r="AI93" s="60" t="str">
        <f>IF($A93="","",IF(AI$6="NÃO",0,IF($A93=0,DATEDIF(ESTRUTURA!$F$3,ESTRUTURA!$F$4,"m")*Tabela!$H$33,Tabela!$H$33)))</f>
        <v/>
      </c>
      <c r="AJ93" s="30" t="str">
        <f t="shared" si="13"/>
        <v/>
      </c>
    </row>
    <row r="94" spans="1:36" x14ac:dyDescent="0.2">
      <c r="A94" s="66" t="str">
        <f>ESTRUTURA!A94</f>
        <v/>
      </c>
      <c r="B94" s="58">
        <f t="shared" si="20"/>
        <v>0</v>
      </c>
      <c r="C94" s="60" t="str">
        <f t="shared" si="23"/>
        <v/>
      </c>
      <c r="D94" s="30" t="str">
        <f t="shared" si="23"/>
        <v/>
      </c>
      <c r="E94" s="60" t="str">
        <f t="shared" si="23"/>
        <v/>
      </c>
      <c r="F94" s="30" t="str">
        <f>IF($A94="","",IF(F$6="NÃO",0,Tabela!$H$34*ESTRUTURA!$I$4))</f>
        <v/>
      </c>
      <c r="G94" s="60" t="str">
        <f t="shared" si="23"/>
        <v/>
      </c>
      <c r="H94" s="30" t="str">
        <f>IF($A94="","",IF(H$6="NÃO",0,IF($A94=0,DATEDIF(ESTRUTURA!$F$3,ESTRUTURA!$F$4,"m")*Tabela!$H$6,Tabela!$H$6)))</f>
        <v/>
      </c>
      <c r="I94" s="60" t="str">
        <f t="shared" si="23"/>
        <v/>
      </c>
      <c r="J94" s="30" t="str">
        <f>IF($A94="","",IF(J$6="NÃO",0,IF($A94=0,DATEDIF(ESTRUTURA!$F$3,ESTRUTURA!$F$4,"m")*Tabela!$H$8,IF(J$6="NÃO",0,Tabela!$H$8))))</f>
        <v/>
      </c>
      <c r="K94" s="60" t="str">
        <f t="shared" si="23"/>
        <v/>
      </c>
      <c r="L94" s="30" t="str">
        <f t="shared" si="23"/>
        <v/>
      </c>
      <c r="M94" s="60" t="str">
        <f t="shared" si="23"/>
        <v/>
      </c>
      <c r="N94" s="30" t="str">
        <f t="shared" si="23"/>
        <v/>
      </c>
      <c r="O94" s="60" t="str">
        <f t="shared" si="23"/>
        <v/>
      </c>
      <c r="P94" s="30" t="str">
        <f t="shared" si="21"/>
        <v/>
      </c>
      <c r="Q94" s="60" t="str">
        <f t="shared" si="23"/>
        <v/>
      </c>
      <c r="R94" s="30" t="str">
        <f t="shared" si="23"/>
        <v/>
      </c>
      <c r="S94" s="60" t="str">
        <f>IF($A94="","",IF(S$6="NÃO",0,IF($A94=0,DATEDIF(ESTRUTURA!$F$3,ESTRUTURA!$F$4,"m")*Tabela!$H$17,Tabela!$H$17)))</f>
        <v/>
      </c>
      <c r="T94" s="30" t="str">
        <f>IF($A94="","",IF(T$6="NÃO",0,IF($A94=0,DATEDIF(ESTRUTURA!$F$3,ESTRUTURA!$F$4,"m")*Tabela!$H$18,Tabela!$H$18)))</f>
        <v/>
      </c>
      <c r="U94" s="60" t="str">
        <f t="shared" si="22"/>
        <v/>
      </c>
      <c r="V94" s="30" t="str">
        <f>IF($A94="","",IF(V$6="NÃO",0,IF($A94=0,DATEDIF(ESTRUTURA!$F$3,ESTRUTURA!$F$4,"m")*Tabela!$H$20,Tabela!$H$20)))</f>
        <v/>
      </c>
      <c r="W94" s="60" t="str">
        <f t="shared" si="22"/>
        <v/>
      </c>
      <c r="X94" s="30" t="str">
        <f t="shared" si="22"/>
        <v/>
      </c>
      <c r="Y94" s="60" t="str">
        <f>IF($A94="","",IF(Y$6="NÃO",0,IF(A94=0,Tabela!$H$23,IF(Y$7="mensal",Tabela!$H$23,IF(AND(MONTH(ESTRUTURA!C94)=MONTH(ESTRUTURA!$F$3),A94&gt;0),Tabela!$H$23,0)))))</f>
        <v/>
      </c>
      <c r="Z94" s="30" t="str">
        <f t="shared" si="22"/>
        <v/>
      </c>
      <c r="AA94" s="60" t="str">
        <f>IF($A94="","",IF(AA$6="NÃO",0,Tabela!$H$25*nm_séries))</f>
        <v/>
      </c>
      <c r="AB94" s="30" t="str">
        <f t="shared" si="22"/>
        <v/>
      </c>
      <c r="AC94" s="60" t="str">
        <f>IF($A94="","",IF(AC$6="NÃO",0,IF(A94=0,Tabela!$H$27,IF(MOD(A94,3)=0,Tabela!$H$27,0))))</f>
        <v/>
      </c>
      <c r="AD94" s="30" t="str">
        <f t="shared" si="22"/>
        <v/>
      </c>
      <c r="AE94" s="60" t="str">
        <f t="shared" si="22"/>
        <v/>
      </c>
      <c r="AF94" s="30" t="str">
        <f>IF($A94="","",IF(AF$6="NÃO",0,IF(AND(MONTH(ESTRUTURA!C94)=MONTH(ESTRUTURA!$F$3),A94&gt;0),Tabela!$H$30,0)))</f>
        <v/>
      </c>
      <c r="AG94" s="60" t="str">
        <f t="shared" si="22"/>
        <v/>
      </c>
      <c r="AH94" s="30" t="str">
        <f t="shared" si="22"/>
        <v/>
      </c>
      <c r="AI94" s="60" t="str">
        <f>IF($A94="","",IF(AI$6="NÃO",0,IF($A94=0,DATEDIF(ESTRUTURA!$F$3,ESTRUTURA!$F$4,"m")*Tabela!$H$33,Tabela!$H$33)))</f>
        <v/>
      </c>
      <c r="AJ94" s="30" t="str">
        <f t="shared" si="13"/>
        <v/>
      </c>
    </row>
    <row r="95" spans="1:36" x14ac:dyDescent="0.2">
      <c r="A95" s="66" t="str">
        <f>ESTRUTURA!A95</f>
        <v/>
      </c>
      <c r="B95" s="58">
        <f t="shared" si="20"/>
        <v>0</v>
      </c>
      <c r="C95" s="60" t="str">
        <f t="shared" si="23"/>
        <v/>
      </c>
      <c r="D95" s="30" t="str">
        <f t="shared" si="23"/>
        <v/>
      </c>
      <c r="E95" s="60" t="str">
        <f t="shared" si="23"/>
        <v/>
      </c>
      <c r="F95" s="30" t="str">
        <f>IF($A95="","",IF(F$6="NÃO",0,Tabela!$H$34*ESTRUTURA!$I$4))</f>
        <v/>
      </c>
      <c r="G95" s="60" t="str">
        <f t="shared" si="23"/>
        <v/>
      </c>
      <c r="H95" s="30" t="str">
        <f>IF($A95="","",IF(H$6="NÃO",0,IF($A95=0,DATEDIF(ESTRUTURA!$F$3,ESTRUTURA!$F$4,"m")*Tabela!$H$6,Tabela!$H$6)))</f>
        <v/>
      </c>
      <c r="I95" s="60" t="str">
        <f t="shared" si="23"/>
        <v/>
      </c>
      <c r="J95" s="30" t="str">
        <f>IF($A95="","",IF(J$6="NÃO",0,IF($A95=0,DATEDIF(ESTRUTURA!$F$3,ESTRUTURA!$F$4,"m")*Tabela!$H$8,IF(J$6="NÃO",0,Tabela!$H$8))))</f>
        <v/>
      </c>
      <c r="K95" s="60" t="str">
        <f t="shared" si="23"/>
        <v/>
      </c>
      <c r="L95" s="30" t="str">
        <f t="shared" si="23"/>
        <v/>
      </c>
      <c r="M95" s="60" t="str">
        <f t="shared" si="23"/>
        <v/>
      </c>
      <c r="N95" s="30" t="str">
        <f t="shared" si="23"/>
        <v/>
      </c>
      <c r="O95" s="60" t="str">
        <f t="shared" si="23"/>
        <v/>
      </c>
      <c r="P95" s="30" t="str">
        <f t="shared" si="21"/>
        <v/>
      </c>
      <c r="Q95" s="60" t="str">
        <f t="shared" si="23"/>
        <v/>
      </c>
      <c r="R95" s="30" t="str">
        <f t="shared" si="23"/>
        <v/>
      </c>
      <c r="S95" s="60" t="str">
        <f>IF($A95="","",IF(S$6="NÃO",0,IF($A95=0,DATEDIF(ESTRUTURA!$F$3,ESTRUTURA!$F$4,"m")*Tabela!$H$17,Tabela!$H$17)))</f>
        <v/>
      </c>
      <c r="T95" s="30" t="str">
        <f>IF($A95="","",IF(T$6="NÃO",0,IF($A95=0,DATEDIF(ESTRUTURA!$F$3,ESTRUTURA!$F$4,"m")*Tabela!$H$18,Tabela!$H$18)))</f>
        <v/>
      </c>
      <c r="U95" s="60" t="str">
        <f t="shared" si="22"/>
        <v/>
      </c>
      <c r="V95" s="30" t="str">
        <f>IF($A95="","",IF(V$6="NÃO",0,IF($A95=0,DATEDIF(ESTRUTURA!$F$3,ESTRUTURA!$F$4,"m")*Tabela!$H$20,Tabela!$H$20)))</f>
        <v/>
      </c>
      <c r="W95" s="60" t="str">
        <f t="shared" si="22"/>
        <v/>
      </c>
      <c r="X95" s="30" t="str">
        <f t="shared" si="22"/>
        <v/>
      </c>
      <c r="Y95" s="60" t="str">
        <f>IF($A95="","",IF(Y$6="NÃO",0,IF(A95=0,Tabela!$H$23,IF(Y$7="mensal",Tabela!$H$23,IF(AND(MONTH(ESTRUTURA!C95)=MONTH(ESTRUTURA!$F$3),A95&gt;0),Tabela!$H$23,0)))))</f>
        <v/>
      </c>
      <c r="Z95" s="30" t="str">
        <f t="shared" si="22"/>
        <v/>
      </c>
      <c r="AA95" s="60" t="str">
        <f>IF($A95="","",IF(AA$6="NÃO",0,Tabela!$H$25*nm_séries))</f>
        <v/>
      </c>
      <c r="AB95" s="30" t="str">
        <f t="shared" si="22"/>
        <v/>
      </c>
      <c r="AC95" s="60" t="str">
        <f>IF($A95="","",IF(AC$6="NÃO",0,IF(A95=0,Tabela!$H$27,IF(MOD(A95,3)=0,Tabela!$H$27,0))))</f>
        <v/>
      </c>
      <c r="AD95" s="30" t="str">
        <f t="shared" si="22"/>
        <v/>
      </c>
      <c r="AE95" s="60" t="str">
        <f t="shared" si="22"/>
        <v/>
      </c>
      <c r="AF95" s="30" t="str">
        <f>IF($A95="","",IF(AF$6="NÃO",0,IF(AND(MONTH(ESTRUTURA!C95)=MONTH(ESTRUTURA!$F$3),A95&gt;0),Tabela!$H$30,0)))</f>
        <v/>
      </c>
      <c r="AG95" s="60" t="str">
        <f t="shared" si="22"/>
        <v/>
      </c>
      <c r="AH95" s="30" t="str">
        <f t="shared" si="22"/>
        <v/>
      </c>
      <c r="AI95" s="60" t="str">
        <f>IF($A95="","",IF(AI$6="NÃO",0,IF($A95=0,DATEDIF(ESTRUTURA!$F$3,ESTRUTURA!$F$4,"m")*Tabela!$H$33,Tabela!$H$33)))</f>
        <v/>
      </c>
      <c r="AJ95" s="30" t="str">
        <f t="shared" si="13"/>
        <v/>
      </c>
    </row>
    <row r="96" spans="1:36" x14ac:dyDescent="0.2">
      <c r="A96" s="66" t="str">
        <f>ESTRUTURA!A96</f>
        <v/>
      </c>
      <c r="B96" s="58">
        <f t="shared" si="20"/>
        <v>0</v>
      </c>
      <c r="C96" s="60" t="str">
        <f t="shared" si="23"/>
        <v/>
      </c>
      <c r="D96" s="30" t="str">
        <f t="shared" si="23"/>
        <v/>
      </c>
      <c r="E96" s="60" t="str">
        <f t="shared" si="23"/>
        <v/>
      </c>
      <c r="F96" s="30" t="str">
        <f>IF($A96="","",IF(F$6="NÃO",0,Tabela!$H$34*ESTRUTURA!$I$4))</f>
        <v/>
      </c>
      <c r="G96" s="60" t="str">
        <f t="shared" si="23"/>
        <v/>
      </c>
      <c r="H96" s="30" t="str">
        <f>IF($A96="","",IF(H$6="NÃO",0,IF($A96=0,DATEDIF(ESTRUTURA!$F$3,ESTRUTURA!$F$4,"m")*Tabela!$H$6,Tabela!$H$6)))</f>
        <v/>
      </c>
      <c r="I96" s="60" t="str">
        <f t="shared" si="23"/>
        <v/>
      </c>
      <c r="J96" s="30" t="str">
        <f>IF($A96="","",IF(J$6="NÃO",0,IF($A96=0,DATEDIF(ESTRUTURA!$F$3,ESTRUTURA!$F$4,"m")*Tabela!$H$8,IF(J$6="NÃO",0,Tabela!$H$8))))</f>
        <v/>
      </c>
      <c r="K96" s="60" t="str">
        <f t="shared" si="23"/>
        <v/>
      </c>
      <c r="L96" s="30" t="str">
        <f t="shared" si="23"/>
        <v/>
      </c>
      <c r="M96" s="60" t="str">
        <f t="shared" si="23"/>
        <v/>
      </c>
      <c r="N96" s="30" t="str">
        <f t="shared" si="23"/>
        <v/>
      </c>
      <c r="O96" s="60" t="str">
        <f t="shared" si="23"/>
        <v/>
      </c>
      <c r="P96" s="30" t="str">
        <f t="shared" si="21"/>
        <v/>
      </c>
      <c r="Q96" s="60" t="str">
        <f t="shared" si="23"/>
        <v/>
      </c>
      <c r="R96" s="30" t="str">
        <f t="shared" si="23"/>
        <v/>
      </c>
      <c r="S96" s="60" t="str">
        <f>IF($A96="","",IF(S$6="NÃO",0,IF($A96=0,DATEDIF(ESTRUTURA!$F$3,ESTRUTURA!$F$4,"m")*Tabela!$H$17,Tabela!$H$17)))</f>
        <v/>
      </c>
      <c r="T96" s="30" t="str">
        <f>IF($A96="","",IF(T$6="NÃO",0,IF($A96=0,DATEDIF(ESTRUTURA!$F$3,ESTRUTURA!$F$4,"m")*Tabela!$H$18,Tabela!$H$18)))</f>
        <v/>
      </c>
      <c r="U96" s="60" t="str">
        <f t="shared" si="22"/>
        <v/>
      </c>
      <c r="V96" s="30" t="str">
        <f>IF($A96="","",IF(V$6="NÃO",0,IF($A96=0,DATEDIF(ESTRUTURA!$F$3,ESTRUTURA!$F$4,"m")*Tabela!$H$20,Tabela!$H$20)))</f>
        <v/>
      </c>
      <c r="W96" s="60" t="str">
        <f t="shared" si="22"/>
        <v/>
      </c>
      <c r="X96" s="30" t="str">
        <f t="shared" si="22"/>
        <v/>
      </c>
      <c r="Y96" s="60" t="str">
        <f>IF($A96="","",IF(Y$6="NÃO",0,IF(A96=0,Tabela!$H$23,IF(Y$7="mensal",Tabela!$H$23,IF(AND(MONTH(ESTRUTURA!C96)=MONTH(ESTRUTURA!$F$3),A96&gt;0),Tabela!$H$23,0)))))</f>
        <v/>
      </c>
      <c r="Z96" s="30" t="str">
        <f t="shared" si="22"/>
        <v/>
      </c>
      <c r="AA96" s="60" t="str">
        <f>IF($A96="","",IF(AA$6="NÃO",0,Tabela!$H$25*nm_séries))</f>
        <v/>
      </c>
      <c r="AB96" s="30" t="str">
        <f t="shared" si="22"/>
        <v/>
      </c>
      <c r="AC96" s="60" t="str">
        <f>IF($A96="","",IF(AC$6="NÃO",0,IF(A96=0,Tabela!$H$27,IF(MOD(A96,3)=0,Tabela!$H$27,0))))</f>
        <v/>
      </c>
      <c r="AD96" s="30" t="str">
        <f t="shared" si="22"/>
        <v/>
      </c>
      <c r="AE96" s="60" t="str">
        <f t="shared" si="22"/>
        <v/>
      </c>
      <c r="AF96" s="30" t="str">
        <f>IF($A96="","",IF(AF$6="NÃO",0,IF(AND(MONTH(ESTRUTURA!C96)=MONTH(ESTRUTURA!$F$3),A96&gt;0),Tabela!$H$30,0)))</f>
        <v/>
      </c>
      <c r="AG96" s="60" t="str">
        <f t="shared" si="22"/>
        <v/>
      </c>
      <c r="AH96" s="30" t="str">
        <f t="shared" si="22"/>
        <v/>
      </c>
      <c r="AI96" s="60" t="str">
        <f>IF($A96="","",IF(AI$6="NÃO",0,IF($A96=0,DATEDIF(ESTRUTURA!$F$3,ESTRUTURA!$F$4,"m")*Tabela!$H$33,Tabela!$H$33)))</f>
        <v/>
      </c>
      <c r="AJ96" s="30" t="str">
        <f t="shared" si="13"/>
        <v/>
      </c>
    </row>
    <row r="97" spans="1:36" x14ac:dyDescent="0.2">
      <c r="A97" s="66" t="str">
        <f>ESTRUTURA!A97</f>
        <v/>
      </c>
      <c r="B97" s="58">
        <f t="shared" si="20"/>
        <v>0</v>
      </c>
      <c r="C97" s="60" t="str">
        <f t="shared" si="23"/>
        <v/>
      </c>
      <c r="D97" s="30" t="str">
        <f t="shared" si="23"/>
        <v/>
      </c>
      <c r="E97" s="60" t="str">
        <f t="shared" si="23"/>
        <v/>
      </c>
      <c r="F97" s="30" t="str">
        <f>IF($A97="","",IF(F$6="NÃO",0,Tabela!$H$34*ESTRUTURA!$I$4))</f>
        <v/>
      </c>
      <c r="G97" s="60" t="str">
        <f t="shared" si="23"/>
        <v/>
      </c>
      <c r="H97" s="30" t="str">
        <f>IF($A97="","",IF(H$6="NÃO",0,IF($A97=0,DATEDIF(ESTRUTURA!$F$3,ESTRUTURA!$F$4,"m")*Tabela!$H$6,Tabela!$H$6)))</f>
        <v/>
      </c>
      <c r="I97" s="60" t="str">
        <f t="shared" si="23"/>
        <v/>
      </c>
      <c r="J97" s="30" t="str">
        <f>IF($A97="","",IF(J$6="NÃO",0,IF($A97=0,DATEDIF(ESTRUTURA!$F$3,ESTRUTURA!$F$4,"m")*Tabela!$H$8,IF(J$6="NÃO",0,Tabela!$H$8))))</f>
        <v/>
      </c>
      <c r="K97" s="60" t="str">
        <f t="shared" si="23"/>
        <v/>
      </c>
      <c r="L97" s="30" t="str">
        <f t="shared" si="23"/>
        <v/>
      </c>
      <c r="M97" s="60" t="str">
        <f t="shared" si="23"/>
        <v/>
      </c>
      <c r="N97" s="30" t="str">
        <f t="shared" si="23"/>
        <v/>
      </c>
      <c r="O97" s="60" t="str">
        <f t="shared" si="23"/>
        <v/>
      </c>
      <c r="P97" s="30" t="str">
        <f t="shared" si="21"/>
        <v/>
      </c>
      <c r="Q97" s="60" t="str">
        <f t="shared" si="23"/>
        <v/>
      </c>
      <c r="R97" s="30" t="str">
        <f t="shared" si="23"/>
        <v/>
      </c>
      <c r="S97" s="60" t="str">
        <f>IF($A97="","",IF(S$6="NÃO",0,IF($A97=0,DATEDIF(ESTRUTURA!$F$3,ESTRUTURA!$F$4,"m")*Tabela!$H$17,Tabela!$H$17)))</f>
        <v/>
      </c>
      <c r="T97" s="30" t="str">
        <f>IF($A97="","",IF(T$6="NÃO",0,IF($A97=0,DATEDIF(ESTRUTURA!$F$3,ESTRUTURA!$F$4,"m")*Tabela!$H$18,Tabela!$H$18)))</f>
        <v/>
      </c>
      <c r="U97" s="60" t="str">
        <f t="shared" si="22"/>
        <v/>
      </c>
      <c r="V97" s="30" t="str">
        <f>IF($A97="","",IF(V$6="NÃO",0,IF($A97=0,DATEDIF(ESTRUTURA!$F$3,ESTRUTURA!$F$4,"m")*Tabela!$H$20,Tabela!$H$20)))</f>
        <v/>
      </c>
      <c r="W97" s="60" t="str">
        <f t="shared" si="22"/>
        <v/>
      </c>
      <c r="X97" s="30" t="str">
        <f t="shared" si="22"/>
        <v/>
      </c>
      <c r="Y97" s="60" t="str">
        <f>IF($A97="","",IF(Y$6="NÃO",0,IF(A97=0,Tabela!$H$23,IF(Y$7="mensal",Tabela!$H$23,IF(AND(MONTH(ESTRUTURA!C97)=MONTH(ESTRUTURA!$F$3),A97&gt;0),Tabela!$H$23,0)))))</f>
        <v/>
      </c>
      <c r="Z97" s="30" t="str">
        <f t="shared" si="22"/>
        <v/>
      </c>
      <c r="AA97" s="60" t="str">
        <f>IF($A97="","",IF(AA$6="NÃO",0,Tabela!$H$25*nm_séries))</f>
        <v/>
      </c>
      <c r="AB97" s="30" t="str">
        <f t="shared" si="22"/>
        <v/>
      </c>
      <c r="AC97" s="60" t="str">
        <f>IF($A97="","",IF(AC$6="NÃO",0,IF(A97=0,Tabela!$H$27,IF(MOD(A97,3)=0,Tabela!$H$27,0))))</f>
        <v/>
      </c>
      <c r="AD97" s="30" t="str">
        <f t="shared" si="22"/>
        <v/>
      </c>
      <c r="AE97" s="60" t="str">
        <f t="shared" si="22"/>
        <v/>
      </c>
      <c r="AF97" s="30" t="str">
        <f>IF($A97="","",IF(AF$6="NÃO",0,IF(AND(MONTH(ESTRUTURA!C97)=MONTH(ESTRUTURA!$F$3),A97&gt;0),Tabela!$H$30,0)))</f>
        <v/>
      </c>
      <c r="AG97" s="60" t="str">
        <f t="shared" si="22"/>
        <v/>
      </c>
      <c r="AH97" s="30" t="str">
        <f t="shared" si="22"/>
        <v/>
      </c>
      <c r="AI97" s="60" t="str">
        <f>IF($A97="","",IF(AI$6="NÃO",0,IF($A97=0,DATEDIF(ESTRUTURA!$F$3,ESTRUTURA!$F$4,"m")*Tabela!$H$33,Tabela!$H$33)))</f>
        <v/>
      </c>
      <c r="AJ97" s="30" t="str">
        <f t="shared" si="13"/>
        <v/>
      </c>
    </row>
    <row r="98" spans="1:36" x14ac:dyDescent="0.2">
      <c r="A98" s="66" t="str">
        <f>ESTRUTURA!A98</f>
        <v/>
      </c>
      <c r="B98" s="58">
        <f t="shared" si="20"/>
        <v>0</v>
      </c>
      <c r="C98" s="60" t="str">
        <f t="shared" si="23"/>
        <v/>
      </c>
      <c r="D98" s="30" t="str">
        <f t="shared" si="23"/>
        <v/>
      </c>
      <c r="E98" s="60" t="str">
        <f t="shared" si="23"/>
        <v/>
      </c>
      <c r="F98" s="30" t="str">
        <f>IF($A98="","",IF(F$6="NÃO",0,Tabela!$H$34*ESTRUTURA!$I$4))</f>
        <v/>
      </c>
      <c r="G98" s="60" t="str">
        <f t="shared" si="23"/>
        <v/>
      </c>
      <c r="H98" s="30" t="str">
        <f>IF($A98="","",IF(H$6="NÃO",0,IF($A98=0,DATEDIF(ESTRUTURA!$F$3,ESTRUTURA!$F$4,"m")*Tabela!$H$6,Tabela!$H$6)))</f>
        <v/>
      </c>
      <c r="I98" s="60" t="str">
        <f t="shared" si="23"/>
        <v/>
      </c>
      <c r="J98" s="30" t="str">
        <f>IF($A98="","",IF(J$6="NÃO",0,IF($A98=0,DATEDIF(ESTRUTURA!$F$3,ESTRUTURA!$F$4,"m")*Tabela!$H$8,IF(J$6="NÃO",0,Tabela!$H$8))))</f>
        <v/>
      </c>
      <c r="K98" s="60" t="str">
        <f t="shared" si="23"/>
        <v/>
      </c>
      <c r="L98" s="30" t="str">
        <f t="shared" si="23"/>
        <v/>
      </c>
      <c r="M98" s="60" t="str">
        <f t="shared" si="23"/>
        <v/>
      </c>
      <c r="N98" s="30" t="str">
        <f t="shared" si="23"/>
        <v/>
      </c>
      <c r="O98" s="60" t="str">
        <f t="shared" si="23"/>
        <v/>
      </c>
      <c r="P98" s="30" t="str">
        <f t="shared" si="21"/>
        <v/>
      </c>
      <c r="Q98" s="60" t="str">
        <f t="shared" si="23"/>
        <v/>
      </c>
      <c r="R98" s="30" t="str">
        <f t="shared" si="23"/>
        <v/>
      </c>
      <c r="S98" s="60" t="str">
        <f>IF($A98="","",IF(S$6="NÃO",0,IF($A98=0,DATEDIF(ESTRUTURA!$F$3,ESTRUTURA!$F$4,"m")*Tabela!$H$17,Tabela!$H$17)))</f>
        <v/>
      </c>
      <c r="T98" s="30" t="str">
        <f>IF($A98="","",IF(T$6="NÃO",0,IF($A98=0,DATEDIF(ESTRUTURA!$F$3,ESTRUTURA!$F$4,"m")*Tabela!$H$18,Tabela!$H$18)))</f>
        <v/>
      </c>
      <c r="U98" s="60" t="str">
        <f t="shared" si="22"/>
        <v/>
      </c>
      <c r="V98" s="30" t="str">
        <f>IF($A98="","",IF(V$6="NÃO",0,IF($A98=0,DATEDIF(ESTRUTURA!$F$3,ESTRUTURA!$F$4,"m")*Tabela!$H$20,Tabela!$H$20)))</f>
        <v/>
      </c>
      <c r="W98" s="60" t="str">
        <f t="shared" si="22"/>
        <v/>
      </c>
      <c r="X98" s="30" t="str">
        <f t="shared" si="22"/>
        <v/>
      </c>
      <c r="Y98" s="60" t="str">
        <f>IF($A98="","",IF(Y$6="NÃO",0,IF(A98=0,Tabela!$H$23,IF(Y$7="mensal",Tabela!$H$23,IF(AND(MONTH(ESTRUTURA!C98)=MONTH(ESTRUTURA!$F$3),A98&gt;0),Tabela!$H$23,0)))))</f>
        <v/>
      </c>
      <c r="Z98" s="30" t="str">
        <f t="shared" si="22"/>
        <v/>
      </c>
      <c r="AA98" s="60" t="str">
        <f>IF($A98="","",IF(AA$6="NÃO",0,Tabela!$H$25*nm_séries))</f>
        <v/>
      </c>
      <c r="AB98" s="30" t="str">
        <f t="shared" si="22"/>
        <v/>
      </c>
      <c r="AC98" s="60" t="str">
        <f>IF($A98="","",IF(AC$6="NÃO",0,IF(A98=0,Tabela!$H$27,IF(MOD(A98,3)=0,Tabela!$H$27,0))))</f>
        <v/>
      </c>
      <c r="AD98" s="30" t="str">
        <f t="shared" si="22"/>
        <v/>
      </c>
      <c r="AE98" s="60" t="str">
        <f t="shared" si="22"/>
        <v/>
      </c>
      <c r="AF98" s="30" t="str">
        <f>IF($A98="","",IF(AF$6="NÃO",0,IF(AND(MONTH(ESTRUTURA!C98)=MONTH(ESTRUTURA!$F$3),A98&gt;0),Tabela!$H$30,0)))</f>
        <v/>
      </c>
      <c r="AG98" s="60" t="str">
        <f t="shared" si="22"/>
        <v/>
      </c>
      <c r="AH98" s="30" t="str">
        <f t="shared" si="22"/>
        <v/>
      </c>
      <c r="AI98" s="60" t="str">
        <f>IF($A98="","",IF(AI$6="NÃO",0,IF($A98=0,DATEDIF(ESTRUTURA!$F$3,ESTRUTURA!$F$4,"m")*Tabela!$H$33,Tabela!$H$33)))</f>
        <v/>
      </c>
      <c r="AJ98" s="30" t="str">
        <f t="shared" si="13"/>
        <v/>
      </c>
    </row>
    <row r="99" spans="1:36" x14ac:dyDescent="0.2">
      <c r="A99" s="66" t="str">
        <f>ESTRUTURA!A99</f>
        <v/>
      </c>
      <c r="B99" s="58">
        <f t="shared" si="20"/>
        <v>0</v>
      </c>
      <c r="C99" s="60" t="str">
        <f t="shared" si="23"/>
        <v/>
      </c>
      <c r="D99" s="30" t="str">
        <f t="shared" si="23"/>
        <v/>
      </c>
      <c r="E99" s="60" t="str">
        <f t="shared" si="23"/>
        <v/>
      </c>
      <c r="F99" s="30" t="str">
        <f>IF($A99="","",IF(F$6="NÃO",0,Tabela!$H$34*ESTRUTURA!$I$4))</f>
        <v/>
      </c>
      <c r="G99" s="60" t="str">
        <f t="shared" si="23"/>
        <v/>
      </c>
      <c r="H99" s="30" t="str">
        <f>IF($A99="","",IF(H$6="NÃO",0,IF($A99=0,DATEDIF(ESTRUTURA!$F$3,ESTRUTURA!$F$4,"m")*Tabela!$H$6,Tabela!$H$6)))</f>
        <v/>
      </c>
      <c r="I99" s="60" t="str">
        <f t="shared" si="23"/>
        <v/>
      </c>
      <c r="J99" s="30" t="str">
        <f>IF($A99="","",IF(J$6="NÃO",0,IF($A99=0,DATEDIF(ESTRUTURA!$F$3,ESTRUTURA!$F$4,"m")*Tabela!$H$8,IF(J$6="NÃO",0,Tabela!$H$8))))</f>
        <v/>
      </c>
      <c r="K99" s="60" t="str">
        <f t="shared" si="23"/>
        <v/>
      </c>
      <c r="L99" s="30" t="str">
        <f t="shared" si="23"/>
        <v/>
      </c>
      <c r="M99" s="60" t="str">
        <f t="shared" si="23"/>
        <v/>
      </c>
      <c r="N99" s="30" t="str">
        <f t="shared" si="23"/>
        <v/>
      </c>
      <c r="O99" s="60" t="str">
        <f t="shared" si="23"/>
        <v/>
      </c>
      <c r="P99" s="30" t="str">
        <f t="shared" si="21"/>
        <v/>
      </c>
      <c r="Q99" s="60" t="str">
        <f t="shared" si="23"/>
        <v/>
      </c>
      <c r="R99" s="30" t="str">
        <f t="shared" si="23"/>
        <v/>
      </c>
      <c r="S99" s="60" t="str">
        <f>IF($A99="","",IF(S$6="NÃO",0,IF($A99=0,DATEDIF(ESTRUTURA!$F$3,ESTRUTURA!$F$4,"m")*Tabela!$H$17,Tabela!$H$17)))</f>
        <v/>
      </c>
      <c r="T99" s="30" t="str">
        <f>IF($A99="","",IF(T$6="NÃO",0,IF($A99=0,DATEDIF(ESTRUTURA!$F$3,ESTRUTURA!$F$4,"m")*Tabela!$H$18,Tabela!$H$18)))</f>
        <v/>
      </c>
      <c r="U99" s="60" t="str">
        <f t="shared" si="22"/>
        <v/>
      </c>
      <c r="V99" s="30" t="str">
        <f>IF($A99="","",IF(V$6="NÃO",0,IF($A99=0,DATEDIF(ESTRUTURA!$F$3,ESTRUTURA!$F$4,"m")*Tabela!$H$20,Tabela!$H$20)))</f>
        <v/>
      </c>
      <c r="W99" s="60" t="str">
        <f t="shared" si="22"/>
        <v/>
      </c>
      <c r="X99" s="30" t="str">
        <f t="shared" si="22"/>
        <v/>
      </c>
      <c r="Y99" s="60" t="str">
        <f>IF($A99="","",IF(Y$6="NÃO",0,IF(A99=0,Tabela!$H$23,IF(Y$7="mensal",Tabela!$H$23,IF(AND(MONTH(ESTRUTURA!C99)=MONTH(ESTRUTURA!$F$3),A99&gt;0),Tabela!$H$23,0)))))</f>
        <v/>
      </c>
      <c r="Z99" s="30" t="str">
        <f t="shared" si="22"/>
        <v/>
      </c>
      <c r="AA99" s="60" t="str">
        <f>IF($A99="","",IF(AA$6="NÃO",0,Tabela!$H$25*nm_séries))</f>
        <v/>
      </c>
      <c r="AB99" s="30" t="str">
        <f t="shared" si="22"/>
        <v/>
      </c>
      <c r="AC99" s="60" t="str">
        <f>IF($A99="","",IF(AC$6="NÃO",0,IF(A99=0,Tabela!$H$27,IF(MOD(A99,3)=0,Tabela!$H$27,0))))</f>
        <v/>
      </c>
      <c r="AD99" s="30" t="str">
        <f t="shared" si="22"/>
        <v/>
      </c>
      <c r="AE99" s="60" t="str">
        <f t="shared" si="22"/>
        <v/>
      </c>
      <c r="AF99" s="30" t="str">
        <f>IF($A99="","",IF(AF$6="NÃO",0,IF(AND(MONTH(ESTRUTURA!C99)=MONTH(ESTRUTURA!$F$3),A99&gt;0),Tabela!$H$30,0)))</f>
        <v/>
      </c>
      <c r="AG99" s="60" t="str">
        <f t="shared" si="22"/>
        <v/>
      </c>
      <c r="AH99" s="30" t="str">
        <f t="shared" si="22"/>
        <v/>
      </c>
      <c r="AI99" s="60" t="str">
        <f>IF($A99="","",IF(AI$6="NÃO",0,IF($A99=0,DATEDIF(ESTRUTURA!$F$3,ESTRUTURA!$F$4,"m")*Tabela!$H$33,Tabela!$H$33)))</f>
        <v/>
      </c>
      <c r="AJ99" s="30" t="str">
        <f t="shared" si="13"/>
        <v/>
      </c>
    </row>
    <row r="100" spans="1:36" x14ac:dyDescent="0.2">
      <c r="A100" s="66" t="str">
        <f>ESTRUTURA!A100</f>
        <v/>
      </c>
      <c r="B100" s="58">
        <f t="shared" si="20"/>
        <v>0</v>
      </c>
      <c r="C100" s="60" t="str">
        <f t="shared" si="23"/>
        <v/>
      </c>
      <c r="D100" s="30" t="str">
        <f t="shared" si="23"/>
        <v/>
      </c>
      <c r="E100" s="60" t="str">
        <f t="shared" si="23"/>
        <v/>
      </c>
      <c r="F100" s="30" t="str">
        <f>IF($A100="","",IF(F$6="NÃO",0,Tabela!$H$34*ESTRUTURA!$I$4))</f>
        <v/>
      </c>
      <c r="G100" s="60" t="str">
        <f t="shared" si="23"/>
        <v/>
      </c>
      <c r="H100" s="30" t="str">
        <f>IF($A100="","",IF(H$6="NÃO",0,IF($A100=0,DATEDIF(ESTRUTURA!$F$3,ESTRUTURA!$F$4,"m")*Tabela!$H$6,Tabela!$H$6)))</f>
        <v/>
      </c>
      <c r="I100" s="60" t="str">
        <f t="shared" si="23"/>
        <v/>
      </c>
      <c r="J100" s="30" t="str">
        <f>IF($A100="","",IF(J$6="NÃO",0,IF($A100=0,DATEDIF(ESTRUTURA!$F$3,ESTRUTURA!$F$4,"m")*Tabela!$H$8,IF(J$6="NÃO",0,Tabela!$H$8))))</f>
        <v/>
      </c>
      <c r="K100" s="60" t="str">
        <f t="shared" si="23"/>
        <v/>
      </c>
      <c r="L100" s="30" t="str">
        <f t="shared" si="23"/>
        <v/>
      </c>
      <c r="M100" s="60" t="str">
        <f t="shared" si="23"/>
        <v/>
      </c>
      <c r="N100" s="30" t="str">
        <f t="shared" si="23"/>
        <v/>
      </c>
      <c r="O100" s="60" t="str">
        <f t="shared" si="23"/>
        <v/>
      </c>
      <c r="P100" s="30" t="str">
        <f t="shared" si="21"/>
        <v/>
      </c>
      <c r="Q100" s="60" t="str">
        <f t="shared" si="23"/>
        <v/>
      </c>
      <c r="R100" s="30" t="str">
        <f t="shared" si="23"/>
        <v/>
      </c>
      <c r="S100" s="60" t="str">
        <f>IF($A100="","",IF(S$6="NÃO",0,IF($A100=0,DATEDIF(ESTRUTURA!$F$3,ESTRUTURA!$F$4,"m")*Tabela!$H$17,Tabela!$H$17)))</f>
        <v/>
      </c>
      <c r="T100" s="30" t="str">
        <f>IF($A100="","",IF(T$6="NÃO",0,IF($A100=0,DATEDIF(ESTRUTURA!$F$3,ESTRUTURA!$F$4,"m")*Tabela!$H$18,Tabela!$H$18)))</f>
        <v/>
      </c>
      <c r="U100" s="60" t="str">
        <f t="shared" si="22"/>
        <v/>
      </c>
      <c r="V100" s="30" t="str">
        <f>IF($A100="","",IF(V$6="NÃO",0,IF($A100=0,DATEDIF(ESTRUTURA!$F$3,ESTRUTURA!$F$4,"m")*Tabela!$H$20,Tabela!$H$20)))</f>
        <v/>
      </c>
      <c r="W100" s="60" t="str">
        <f t="shared" si="22"/>
        <v/>
      </c>
      <c r="X100" s="30" t="str">
        <f t="shared" si="22"/>
        <v/>
      </c>
      <c r="Y100" s="60" t="str">
        <f>IF($A100="","",IF(Y$6="NÃO",0,IF(A100=0,Tabela!$H$23,IF(Y$7="mensal",Tabela!$H$23,IF(AND(MONTH(ESTRUTURA!C100)=MONTH(ESTRUTURA!$F$3),A100&gt;0),Tabela!$H$23,0)))))</f>
        <v/>
      </c>
      <c r="Z100" s="30" t="str">
        <f t="shared" si="22"/>
        <v/>
      </c>
      <c r="AA100" s="60" t="str">
        <f>IF($A100="","",IF(AA$6="NÃO",0,Tabela!$H$25*nm_séries))</f>
        <v/>
      </c>
      <c r="AB100" s="30" t="str">
        <f t="shared" si="22"/>
        <v/>
      </c>
      <c r="AC100" s="60" t="str">
        <f>IF($A100="","",IF(AC$6="NÃO",0,IF(A100=0,Tabela!$H$27,IF(MOD(A100,3)=0,Tabela!$H$27,0))))</f>
        <v/>
      </c>
      <c r="AD100" s="30" t="str">
        <f t="shared" si="22"/>
        <v/>
      </c>
      <c r="AE100" s="60" t="str">
        <f t="shared" si="22"/>
        <v/>
      </c>
      <c r="AF100" s="30" t="str">
        <f>IF($A100="","",IF(AF$6="NÃO",0,IF(AND(MONTH(ESTRUTURA!C100)=MONTH(ESTRUTURA!$F$3),A100&gt;0),Tabela!$H$30,0)))</f>
        <v/>
      </c>
      <c r="AG100" s="60" t="str">
        <f t="shared" si="22"/>
        <v/>
      </c>
      <c r="AH100" s="30" t="str">
        <f t="shared" si="22"/>
        <v/>
      </c>
      <c r="AI100" s="60" t="str">
        <f>IF($A100="","",IF(AI$6="NÃO",0,IF($A100=0,DATEDIF(ESTRUTURA!$F$3,ESTRUTURA!$F$4,"m")*Tabela!$H$33,Tabela!$H$33)))</f>
        <v/>
      </c>
      <c r="AJ100" s="30" t="str">
        <f t="shared" si="13"/>
        <v/>
      </c>
    </row>
    <row r="101" spans="1:36" x14ac:dyDescent="0.2">
      <c r="A101" s="66" t="str">
        <f>ESTRUTURA!A101</f>
        <v/>
      </c>
      <c r="B101" s="58">
        <f t="shared" si="20"/>
        <v>0</v>
      </c>
      <c r="C101" s="60" t="str">
        <f t="shared" si="23"/>
        <v/>
      </c>
      <c r="D101" s="30" t="str">
        <f t="shared" si="23"/>
        <v/>
      </c>
      <c r="E101" s="60" t="str">
        <f t="shared" si="23"/>
        <v/>
      </c>
      <c r="F101" s="30" t="str">
        <f>IF($A101="","",IF(F$6="NÃO",0,Tabela!$H$34*ESTRUTURA!$I$4))</f>
        <v/>
      </c>
      <c r="G101" s="60" t="str">
        <f t="shared" si="23"/>
        <v/>
      </c>
      <c r="H101" s="30" t="str">
        <f>IF($A101="","",IF(H$6="NÃO",0,IF($A101=0,DATEDIF(ESTRUTURA!$F$3,ESTRUTURA!$F$4,"m")*Tabela!$H$6,Tabela!$H$6)))</f>
        <v/>
      </c>
      <c r="I101" s="60" t="str">
        <f t="shared" si="23"/>
        <v/>
      </c>
      <c r="J101" s="30" t="str">
        <f>IF($A101="","",IF(J$6="NÃO",0,IF($A101=0,DATEDIF(ESTRUTURA!$F$3,ESTRUTURA!$F$4,"m")*Tabela!$H$8,IF(J$6="NÃO",0,Tabela!$H$8))))</f>
        <v/>
      </c>
      <c r="K101" s="60" t="str">
        <f t="shared" si="23"/>
        <v/>
      </c>
      <c r="L101" s="30" t="str">
        <f t="shared" si="23"/>
        <v/>
      </c>
      <c r="M101" s="60" t="str">
        <f t="shared" si="23"/>
        <v/>
      </c>
      <c r="N101" s="30" t="str">
        <f t="shared" si="23"/>
        <v/>
      </c>
      <c r="O101" s="60" t="str">
        <f t="shared" si="23"/>
        <v/>
      </c>
      <c r="P101" s="30" t="str">
        <f t="shared" si="21"/>
        <v/>
      </c>
      <c r="Q101" s="60" t="str">
        <f t="shared" si="23"/>
        <v/>
      </c>
      <c r="R101" s="30" t="str">
        <f t="shared" si="23"/>
        <v/>
      </c>
      <c r="S101" s="60" t="str">
        <f>IF($A101="","",IF(S$6="NÃO",0,IF($A101=0,DATEDIF(ESTRUTURA!$F$3,ESTRUTURA!$F$4,"m")*Tabela!$H$17,Tabela!$H$17)))</f>
        <v/>
      </c>
      <c r="T101" s="30" t="str">
        <f>IF($A101="","",IF(T$6="NÃO",0,IF($A101=0,DATEDIF(ESTRUTURA!$F$3,ESTRUTURA!$F$4,"m")*Tabela!$H$18,Tabela!$H$18)))</f>
        <v/>
      </c>
      <c r="U101" s="60" t="str">
        <f t="shared" si="22"/>
        <v/>
      </c>
      <c r="V101" s="30" t="str">
        <f>IF($A101="","",IF(V$6="NÃO",0,IF($A101=0,DATEDIF(ESTRUTURA!$F$3,ESTRUTURA!$F$4,"m")*Tabela!$H$20,Tabela!$H$20)))</f>
        <v/>
      </c>
      <c r="W101" s="60" t="str">
        <f t="shared" si="22"/>
        <v/>
      </c>
      <c r="X101" s="30" t="str">
        <f t="shared" si="22"/>
        <v/>
      </c>
      <c r="Y101" s="60" t="str">
        <f>IF($A101="","",IF(Y$6="NÃO",0,IF(A101=0,Tabela!$H$23,IF(Y$7="mensal",Tabela!$H$23,IF(AND(MONTH(ESTRUTURA!C101)=MONTH(ESTRUTURA!$F$3),A101&gt;0),Tabela!$H$23,0)))))</f>
        <v/>
      </c>
      <c r="Z101" s="30" t="str">
        <f t="shared" si="22"/>
        <v/>
      </c>
      <c r="AA101" s="60" t="str">
        <f>IF($A101="","",IF(AA$6="NÃO",0,Tabela!$H$25*nm_séries))</f>
        <v/>
      </c>
      <c r="AB101" s="30" t="str">
        <f t="shared" si="22"/>
        <v/>
      </c>
      <c r="AC101" s="60" t="str">
        <f>IF($A101="","",IF(AC$6="NÃO",0,IF(A101=0,Tabela!$H$27,IF(MOD(A101,3)=0,Tabela!$H$27,0))))</f>
        <v/>
      </c>
      <c r="AD101" s="30" t="str">
        <f t="shared" si="22"/>
        <v/>
      </c>
      <c r="AE101" s="60" t="str">
        <f t="shared" si="22"/>
        <v/>
      </c>
      <c r="AF101" s="30" t="str">
        <f>IF($A101="","",IF(AF$6="NÃO",0,IF(AND(MONTH(ESTRUTURA!C101)=MONTH(ESTRUTURA!$F$3),A101&gt;0),Tabela!$H$30,0)))</f>
        <v/>
      </c>
      <c r="AG101" s="60" t="str">
        <f t="shared" si="22"/>
        <v/>
      </c>
      <c r="AH101" s="30" t="str">
        <f t="shared" si="22"/>
        <v/>
      </c>
      <c r="AI101" s="60" t="str">
        <f>IF($A101="","",IF(AI$6="NÃO",0,IF($A101=0,DATEDIF(ESTRUTURA!$F$3,ESTRUTURA!$F$4,"m")*Tabela!$H$33,Tabela!$H$33)))</f>
        <v/>
      </c>
      <c r="AJ101" s="30" t="str">
        <f t="shared" si="13"/>
        <v/>
      </c>
    </row>
    <row r="102" spans="1:36" x14ac:dyDescent="0.2">
      <c r="A102" s="66" t="str">
        <f>ESTRUTURA!A102</f>
        <v/>
      </c>
      <c r="B102" s="58">
        <f t="shared" si="20"/>
        <v>0</v>
      </c>
      <c r="C102" s="60" t="str">
        <f t="shared" si="23"/>
        <v/>
      </c>
      <c r="D102" s="30" t="str">
        <f t="shared" si="23"/>
        <v/>
      </c>
      <c r="E102" s="60" t="str">
        <f t="shared" si="23"/>
        <v/>
      </c>
      <c r="F102" s="30" t="str">
        <f>IF($A102="","",IF(F$6="NÃO",0,Tabela!$H$34*ESTRUTURA!$I$4))</f>
        <v/>
      </c>
      <c r="G102" s="60" t="str">
        <f t="shared" si="23"/>
        <v/>
      </c>
      <c r="H102" s="30" t="str">
        <f>IF($A102="","",IF(H$6="NÃO",0,IF($A102=0,DATEDIF(ESTRUTURA!$F$3,ESTRUTURA!$F$4,"m")*Tabela!$H$6,Tabela!$H$6)))</f>
        <v/>
      </c>
      <c r="I102" s="60" t="str">
        <f t="shared" si="23"/>
        <v/>
      </c>
      <c r="J102" s="30" t="str">
        <f>IF($A102="","",IF(J$6="NÃO",0,IF($A102=0,DATEDIF(ESTRUTURA!$F$3,ESTRUTURA!$F$4,"m")*Tabela!$H$8,IF(J$6="NÃO",0,Tabela!$H$8))))</f>
        <v/>
      </c>
      <c r="K102" s="60" t="str">
        <f t="shared" si="23"/>
        <v/>
      </c>
      <c r="L102" s="30" t="str">
        <f t="shared" si="23"/>
        <v/>
      </c>
      <c r="M102" s="60" t="str">
        <f t="shared" si="23"/>
        <v/>
      </c>
      <c r="N102" s="30" t="str">
        <f t="shared" si="23"/>
        <v/>
      </c>
      <c r="O102" s="60" t="str">
        <f t="shared" si="23"/>
        <v/>
      </c>
      <c r="P102" s="30" t="str">
        <f t="shared" si="21"/>
        <v/>
      </c>
      <c r="Q102" s="60" t="str">
        <f t="shared" si="23"/>
        <v/>
      </c>
      <c r="R102" s="30" t="str">
        <f t="shared" si="23"/>
        <v/>
      </c>
      <c r="S102" s="60" t="str">
        <f>IF($A102="","",IF(S$6="NÃO",0,IF($A102=0,DATEDIF(ESTRUTURA!$F$3,ESTRUTURA!$F$4,"m")*Tabela!$H$17,Tabela!$H$17)))</f>
        <v/>
      </c>
      <c r="T102" s="30" t="str">
        <f>IF($A102="","",IF(T$6="NÃO",0,IF($A102=0,DATEDIF(ESTRUTURA!$F$3,ESTRUTURA!$F$4,"m")*Tabela!$H$18,Tabela!$H$18)))</f>
        <v/>
      </c>
      <c r="U102" s="60" t="str">
        <f t="shared" si="22"/>
        <v/>
      </c>
      <c r="V102" s="30" t="str">
        <f>IF($A102="","",IF(V$6="NÃO",0,IF($A102=0,DATEDIF(ESTRUTURA!$F$3,ESTRUTURA!$F$4,"m")*Tabela!$H$20,Tabela!$H$20)))</f>
        <v/>
      </c>
      <c r="W102" s="60" t="str">
        <f t="shared" si="22"/>
        <v/>
      </c>
      <c r="X102" s="30" t="str">
        <f t="shared" si="22"/>
        <v/>
      </c>
      <c r="Y102" s="60" t="str">
        <f>IF($A102="","",IF(Y$6="NÃO",0,IF(A102=0,Tabela!$H$23,IF(Y$7="mensal",Tabela!$H$23,IF(AND(MONTH(ESTRUTURA!C102)=MONTH(ESTRUTURA!$F$3),A102&gt;0),Tabela!$H$23,0)))))</f>
        <v/>
      </c>
      <c r="Z102" s="30" t="str">
        <f t="shared" si="22"/>
        <v/>
      </c>
      <c r="AA102" s="60" t="str">
        <f>IF($A102="","",IF(AA$6="NÃO",0,Tabela!$H$25*nm_séries))</f>
        <v/>
      </c>
      <c r="AB102" s="30" t="str">
        <f t="shared" si="22"/>
        <v/>
      </c>
      <c r="AC102" s="60" t="str">
        <f>IF($A102="","",IF(AC$6="NÃO",0,IF(A102=0,Tabela!$H$27,IF(MOD(A102,3)=0,Tabela!$H$27,0))))</f>
        <v/>
      </c>
      <c r="AD102" s="30" t="str">
        <f t="shared" si="22"/>
        <v/>
      </c>
      <c r="AE102" s="60" t="str">
        <f t="shared" si="22"/>
        <v/>
      </c>
      <c r="AF102" s="30" t="str">
        <f>IF($A102="","",IF(AF$6="NÃO",0,IF(AND(MONTH(ESTRUTURA!C102)=MONTH(ESTRUTURA!$F$3),A102&gt;0),Tabela!$H$30,0)))</f>
        <v/>
      </c>
      <c r="AG102" s="60" t="str">
        <f t="shared" si="22"/>
        <v/>
      </c>
      <c r="AH102" s="30" t="str">
        <f t="shared" si="22"/>
        <v/>
      </c>
      <c r="AI102" s="60" t="str">
        <f>IF($A102="","",IF(AI$6="NÃO",0,IF($A102=0,DATEDIF(ESTRUTURA!$F$3,ESTRUTURA!$F$4,"m")*Tabela!$H$33,Tabela!$H$33)))</f>
        <v/>
      </c>
      <c r="AJ102" s="30" t="str">
        <f t="shared" si="13"/>
        <v/>
      </c>
    </row>
    <row r="103" spans="1:36" x14ac:dyDescent="0.2">
      <c r="A103" s="66" t="str">
        <f>ESTRUTURA!A103</f>
        <v/>
      </c>
      <c r="B103" s="58">
        <f t="shared" si="20"/>
        <v>0</v>
      </c>
      <c r="C103" s="60" t="str">
        <f t="shared" si="23"/>
        <v/>
      </c>
      <c r="D103" s="30" t="str">
        <f t="shared" si="23"/>
        <v/>
      </c>
      <c r="E103" s="60" t="str">
        <f t="shared" si="23"/>
        <v/>
      </c>
      <c r="F103" s="30" t="str">
        <f>IF($A103="","",IF(F$6="NÃO",0,Tabela!$H$34*ESTRUTURA!$I$4))</f>
        <v/>
      </c>
      <c r="G103" s="60" t="str">
        <f t="shared" si="23"/>
        <v/>
      </c>
      <c r="H103" s="30" t="str">
        <f>IF($A103="","",IF(H$6="NÃO",0,IF($A103=0,DATEDIF(ESTRUTURA!$F$3,ESTRUTURA!$F$4,"m")*Tabela!$H$6,Tabela!$H$6)))</f>
        <v/>
      </c>
      <c r="I103" s="60" t="str">
        <f t="shared" si="23"/>
        <v/>
      </c>
      <c r="J103" s="30" t="str">
        <f>IF($A103="","",IF(J$6="NÃO",0,IF($A103=0,DATEDIF(ESTRUTURA!$F$3,ESTRUTURA!$F$4,"m")*Tabela!$H$8,IF(J$6="NÃO",0,Tabela!$H$8))))</f>
        <v/>
      </c>
      <c r="K103" s="60" t="str">
        <f t="shared" si="23"/>
        <v/>
      </c>
      <c r="L103" s="30" t="str">
        <f t="shared" si="23"/>
        <v/>
      </c>
      <c r="M103" s="60" t="str">
        <f t="shared" si="23"/>
        <v/>
      </c>
      <c r="N103" s="30" t="str">
        <f t="shared" si="23"/>
        <v/>
      </c>
      <c r="O103" s="60" t="str">
        <f t="shared" si="23"/>
        <v/>
      </c>
      <c r="P103" s="30" t="str">
        <f t="shared" si="21"/>
        <v/>
      </c>
      <c r="Q103" s="60" t="str">
        <f t="shared" si="23"/>
        <v/>
      </c>
      <c r="R103" s="30" t="str">
        <f t="shared" si="23"/>
        <v/>
      </c>
      <c r="S103" s="60" t="str">
        <f>IF($A103="","",IF(S$6="NÃO",0,IF($A103=0,DATEDIF(ESTRUTURA!$F$3,ESTRUTURA!$F$4,"m")*Tabela!$H$17,Tabela!$H$17)))</f>
        <v/>
      </c>
      <c r="T103" s="30" t="str">
        <f>IF($A103="","",IF(T$6="NÃO",0,IF($A103=0,DATEDIF(ESTRUTURA!$F$3,ESTRUTURA!$F$4,"m")*Tabela!$H$18,Tabela!$H$18)))</f>
        <v/>
      </c>
      <c r="U103" s="60" t="str">
        <f t="shared" si="22"/>
        <v/>
      </c>
      <c r="V103" s="30" t="str">
        <f>IF($A103="","",IF(V$6="NÃO",0,IF($A103=0,DATEDIF(ESTRUTURA!$F$3,ESTRUTURA!$F$4,"m")*Tabela!$H$20,Tabela!$H$20)))</f>
        <v/>
      </c>
      <c r="W103" s="60" t="str">
        <f t="shared" si="22"/>
        <v/>
      </c>
      <c r="X103" s="30" t="str">
        <f t="shared" si="22"/>
        <v/>
      </c>
      <c r="Y103" s="60" t="str">
        <f>IF($A103="","",IF(Y$6="NÃO",0,IF(A103=0,Tabela!$H$23,IF(Y$7="mensal",Tabela!$H$23,IF(AND(MONTH(ESTRUTURA!C103)=MONTH(ESTRUTURA!$F$3),A103&gt;0),Tabela!$H$23,0)))))</f>
        <v/>
      </c>
      <c r="Z103" s="30" t="str">
        <f t="shared" si="22"/>
        <v/>
      </c>
      <c r="AA103" s="60" t="str">
        <f>IF($A103="","",IF(AA$6="NÃO",0,Tabela!$H$25*nm_séries))</f>
        <v/>
      </c>
      <c r="AB103" s="30" t="str">
        <f t="shared" si="22"/>
        <v/>
      </c>
      <c r="AC103" s="60" t="str">
        <f>IF($A103="","",IF(AC$6="NÃO",0,IF(A103=0,Tabela!$H$27,IF(MOD(A103,3)=0,Tabela!$H$27,0))))</f>
        <v/>
      </c>
      <c r="AD103" s="30" t="str">
        <f t="shared" si="22"/>
        <v/>
      </c>
      <c r="AE103" s="60" t="str">
        <f t="shared" si="22"/>
        <v/>
      </c>
      <c r="AF103" s="30" t="str">
        <f>IF($A103="","",IF(AF$6="NÃO",0,IF(AND(MONTH(ESTRUTURA!C103)=MONTH(ESTRUTURA!$F$3),A103&gt;0),Tabela!$H$30,0)))</f>
        <v/>
      </c>
      <c r="AG103" s="60" t="str">
        <f t="shared" si="22"/>
        <v/>
      </c>
      <c r="AH103" s="30" t="str">
        <f t="shared" si="22"/>
        <v/>
      </c>
      <c r="AI103" s="60" t="str">
        <f>IF($A103="","",IF(AI$6="NÃO",0,IF($A103=0,DATEDIF(ESTRUTURA!$F$3,ESTRUTURA!$F$4,"m")*Tabela!$H$33,Tabela!$H$33)))</f>
        <v/>
      </c>
      <c r="AJ103" s="30" t="str">
        <f t="shared" si="13"/>
        <v/>
      </c>
    </row>
    <row r="104" spans="1:36" x14ac:dyDescent="0.2">
      <c r="A104" s="66" t="str">
        <f>ESTRUTURA!A104</f>
        <v/>
      </c>
      <c r="B104" s="58">
        <f t="shared" si="20"/>
        <v>0</v>
      </c>
      <c r="C104" s="60" t="str">
        <f t="shared" si="23"/>
        <v/>
      </c>
      <c r="D104" s="30" t="str">
        <f t="shared" si="23"/>
        <v/>
      </c>
      <c r="E104" s="60" t="str">
        <f t="shared" si="23"/>
        <v/>
      </c>
      <c r="F104" s="30" t="str">
        <f>IF($A104="","",IF(F$6="NÃO",0,Tabela!$H$34*ESTRUTURA!$I$4))</f>
        <v/>
      </c>
      <c r="G104" s="60" t="str">
        <f t="shared" si="23"/>
        <v/>
      </c>
      <c r="H104" s="30" t="str">
        <f>IF($A104="","",IF(H$6="NÃO",0,IF($A104=0,DATEDIF(ESTRUTURA!$F$3,ESTRUTURA!$F$4,"m")*Tabela!$H$6,Tabela!$H$6)))</f>
        <v/>
      </c>
      <c r="I104" s="60" t="str">
        <f t="shared" si="23"/>
        <v/>
      </c>
      <c r="J104" s="30" t="str">
        <f>IF($A104="","",IF(J$6="NÃO",0,IF($A104=0,DATEDIF(ESTRUTURA!$F$3,ESTRUTURA!$F$4,"m")*Tabela!$H$8,IF(J$6="NÃO",0,Tabela!$H$8))))</f>
        <v/>
      </c>
      <c r="K104" s="60" t="str">
        <f t="shared" si="23"/>
        <v/>
      </c>
      <c r="L104" s="30" t="str">
        <f t="shared" si="23"/>
        <v/>
      </c>
      <c r="M104" s="60" t="str">
        <f t="shared" si="23"/>
        <v/>
      </c>
      <c r="N104" s="30" t="str">
        <f t="shared" si="23"/>
        <v/>
      </c>
      <c r="O104" s="60" t="str">
        <f t="shared" si="23"/>
        <v/>
      </c>
      <c r="P104" s="30" t="str">
        <f t="shared" si="21"/>
        <v/>
      </c>
      <c r="Q104" s="60" t="str">
        <f t="shared" si="23"/>
        <v/>
      </c>
      <c r="R104" s="30" t="str">
        <f t="shared" si="23"/>
        <v/>
      </c>
      <c r="S104" s="60" t="str">
        <f>IF($A104="","",IF(S$6="NÃO",0,IF($A104=0,DATEDIF(ESTRUTURA!$F$3,ESTRUTURA!$F$4,"m")*Tabela!$H$17,Tabela!$H$17)))</f>
        <v/>
      </c>
      <c r="T104" s="30" t="str">
        <f>IF($A104="","",IF(T$6="NÃO",0,IF($A104=0,DATEDIF(ESTRUTURA!$F$3,ESTRUTURA!$F$4,"m")*Tabela!$H$18,Tabela!$H$18)))</f>
        <v/>
      </c>
      <c r="U104" s="60" t="str">
        <f t="shared" si="22"/>
        <v/>
      </c>
      <c r="V104" s="30" t="str">
        <f>IF($A104="","",IF(V$6="NÃO",0,IF($A104=0,DATEDIF(ESTRUTURA!$F$3,ESTRUTURA!$F$4,"m")*Tabela!$H$20,Tabela!$H$20)))</f>
        <v/>
      </c>
      <c r="W104" s="60" t="str">
        <f t="shared" si="22"/>
        <v/>
      </c>
      <c r="X104" s="30" t="str">
        <f t="shared" si="22"/>
        <v/>
      </c>
      <c r="Y104" s="60" t="str">
        <f>IF($A104="","",IF(Y$6="NÃO",0,IF(A104=0,Tabela!$H$23,IF(Y$7="mensal",Tabela!$H$23,IF(AND(MONTH(ESTRUTURA!C104)=MONTH(ESTRUTURA!$F$3),A104&gt;0),Tabela!$H$23,0)))))</f>
        <v/>
      </c>
      <c r="Z104" s="30" t="str">
        <f t="shared" si="22"/>
        <v/>
      </c>
      <c r="AA104" s="60" t="str">
        <f>IF($A104="","",IF(AA$6="NÃO",0,Tabela!$H$25*nm_séries))</f>
        <v/>
      </c>
      <c r="AB104" s="30" t="str">
        <f t="shared" si="22"/>
        <v/>
      </c>
      <c r="AC104" s="60" t="str">
        <f>IF($A104="","",IF(AC$6="NÃO",0,IF(A104=0,Tabela!$H$27,IF(MOD(A104,3)=0,Tabela!$H$27,0))))</f>
        <v/>
      </c>
      <c r="AD104" s="30" t="str">
        <f t="shared" si="22"/>
        <v/>
      </c>
      <c r="AE104" s="60" t="str">
        <f t="shared" si="22"/>
        <v/>
      </c>
      <c r="AF104" s="30" t="str">
        <f>IF($A104="","",IF(AF$6="NÃO",0,IF(AND(MONTH(ESTRUTURA!C104)=MONTH(ESTRUTURA!$F$3),A104&gt;0),Tabela!$H$30,0)))</f>
        <v/>
      </c>
      <c r="AG104" s="60" t="str">
        <f t="shared" si="22"/>
        <v/>
      </c>
      <c r="AH104" s="30" t="str">
        <f t="shared" si="22"/>
        <v/>
      </c>
      <c r="AI104" s="60" t="str">
        <f>IF($A104="","",IF(AI$6="NÃO",0,IF($A104=0,DATEDIF(ESTRUTURA!$F$3,ESTRUTURA!$F$4,"m")*Tabela!$H$33,Tabela!$H$33)))</f>
        <v/>
      </c>
      <c r="AJ104" s="30" t="str">
        <f t="shared" si="13"/>
        <v/>
      </c>
    </row>
    <row r="105" spans="1:36" x14ac:dyDescent="0.2">
      <c r="A105" s="66" t="str">
        <f>ESTRUTURA!A105</f>
        <v/>
      </c>
      <c r="B105" s="58">
        <f t="shared" si="20"/>
        <v>0</v>
      </c>
      <c r="C105" s="60" t="str">
        <f t="shared" si="23"/>
        <v/>
      </c>
      <c r="D105" s="30" t="str">
        <f t="shared" si="23"/>
        <v/>
      </c>
      <c r="E105" s="60" t="str">
        <f t="shared" si="23"/>
        <v/>
      </c>
      <c r="F105" s="30" t="str">
        <f>IF($A105="","",IF(F$6="NÃO",0,Tabela!$H$34*ESTRUTURA!$I$4))</f>
        <v/>
      </c>
      <c r="G105" s="60" t="str">
        <f t="shared" si="23"/>
        <v/>
      </c>
      <c r="H105" s="30" t="str">
        <f>IF($A105="","",IF(H$6="NÃO",0,IF($A105=0,DATEDIF(ESTRUTURA!$F$3,ESTRUTURA!$F$4,"m")*Tabela!$H$6,Tabela!$H$6)))</f>
        <v/>
      </c>
      <c r="I105" s="60" t="str">
        <f t="shared" si="23"/>
        <v/>
      </c>
      <c r="J105" s="30" t="str">
        <f>IF($A105="","",IF(J$6="NÃO",0,IF($A105=0,DATEDIF(ESTRUTURA!$F$3,ESTRUTURA!$F$4,"m")*Tabela!$H$8,IF(J$6="NÃO",0,Tabela!$H$8))))</f>
        <v/>
      </c>
      <c r="K105" s="60" t="str">
        <f t="shared" si="23"/>
        <v/>
      </c>
      <c r="L105" s="30" t="str">
        <f t="shared" si="23"/>
        <v/>
      </c>
      <c r="M105" s="60" t="str">
        <f t="shared" si="23"/>
        <v/>
      </c>
      <c r="N105" s="30" t="str">
        <f t="shared" si="23"/>
        <v/>
      </c>
      <c r="O105" s="60" t="str">
        <f t="shared" si="23"/>
        <v/>
      </c>
      <c r="P105" s="30" t="str">
        <f t="shared" si="21"/>
        <v/>
      </c>
      <c r="Q105" s="60" t="str">
        <f t="shared" si="23"/>
        <v/>
      </c>
      <c r="R105" s="30" t="str">
        <f t="shared" si="23"/>
        <v/>
      </c>
      <c r="S105" s="60" t="str">
        <f>IF($A105="","",IF(S$6="NÃO",0,IF($A105=0,DATEDIF(ESTRUTURA!$F$3,ESTRUTURA!$F$4,"m")*Tabela!$H$17,Tabela!$H$17)))</f>
        <v/>
      </c>
      <c r="T105" s="30" t="str">
        <f>IF($A105="","",IF(T$6="NÃO",0,IF($A105=0,DATEDIF(ESTRUTURA!$F$3,ESTRUTURA!$F$4,"m")*Tabela!$H$18,Tabela!$H$18)))</f>
        <v/>
      </c>
      <c r="U105" s="60" t="str">
        <f t="shared" si="22"/>
        <v/>
      </c>
      <c r="V105" s="30" t="str">
        <f>IF($A105="","",IF(V$6="NÃO",0,IF($A105=0,DATEDIF(ESTRUTURA!$F$3,ESTRUTURA!$F$4,"m")*Tabela!$H$20,Tabela!$H$20)))</f>
        <v/>
      </c>
      <c r="W105" s="60" t="str">
        <f t="shared" si="22"/>
        <v/>
      </c>
      <c r="X105" s="30" t="str">
        <f t="shared" si="22"/>
        <v/>
      </c>
      <c r="Y105" s="60" t="str">
        <f>IF($A105="","",IF(Y$6="NÃO",0,IF(A105=0,Tabela!$H$23,IF(Y$7="mensal",Tabela!$H$23,IF(AND(MONTH(ESTRUTURA!C105)=MONTH(ESTRUTURA!$F$3),A105&gt;0),Tabela!$H$23,0)))))</f>
        <v/>
      </c>
      <c r="Z105" s="30" t="str">
        <f t="shared" si="22"/>
        <v/>
      </c>
      <c r="AA105" s="60" t="str">
        <f>IF($A105="","",IF(AA$6="NÃO",0,Tabela!$H$25*nm_séries))</f>
        <v/>
      </c>
      <c r="AB105" s="30" t="str">
        <f t="shared" si="22"/>
        <v/>
      </c>
      <c r="AC105" s="60" t="str">
        <f>IF($A105="","",IF(AC$6="NÃO",0,IF(A105=0,Tabela!$H$27,IF(MOD(A105,3)=0,Tabela!$H$27,0))))</f>
        <v/>
      </c>
      <c r="AD105" s="30" t="str">
        <f t="shared" si="22"/>
        <v/>
      </c>
      <c r="AE105" s="60" t="str">
        <f t="shared" si="22"/>
        <v/>
      </c>
      <c r="AF105" s="30" t="str">
        <f>IF($A105="","",IF(AF$6="NÃO",0,IF(AND(MONTH(ESTRUTURA!C105)=MONTH(ESTRUTURA!$F$3),A105&gt;0),Tabela!$H$30,0)))</f>
        <v/>
      </c>
      <c r="AG105" s="60" t="str">
        <f t="shared" si="22"/>
        <v/>
      </c>
      <c r="AH105" s="30" t="str">
        <f t="shared" si="22"/>
        <v/>
      </c>
      <c r="AI105" s="60" t="str">
        <f>IF($A105="","",IF(AI$6="NÃO",0,IF($A105=0,DATEDIF(ESTRUTURA!$F$3,ESTRUTURA!$F$4,"m")*Tabela!$H$33,Tabela!$H$33)))</f>
        <v/>
      </c>
      <c r="AJ105" s="30" t="str">
        <f t="shared" si="13"/>
        <v/>
      </c>
    </row>
    <row r="106" spans="1:36" x14ac:dyDescent="0.2">
      <c r="A106" s="66" t="str">
        <f>ESTRUTURA!A106</f>
        <v/>
      </c>
      <c r="B106" s="58">
        <f t="shared" si="20"/>
        <v>0</v>
      </c>
      <c r="C106" s="60" t="str">
        <f t="shared" si="23"/>
        <v/>
      </c>
      <c r="D106" s="30" t="str">
        <f t="shared" si="23"/>
        <v/>
      </c>
      <c r="E106" s="60" t="str">
        <f t="shared" si="23"/>
        <v/>
      </c>
      <c r="F106" s="30" t="str">
        <f>IF($A106="","",IF(F$6="NÃO",0,Tabela!$H$34*ESTRUTURA!$I$4))</f>
        <v/>
      </c>
      <c r="G106" s="60" t="str">
        <f t="shared" si="23"/>
        <v/>
      </c>
      <c r="H106" s="30" t="str">
        <f>IF($A106="","",IF(H$6="NÃO",0,IF($A106=0,DATEDIF(ESTRUTURA!$F$3,ESTRUTURA!$F$4,"m")*Tabela!$H$6,Tabela!$H$6)))</f>
        <v/>
      </c>
      <c r="I106" s="60" t="str">
        <f t="shared" si="23"/>
        <v/>
      </c>
      <c r="J106" s="30" t="str">
        <f>IF($A106="","",IF(J$6="NÃO",0,IF($A106=0,DATEDIF(ESTRUTURA!$F$3,ESTRUTURA!$F$4,"m")*Tabela!$H$8,IF(J$6="NÃO",0,Tabela!$H$8))))</f>
        <v/>
      </c>
      <c r="K106" s="60" t="str">
        <f t="shared" si="23"/>
        <v/>
      </c>
      <c r="L106" s="30" t="str">
        <f t="shared" si="23"/>
        <v/>
      </c>
      <c r="M106" s="60" t="str">
        <f t="shared" si="23"/>
        <v/>
      </c>
      <c r="N106" s="30" t="str">
        <f t="shared" si="23"/>
        <v/>
      </c>
      <c r="O106" s="60" t="str">
        <f t="shared" si="23"/>
        <v/>
      </c>
      <c r="P106" s="30" t="str">
        <f t="shared" si="21"/>
        <v/>
      </c>
      <c r="Q106" s="60" t="str">
        <f t="shared" si="23"/>
        <v/>
      </c>
      <c r="R106" s="30" t="str">
        <f t="shared" si="23"/>
        <v/>
      </c>
      <c r="S106" s="60" t="str">
        <f>IF($A106="","",IF(S$6="NÃO",0,IF($A106=0,DATEDIF(ESTRUTURA!$F$3,ESTRUTURA!$F$4,"m")*Tabela!$H$17,Tabela!$H$17)))</f>
        <v/>
      </c>
      <c r="T106" s="30" t="str">
        <f>IF($A106="","",IF(T$6="NÃO",0,IF($A106=0,DATEDIF(ESTRUTURA!$F$3,ESTRUTURA!$F$4,"m")*Tabela!$H$18,Tabela!$H$18)))</f>
        <v/>
      </c>
      <c r="U106" s="60" t="str">
        <f t="shared" si="22"/>
        <v/>
      </c>
      <c r="V106" s="30" t="str">
        <f>IF($A106="","",IF(V$6="NÃO",0,IF($A106=0,DATEDIF(ESTRUTURA!$F$3,ESTRUTURA!$F$4,"m")*Tabela!$H$20,Tabela!$H$20)))</f>
        <v/>
      </c>
      <c r="W106" s="60" t="str">
        <f t="shared" si="22"/>
        <v/>
      </c>
      <c r="X106" s="30" t="str">
        <f t="shared" si="22"/>
        <v/>
      </c>
      <c r="Y106" s="60" t="str">
        <f>IF($A106="","",IF(Y$6="NÃO",0,IF(A106=0,Tabela!$H$23,IF(Y$7="mensal",Tabela!$H$23,IF(AND(MONTH(ESTRUTURA!C106)=MONTH(ESTRUTURA!$F$3),A106&gt;0),Tabela!$H$23,0)))))</f>
        <v/>
      </c>
      <c r="Z106" s="30" t="str">
        <f t="shared" si="22"/>
        <v/>
      </c>
      <c r="AA106" s="60" t="str">
        <f>IF($A106="","",IF(AA$6="NÃO",0,Tabela!$H$25*nm_séries))</f>
        <v/>
      </c>
      <c r="AB106" s="30" t="str">
        <f t="shared" si="22"/>
        <v/>
      </c>
      <c r="AC106" s="60" t="str">
        <f>IF($A106="","",IF(AC$6="NÃO",0,IF(A106=0,Tabela!$H$27,IF(MOD(A106,3)=0,Tabela!$H$27,0))))</f>
        <v/>
      </c>
      <c r="AD106" s="30" t="str">
        <f t="shared" si="22"/>
        <v/>
      </c>
      <c r="AE106" s="60" t="str">
        <f t="shared" si="22"/>
        <v/>
      </c>
      <c r="AF106" s="30" t="str">
        <f>IF($A106="","",IF(AF$6="NÃO",0,IF(AND(MONTH(ESTRUTURA!C106)=MONTH(ESTRUTURA!$F$3),A106&gt;0),Tabela!$H$30,0)))</f>
        <v/>
      </c>
      <c r="AG106" s="60" t="str">
        <f t="shared" si="22"/>
        <v/>
      </c>
      <c r="AH106" s="30" t="str">
        <f t="shared" si="22"/>
        <v/>
      </c>
      <c r="AI106" s="60" t="str">
        <f>IF($A106="","",IF(AI$6="NÃO",0,IF($A106=0,DATEDIF(ESTRUTURA!$F$3,ESTRUTURA!$F$4,"m")*Tabela!$H$33,Tabela!$H$33)))</f>
        <v/>
      </c>
      <c r="AJ106" s="30" t="str">
        <f t="shared" si="13"/>
        <v/>
      </c>
    </row>
    <row r="107" spans="1:36" x14ac:dyDescent="0.2">
      <c r="A107" s="66" t="str">
        <f>ESTRUTURA!A107</f>
        <v/>
      </c>
      <c r="B107" s="58">
        <f t="shared" si="20"/>
        <v>0</v>
      </c>
      <c r="C107" s="60" t="str">
        <f t="shared" si="23"/>
        <v/>
      </c>
      <c r="D107" s="30" t="str">
        <f t="shared" si="23"/>
        <v/>
      </c>
      <c r="E107" s="60" t="str">
        <f t="shared" si="23"/>
        <v/>
      </c>
      <c r="F107" s="30" t="str">
        <f>IF($A107="","",IF(F$6="NÃO",0,Tabela!$H$34*ESTRUTURA!$I$4))</f>
        <v/>
      </c>
      <c r="G107" s="60" t="str">
        <f t="shared" si="23"/>
        <v/>
      </c>
      <c r="H107" s="30" t="str">
        <f>IF($A107="","",IF(H$6="NÃO",0,IF($A107=0,DATEDIF(ESTRUTURA!$F$3,ESTRUTURA!$F$4,"m")*Tabela!$H$6,Tabela!$H$6)))</f>
        <v/>
      </c>
      <c r="I107" s="60" t="str">
        <f t="shared" si="23"/>
        <v/>
      </c>
      <c r="J107" s="30" t="str">
        <f>IF($A107="","",IF(J$6="NÃO",0,IF($A107=0,DATEDIF(ESTRUTURA!$F$3,ESTRUTURA!$F$4,"m")*Tabela!$H$8,IF(J$6="NÃO",0,Tabela!$H$8))))</f>
        <v/>
      </c>
      <c r="K107" s="60" t="str">
        <f t="shared" si="23"/>
        <v/>
      </c>
      <c r="L107" s="30" t="str">
        <f t="shared" si="23"/>
        <v/>
      </c>
      <c r="M107" s="60" t="str">
        <f t="shared" si="23"/>
        <v/>
      </c>
      <c r="N107" s="30" t="str">
        <f t="shared" si="23"/>
        <v/>
      </c>
      <c r="O107" s="60" t="str">
        <f t="shared" si="23"/>
        <v/>
      </c>
      <c r="P107" s="30" t="str">
        <f t="shared" si="21"/>
        <v/>
      </c>
      <c r="Q107" s="60" t="str">
        <f t="shared" si="23"/>
        <v/>
      </c>
      <c r="R107" s="30" t="str">
        <f t="shared" si="23"/>
        <v/>
      </c>
      <c r="S107" s="60" t="str">
        <f>IF($A107="","",IF(S$6="NÃO",0,IF($A107=0,DATEDIF(ESTRUTURA!$F$3,ESTRUTURA!$F$4,"m")*Tabela!$H$17,Tabela!$H$17)))</f>
        <v/>
      </c>
      <c r="T107" s="30" t="str">
        <f>IF($A107="","",IF(T$6="NÃO",0,IF($A107=0,DATEDIF(ESTRUTURA!$F$3,ESTRUTURA!$F$4,"m")*Tabela!$H$18,Tabela!$H$18)))</f>
        <v/>
      </c>
      <c r="U107" s="60" t="str">
        <f t="shared" ref="U107:AH122" si="24">IF($A107="","",IF(U$6="NÃO",0,0))</f>
        <v/>
      </c>
      <c r="V107" s="30" t="str">
        <f>IF($A107="","",IF(V$6="NÃO",0,IF($A107=0,DATEDIF(ESTRUTURA!$F$3,ESTRUTURA!$F$4,"m")*Tabela!$H$20,Tabela!$H$20)))</f>
        <v/>
      </c>
      <c r="W107" s="60" t="str">
        <f t="shared" si="24"/>
        <v/>
      </c>
      <c r="X107" s="30" t="str">
        <f t="shared" si="24"/>
        <v/>
      </c>
      <c r="Y107" s="60" t="str">
        <f>IF($A107="","",IF(Y$6="NÃO",0,IF(A107=0,Tabela!$H$23,IF(Y$7="mensal",Tabela!$H$23,IF(AND(MONTH(ESTRUTURA!C107)=MONTH(ESTRUTURA!$F$3),A107&gt;0),Tabela!$H$23,0)))))</f>
        <v/>
      </c>
      <c r="Z107" s="30" t="str">
        <f t="shared" si="24"/>
        <v/>
      </c>
      <c r="AA107" s="60" t="str">
        <f>IF($A107="","",IF(AA$6="NÃO",0,Tabela!$H$25*nm_séries))</f>
        <v/>
      </c>
      <c r="AB107" s="30" t="str">
        <f t="shared" si="24"/>
        <v/>
      </c>
      <c r="AC107" s="60" t="str">
        <f>IF($A107="","",IF(AC$6="NÃO",0,IF(A107=0,Tabela!$H$27,IF(MOD(A107,3)=0,Tabela!$H$27,0))))</f>
        <v/>
      </c>
      <c r="AD107" s="30" t="str">
        <f t="shared" si="24"/>
        <v/>
      </c>
      <c r="AE107" s="60" t="str">
        <f t="shared" si="24"/>
        <v/>
      </c>
      <c r="AF107" s="30" t="str">
        <f>IF($A107="","",IF(AF$6="NÃO",0,IF(AND(MONTH(ESTRUTURA!C107)=MONTH(ESTRUTURA!$F$3),A107&gt;0),Tabela!$H$30,0)))</f>
        <v/>
      </c>
      <c r="AG107" s="60" t="str">
        <f t="shared" si="24"/>
        <v/>
      </c>
      <c r="AH107" s="30" t="str">
        <f t="shared" si="24"/>
        <v/>
      </c>
      <c r="AI107" s="60" t="str">
        <f>IF($A107="","",IF(AI$6="NÃO",0,IF($A107=0,DATEDIF(ESTRUTURA!$F$3,ESTRUTURA!$F$4,"m")*Tabela!$H$33,Tabela!$H$33)))</f>
        <v/>
      </c>
      <c r="AJ107" s="30" t="str">
        <f t="shared" si="13"/>
        <v/>
      </c>
    </row>
    <row r="108" spans="1:36" x14ac:dyDescent="0.2">
      <c r="A108" s="66" t="str">
        <f>ESTRUTURA!A108</f>
        <v/>
      </c>
      <c r="B108" s="58">
        <f t="shared" si="20"/>
        <v>0</v>
      </c>
      <c r="C108" s="60" t="str">
        <f t="shared" ref="C108:R123" si="25">IF($A108="","",IF(C$6="NÃO",0,0))</f>
        <v/>
      </c>
      <c r="D108" s="30" t="str">
        <f t="shared" si="25"/>
        <v/>
      </c>
      <c r="E108" s="60" t="str">
        <f t="shared" si="25"/>
        <v/>
      </c>
      <c r="F108" s="30" t="str">
        <f>IF($A108="","",IF(F$6="NÃO",0,Tabela!$H$34*ESTRUTURA!$I$4))</f>
        <v/>
      </c>
      <c r="G108" s="60" t="str">
        <f t="shared" si="25"/>
        <v/>
      </c>
      <c r="H108" s="30" t="str">
        <f>IF($A108="","",IF(H$6="NÃO",0,IF($A108=0,DATEDIF(ESTRUTURA!$F$3,ESTRUTURA!$F$4,"m")*Tabela!$H$6,Tabela!$H$6)))</f>
        <v/>
      </c>
      <c r="I108" s="60" t="str">
        <f t="shared" si="25"/>
        <v/>
      </c>
      <c r="J108" s="30" t="str">
        <f>IF($A108="","",IF(J$6="NÃO",0,IF($A108=0,DATEDIF(ESTRUTURA!$F$3,ESTRUTURA!$F$4,"m")*Tabela!$H$8,IF(J$6="NÃO",0,Tabela!$H$8))))</f>
        <v/>
      </c>
      <c r="K108" s="60" t="str">
        <f t="shared" si="25"/>
        <v/>
      </c>
      <c r="L108" s="30" t="str">
        <f t="shared" si="25"/>
        <v/>
      </c>
      <c r="M108" s="60" t="str">
        <f t="shared" si="25"/>
        <v/>
      </c>
      <c r="N108" s="30" t="str">
        <f t="shared" si="25"/>
        <v/>
      </c>
      <c r="O108" s="60" t="str">
        <f t="shared" si="25"/>
        <v/>
      </c>
      <c r="P108" s="30" t="str">
        <f t="shared" si="25"/>
        <v/>
      </c>
      <c r="Q108" s="60" t="str">
        <f t="shared" si="25"/>
        <v/>
      </c>
      <c r="R108" s="30" t="str">
        <f t="shared" si="25"/>
        <v/>
      </c>
      <c r="S108" s="60" t="str">
        <f>IF($A108="","",IF(S$6="NÃO",0,IF($A108=0,DATEDIF(ESTRUTURA!$F$3,ESTRUTURA!$F$4,"m")*Tabela!$H$17,Tabela!$H$17)))</f>
        <v/>
      </c>
      <c r="T108" s="30" t="str">
        <f>IF($A108="","",IF(T$6="NÃO",0,IF($A108=0,DATEDIF(ESTRUTURA!$F$3,ESTRUTURA!$F$4,"m")*Tabela!$H$18,Tabela!$H$18)))</f>
        <v/>
      </c>
      <c r="U108" s="60" t="str">
        <f t="shared" si="24"/>
        <v/>
      </c>
      <c r="V108" s="30" t="str">
        <f>IF($A108="","",IF(V$6="NÃO",0,IF($A108=0,DATEDIF(ESTRUTURA!$F$3,ESTRUTURA!$F$4,"m")*Tabela!$H$20,Tabela!$H$20)))</f>
        <v/>
      </c>
      <c r="W108" s="60" t="str">
        <f t="shared" si="24"/>
        <v/>
      </c>
      <c r="X108" s="30" t="str">
        <f t="shared" si="24"/>
        <v/>
      </c>
      <c r="Y108" s="60" t="str">
        <f>IF($A108="","",IF(Y$6="NÃO",0,IF(A108=0,Tabela!$H$23,IF(Y$7="mensal",Tabela!$H$23,IF(AND(MONTH(ESTRUTURA!C108)=MONTH(ESTRUTURA!$F$3),A108&gt;0),Tabela!$H$23,0)))))</f>
        <v/>
      </c>
      <c r="Z108" s="30" t="str">
        <f t="shared" si="24"/>
        <v/>
      </c>
      <c r="AA108" s="60" t="str">
        <f>IF($A108="","",IF(AA$6="NÃO",0,Tabela!$H$25*nm_séries))</f>
        <v/>
      </c>
      <c r="AB108" s="30" t="str">
        <f t="shared" si="24"/>
        <v/>
      </c>
      <c r="AC108" s="60" t="str">
        <f>IF($A108="","",IF(AC$6="NÃO",0,IF(A108=0,Tabela!$H$27,IF(MOD(A108,3)=0,Tabela!$H$27,0))))</f>
        <v/>
      </c>
      <c r="AD108" s="30" t="str">
        <f t="shared" si="24"/>
        <v/>
      </c>
      <c r="AE108" s="60" t="str">
        <f t="shared" si="24"/>
        <v/>
      </c>
      <c r="AF108" s="30" t="str">
        <f>IF($A108="","",IF(AF$6="NÃO",0,IF(AND(MONTH(ESTRUTURA!C108)=MONTH(ESTRUTURA!$F$3),A108&gt;0),Tabela!$H$30,0)))</f>
        <v/>
      </c>
      <c r="AG108" s="60" t="str">
        <f t="shared" si="24"/>
        <v/>
      </c>
      <c r="AH108" s="30" t="str">
        <f t="shared" si="24"/>
        <v/>
      </c>
      <c r="AI108" s="60" t="str">
        <f>IF($A108="","",IF(AI$6="NÃO",0,IF($A108=0,DATEDIF(ESTRUTURA!$F$3,ESTRUTURA!$F$4,"m")*Tabela!$H$33,Tabela!$H$33)))</f>
        <v/>
      </c>
      <c r="AJ108" s="30" t="str">
        <f t="shared" si="13"/>
        <v/>
      </c>
    </row>
    <row r="109" spans="1:36" x14ac:dyDescent="0.2">
      <c r="A109" s="66" t="str">
        <f>ESTRUTURA!A109</f>
        <v/>
      </c>
      <c r="B109" s="58">
        <f t="shared" si="20"/>
        <v>0</v>
      </c>
      <c r="C109" s="60" t="str">
        <f t="shared" si="25"/>
        <v/>
      </c>
      <c r="D109" s="30" t="str">
        <f t="shared" si="25"/>
        <v/>
      </c>
      <c r="E109" s="60" t="str">
        <f t="shared" si="25"/>
        <v/>
      </c>
      <c r="F109" s="30" t="str">
        <f>IF($A109="","",IF(F$6="NÃO",0,Tabela!$H$34*ESTRUTURA!$I$4))</f>
        <v/>
      </c>
      <c r="G109" s="60" t="str">
        <f t="shared" si="25"/>
        <v/>
      </c>
      <c r="H109" s="30" t="str">
        <f>IF($A109="","",IF(H$6="NÃO",0,IF($A109=0,DATEDIF(ESTRUTURA!$F$3,ESTRUTURA!$F$4,"m")*Tabela!$H$6,Tabela!$H$6)))</f>
        <v/>
      </c>
      <c r="I109" s="60" t="str">
        <f t="shared" si="25"/>
        <v/>
      </c>
      <c r="J109" s="30" t="str">
        <f>IF($A109="","",IF(J$6="NÃO",0,IF($A109=0,DATEDIF(ESTRUTURA!$F$3,ESTRUTURA!$F$4,"m")*Tabela!$H$8,IF(J$6="NÃO",0,Tabela!$H$8))))</f>
        <v/>
      </c>
      <c r="K109" s="60" t="str">
        <f t="shared" si="25"/>
        <v/>
      </c>
      <c r="L109" s="30" t="str">
        <f t="shared" si="25"/>
        <v/>
      </c>
      <c r="M109" s="60" t="str">
        <f t="shared" si="25"/>
        <v/>
      </c>
      <c r="N109" s="30" t="str">
        <f t="shared" si="25"/>
        <v/>
      </c>
      <c r="O109" s="60" t="str">
        <f t="shared" si="25"/>
        <v/>
      </c>
      <c r="P109" s="30" t="str">
        <f t="shared" si="25"/>
        <v/>
      </c>
      <c r="Q109" s="60" t="str">
        <f t="shared" si="25"/>
        <v/>
      </c>
      <c r="R109" s="30" t="str">
        <f t="shared" si="25"/>
        <v/>
      </c>
      <c r="S109" s="60" t="str">
        <f>IF($A109="","",IF(S$6="NÃO",0,IF($A109=0,DATEDIF(ESTRUTURA!$F$3,ESTRUTURA!$F$4,"m")*Tabela!$H$17,Tabela!$H$17)))</f>
        <v/>
      </c>
      <c r="T109" s="30" t="str">
        <f>IF($A109="","",IF(T$6="NÃO",0,IF($A109=0,DATEDIF(ESTRUTURA!$F$3,ESTRUTURA!$F$4,"m")*Tabela!$H$18,Tabela!$H$18)))</f>
        <v/>
      </c>
      <c r="U109" s="60" t="str">
        <f t="shared" si="24"/>
        <v/>
      </c>
      <c r="V109" s="30" t="str">
        <f>IF($A109="","",IF(V$6="NÃO",0,IF($A109=0,DATEDIF(ESTRUTURA!$F$3,ESTRUTURA!$F$4,"m")*Tabela!$H$20,Tabela!$H$20)))</f>
        <v/>
      </c>
      <c r="W109" s="60" t="str">
        <f t="shared" si="24"/>
        <v/>
      </c>
      <c r="X109" s="30" t="str">
        <f t="shared" si="24"/>
        <v/>
      </c>
      <c r="Y109" s="60" t="str">
        <f>IF($A109="","",IF(Y$6="NÃO",0,IF(A109=0,Tabela!$H$23,IF(Y$7="mensal",Tabela!$H$23,IF(AND(MONTH(ESTRUTURA!C109)=MONTH(ESTRUTURA!$F$3),A109&gt;0),Tabela!$H$23,0)))))</f>
        <v/>
      </c>
      <c r="Z109" s="30" t="str">
        <f t="shared" si="24"/>
        <v/>
      </c>
      <c r="AA109" s="60" t="str">
        <f>IF($A109="","",IF(AA$6="NÃO",0,Tabela!$H$25*nm_séries))</f>
        <v/>
      </c>
      <c r="AB109" s="30" t="str">
        <f t="shared" si="24"/>
        <v/>
      </c>
      <c r="AC109" s="60" t="str">
        <f>IF($A109="","",IF(AC$6="NÃO",0,IF(A109=0,Tabela!$H$27,IF(MOD(A109,3)=0,Tabela!$H$27,0))))</f>
        <v/>
      </c>
      <c r="AD109" s="30" t="str">
        <f t="shared" si="24"/>
        <v/>
      </c>
      <c r="AE109" s="60" t="str">
        <f t="shared" si="24"/>
        <v/>
      </c>
      <c r="AF109" s="30" t="str">
        <f>IF($A109="","",IF(AF$6="NÃO",0,IF(AND(MONTH(ESTRUTURA!C109)=MONTH(ESTRUTURA!$F$3),A109&gt;0),Tabela!$H$30,0)))</f>
        <v/>
      </c>
      <c r="AG109" s="60" t="str">
        <f t="shared" si="24"/>
        <v/>
      </c>
      <c r="AH109" s="30" t="str">
        <f t="shared" si="24"/>
        <v/>
      </c>
      <c r="AI109" s="60" t="str">
        <f>IF($A109="","",IF(AI$6="NÃO",0,IF($A109=0,DATEDIF(ESTRUTURA!$F$3,ESTRUTURA!$F$4,"m")*Tabela!$H$33,Tabela!$H$33)))</f>
        <v/>
      </c>
      <c r="AJ109" s="30" t="str">
        <f t="shared" si="13"/>
        <v/>
      </c>
    </row>
    <row r="110" spans="1:36" x14ac:dyDescent="0.2">
      <c r="A110" s="66" t="str">
        <f>ESTRUTURA!A110</f>
        <v/>
      </c>
      <c r="B110" s="58">
        <f t="shared" si="20"/>
        <v>0</v>
      </c>
      <c r="C110" s="60" t="str">
        <f t="shared" si="25"/>
        <v/>
      </c>
      <c r="D110" s="30" t="str">
        <f t="shared" si="25"/>
        <v/>
      </c>
      <c r="E110" s="60" t="str">
        <f t="shared" si="25"/>
        <v/>
      </c>
      <c r="F110" s="30" t="str">
        <f>IF($A110="","",IF(F$6="NÃO",0,Tabela!$H$34*ESTRUTURA!$I$4))</f>
        <v/>
      </c>
      <c r="G110" s="60" t="str">
        <f t="shared" si="25"/>
        <v/>
      </c>
      <c r="H110" s="30" t="str">
        <f>IF($A110="","",IF(H$6="NÃO",0,IF($A110=0,DATEDIF(ESTRUTURA!$F$3,ESTRUTURA!$F$4,"m")*Tabela!$H$6,Tabela!$H$6)))</f>
        <v/>
      </c>
      <c r="I110" s="60" t="str">
        <f t="shared" si="25"/>
        <v/>
      </c>
      <c r="J110" s="30" t="str">
        <f>IF($A110="","",IF(J$6="NÃO",0,IF($A110=0,DATEDIF(ESTRUTURA!$F$3,ESTRUTURA!$F$4,"m")*Tabela!$H$8,IF(J$6="NÃO",0,Tabela!$H$8))))</f>
        <v/>
      </c>
      <c r="K110" s="60" t="str">
        <f t="shared" si="25"/>
        <v/>
      </c>
      <c r="L110" s="30" t="str">
        <f t="shared" si="25"/>
        <v/>
      </c>
      <c r="M110" s="60" t="str">
        <f t="shared" si="25"/>
        <v/>
      </c>
      <c r="N110" s="30" t="str">
        <f t="shared" si="25"/>
        <v/>
      </c>
      <c r="O110" s="60" t="str">
        <f t="shared" si="25"/>
        <v/>
      </c>
      <c r="P110" s="30" t="str">
        <f t="shared" si="25"/>
        <v/>
      </c>
      <c r="Q110" s="60" t="str">
        <f t="shared" si="25"/>
        <v/>
      </c>
      <c r="R110" s="30" t="str">
        <f t="shared" si="25"/>
        <v/>
      </c>
      <c r="S110" s="60" t="str">
        <f>IF($A110="","",IF(S$6="NÃO",0,IF($A110=0,DATEDIF(ESTRUTURA!$F$3,ESTRUTURA!$F$4,"m")*Tabela!$H$17,Tabela!$H$17)))</f>
        <v/>
      </c>
      <c r="T110" s="30" t="str">
        <f>IF($A110="","",IF(T$6="NÃO",0,IF($A110=0,DATEDIF(ESTRUTURA!$F$3,ESTRUTURA!$F$4,"m")*Tabela!$H$18,Tabela!$H$18)))</f>
        <v/>
      </c>
      <c r="U110" s="60" t="str">
        <f t="shared" si="24"/>
        <v/>
      </c>
      <c r="V110" s="30" t="str">
        <f>IF($A110="","",IF(V$6="NÃO",0,IF($A110=0,DATEDIF(ESTRUTURA!$F$3,ESTRUTURA!$F$4,"m")*Tabela!$H$20,Tabela!$H$20)))</f>
        <v/>
      </c>
      <c r="W110" s="60" t="str">
        <f t="shared" si="24"/>
        <v/>
      </c>
      <c r="X110" s="30" t="str">
        <f t="shared" si="24"/>
        <v/>
      </c>
      <c r="Y110" s="60" t="str">
        <f>IF($A110="","",IF(Y$6="NÃO",0,IF(A110=0,Tabela!$H$23,IF(Y$7="mensal",Tabela!$H$23,IF(AND(MONTH(ESTRUTURA!C110)=MONTH(ESTRUTURA!$F$3),A110&gt;0),Tabela!$H$23,0)))))</f>
        <v/>
      </c>
      <c r="Z110" s="30" t="str">
        <f t="shared" si="24"/>
        <v/>
      </c>
      <c r="AA110" s="60" t="str">
        <f>IF($A110="","",IF(AA$6="NÃO",0,Tabela!$H$25*nm_séries))</f>
        <v/>
      </c>
      <c r="AB110" s="30" t="str">
        <f t="shared" si="24"/>
        <v/>
      </c>
      <c r="AC110" s="60" t="str">
        <f>IF($A110="","",IF(AC$6="NÃO",0,IF(A110=0,Tabela!$H$27,IF(MOD(A110,3)=0,Tabela!$H$27,0))))</f>
        <v/>
      </c>
      <c r="AD110" s="30" t="str">
        <f t="shared" si="24"/>
        <v/>
      </c>
      <c r="AE110" s="60" t="str">
        <f t="shared" si="24"/>
        <v/>
      </c>
      <c r="AF110" s="30" t="str">
        <f>IF($A110="","",IF(AF$6="NÃO",0,IF(AND(MONTH(ESTRUTURA!C110)=MONTH(ESTRUTURA!$F$3),A110&gt;0),Tabela!$H$30,0)))</f>
        <v/>
      </c>
      <c r="AG110" s="60" t="str">
        <f t="shared" si="24"/>
        <v/>
      </c>
      <c r="AH110" s="30" t="str">
        <f t="shared" si="24"/>
        <v/>
      </c>
      <c r="AI110" s="60" t="str">
        <f>IF($A110="","",IF(AI$6="NÃO",0,IF($A110=0,DATEDIF(ESTRUTURA!$F$3,ESTRUTURA!$F$4,"m")*Tabela!$H$33,Tabela!$H$33)))</f>
        <v/>
      </c>
      <c r="AJ110" s="30" t="str">
        <f t="shared" si="13"/>
        <v/>
      </c>
    </row>
    <row r="111" spans="1:36" x14ac:dyDescent="0.2">
      <c r="A111" s="66" t="str">
        <f>ESTRUTURA!A111</f>
        <v/>
      </c>
      <c r="B111" s="58">
        <f t="shared" si="20"/>
        <v>0</v>
      </c>
      <c r="C111" s="60" t="str">
        <f t="shared" si="25"/>
        <v/>
      </c>
      <c r="D111" s="30" t="str">
        <f t="shared" si="25"/>
        <v/>
      </c>
      <c r="E111" s="60" t="str">
        <f t="shared" si="25"/>
        <v/>
      </c>
      <c r="F111" s="30" t="str">
        <f>IF($A111="","",IF(F$6="NÃO",0,Tabela!$H$34*ESTRUTURA!$I$4))</f>
        <v/>
      </c>
      <c r="G111" s="60" t="str">
        <f t="shared" si="25"/>
        <v/>
      </c>
      <c r="H111" s="30" t="str">
        <f>IF($A111="","",IF(H$6="NÃO",0,IF($A111=0,DATEDIF(ESTRUTURA!$F$3,ESTRUTURA!$F$4,"m")*Tabela!$H$6,Tabela!$H$6)))</f>
        <v/>
      </c>
      <c r="I111" s="60" t="str">
        <f t="shared" si="25"/>
        <v/>
      </c>
      <c r="J111" s="30" t="str">
        <f>IF($A111="","",IF(J$6="NÃO",0,IF($A111=0,DATEDIF(ESTRUTURA!$F$3,ESTRUTURA!$F$4,"m")*Tabela!$H$8,IF(J$6="NÃO",0,Tabela!$H$8))))</f>
        <v/>
      </c>
      <c r="K111" s="60" t="str">
        <f t="shared" si="25"/>
        <v/>
      </c>
      <c r="L111" s="30" t="str">
        <f t="shared" si="25"/>
        <v/>
      </c>
      <c r="M111" s="60" t="str">
        <f t="shared" si="25"/>
        <v/>
      </c>
      <c r="N111" s="30" t="str">
        <f t="shared" si="25"/>
        <v/>
      </c>
      <c r="O111" s="60" t="str">
        <f t="shared" si="25"/>
        <v/>
      </c>
      <c r="P111" s="30" t="str">
        <f t="shared" si="25"/>
        <v/>
      </c>
      <c r="Q111" s="60" t="str">
        <f t="shared" si="25"/>
        <v/>
      </c>
      <c r="R111" s="30" t="str">
        <f t="shared" si="25"/>
        <v/>
      </c>
      <c r="S111" s="60" t="str">
        <f>IF($A111="","",IF(S$6="NÃO",0,IF($A111=0,DATEDIF(ESTRUTURA!$F$3,ESTRUTURA!$F$4,"m")*Tabela!$H$17,Tabela!$H$17)))</f>
        <v/>
      </c>
      <c r="T111" s="30" t="str">
        <f>IF($A111="","",IF(T$6="NÃO",0,IF($A111=0,DATEDIF(ESTRUTURA!$F$3,ESTRUTURA!$F$4,"m")*Tabela!$H$18,Tabela!$H$18)))</f>
        <v/>
      </c>
      <c r="U111" s="60" t="str">
        <f t="shared" si="24"/>
        <v/>
      </c>
      <c r="V111" s="30" t="str">
        <f>IF($A111="","",IF(V$6="NÃO",0,IF($A111=0,DATEDIF(ESTRUTURA!$F$3,ESTRUTURA!$F$4,"m")*Tabela!$H$20,Tabela!$H$20)))</f>
        <v/>
      </c>
      <c r="W111" s="60" t="str">
        <f t="shared" si="24"/>
        <v/>
      </c>
      <c r="X111" s="30" t="str">
        <f t="shared" si="24"/>
        <v/>
      </c>
      <c r="Y111" s="60" t="str">
        <f>IF($A111="","",IF(Y$6="NÃO",0,IF(A111=0,Tabela!$H$23,IF(Y$7="mensal",Tabela!$H$23,IF(AND(MONTH(ESTRUTURA!C111)=MONTH(ESTRUTURA!$F$3),A111&gt;0),Tabela!$H$23,0)))))</f>
        <v/>
      </c>
      <c r="Z111" s="30" t="str">
        <f t="shared" si="24"/>
        <v/>
      </c>
      <c r="AA111" s="60" t="str">
        <f>IF($A111="","",IF(AA$6="NÃO",0,Tabela!$H$25*nm_séries))</f>
        <v/>
      </c>
      <c r="AB111" s="30" t="str">
        <f t="shared" si="24"/>
        <v/>
      </c>
      <c r="AC111" s="60" t="str">
        <f>IF($A111="","",IF(AC$6="NÃO",0,IF(A111=0,Tabela!$H$27,IF(MOD(A111,3)=0,Tabela!$H$27,0))))</f>
        <v/>
      </c>
      <c r="AD111" s="30" t="str">
        <f t="shared" si="24"/>
        <v/>
      </c>
      <c r="AE111" s="60" t="str">
        <f t="shared" si="24"/>
        <v/>
      </c>
      <c r="AF111" s="30" t="str">
        <f>IF($A111="","",IF(AF$6="NÃO",0,IF(AND(MONTH(ESTRUTURA!C111)=MONTH(ESTRUTURA!$F$3),A111&gt;0),Tabela!$H$30,0)))</f>
        <v/>
      </c>
      <c r="AG111" s="60" t="str">
        <f t="shared" si="24"/>
        <v/>
      </c>
      <c r="AH111" s="30" t="str">
        <f t="shared" si="24"/>
        <v/>
      </c>
      <c r="AI111" s="60" t="str">
        <f>IF($A111="","",IF(AI$6="NÃO",0,IF($A111=0,DATEDIF(ESTRUTURA!$F$3,ESTRUTURA!$F$4,"m")*Tabela!$H$33,Tabela!$H$33)))</f>
        <v/>
      </c>
      <c r="AJ111" s="30" t="str">
        <f t="shared" si="13"/>
        <v/>
      </c>
    </row>
    <row r="112" spans="1:36" x14ac:dyDescent="0.2">
      <c r="A112" s="66" t="str">
        <f>ESTRUTURA!A112</f>
        <v/>
      </c>
      <c r="B112" s="58">
        <f t="shared" si="20"/>
        <v>0</v>
      </c>
      <c r="C112" s="60" t="str">
        <f t="shared" si="25"/>
        <v/>
      </c>
      <c r="D112" s="30" t="str">
        <f t="shared" si="25"/>
        <v/>
      </c>
      <c r="E112" s="60" t="str">
        <f t="shared" si="25"/>
        <v/>
      </c>
      <c r="F112" s="30" t="str">
        <f>IF($A112="","",IF(F$6="NÃO",0,Tabela!$H$34*ESTRUTURA!$I$4))</f>
        <v/>
      </c>
      <c r="G112" s="60" t="str">
        <f t="shared" si="25"/>
        <v/>
      </c>
      <c r="H112" s="30" t="str">
        <f>IF($A112="","",IF(H$6="NÃO",0,IF($A112=0,DATEDIF(ESTRUTURA!$F$3,ESTRUTURA!$F$4,"m")*Tabela!$H$6,Tabela!$H$6)))</f>
        <v/>
      </c>
      <c r="I112" s="60" t="str">
        <f t="shared" si="25"/>
        <v/>
      </c>
      <c r="J112" s="30" t="str">
        <f>IF($A112="","",IF(J$6="NÃO",0,IF($A112=0,DATEDIF(ESTRUTURA!$F$3,ESTRUTURA!$F$4,"m")*Tabela!$H$8,IF(J$6="NÃO",0,Tabela!$H$8))))</f>
        <v/>
      </c>
      <c r="K112" s="60" t="str">
        <f t="shared" si="25"/>
        <v/>
      </c>
      <c r="L112" s="30" t="str">
        <f t="shared" si="25"/>
        <v/>
      </c>
      <c r="M112" s="60" t="str">
        <f t="shared" si="25"/>
        <v/>
      </c>
      <c r="N112" s="30" t="str">
        <f t="shared" si="25"/>
        <v/>
      </c>
      <c r="O112" s="60" t="str">
        <f t="shared" si="25"/>
        <v/>
      </c>
      <c r="P112" s="30" t="str">
        <f t="shared" si="25"/>
        <v/>
      </c>
      <c r="Q112" s="60" t="str">
        <f t="shared" si="25"/>
        <v/>
      </c>
      <c r="R112" s="30" t="str">
        <f t="shared" si="25"/>
        <v/>
      </c>
      <c r="S112" s="60" t="str">
        <f>IF($A112="","",IF(S$6="NÃO",0,IF($A112=0,DATEDIF(ESTRUTURA!$F$3,ESTRUTURA!$F$4,"m")*Tabela!$H$17,Tabela!$H$17)))</f>
        <v/>
      </c>
      <c r="T112" s="30" t="str">
        <f>IF($A112="","",IF(T$6="NÃO",0,IF($A112=0,DATEDIF(ESTRUTURA!$F$3,ESTRUTURA!$F$4,"m")*Tabela!$H$18,Tabela!$H$18)))</f>
        <v/>
      </c>
      <c r="U112" s="60" t="str">
        <f t="shared" si="24"/>
        <v/>
      </c>
      <c r="V112" s="30" t="str">
        <f>IF($A112="","",IF(V$6="NÃO",0,IF($A112=0,DATEDIF(ESTRUTURA!$F$3,ESTRUTURA!$F$4,"m")*Tabela!$H$20,Tabela!$H$20)))</f>
        <v/>
      </c>
      <c r="W112" s="60" t="str">
        <f t="shared" si="24"/>
        <v/>
      </c>
      <c r="X112" s="30" t="str">
        <f t="shared" si="24"/>
        <v/>
      </c>
      <c r="Y112" s="60" t="str">
        <f>IF($A112="","",IF(Y$6="NÃO",0,IF(A112=0,Tabela!$H$23,IF(Y$7="mensal",Tabela!$H$23,IF(AND(MONTH(ESTRUTURA!C112)=MONTH(ESTRUTURA!$F$3),A112&gt;0),Tabela!$H$23,0)))))</f>
        <v/>
      </c>
      <c r="Z112" s="30" t="str">
        <f t="shared" si="24"/>
        <v/>
      </c>
      <c r="AA112" s="60" t="str">
        <f>IF($A112="","",IF(AA$6="NÃO",0,Tabela!$H$25*nm_séries))</f>
        <v/>
      </c>
      <c r="AB112" s="30" t="str">
        <f t="shared" si="24"/>
        <v/>
      </c>
      <c r="AC112" s="60" t="str">
        <f>IF($A112="","",IF(AC$6="NÃO",0,IF(A112=0,Tabela!$H$27,IF(MOD(A112,3)=0,Tabela!$H$27,0))))</f>
        <v/>
      </c>
      <c r="AD112" s="30" t="str">
        <f t="shared" si="24"/>
        <v/>
      </c>
      <c r="AE112" s="60" t="str">
        <f t="shared" si="24"/>
        <v/>
      </c>
      <c r="AF112" s="30" t="str">
        <f>IF($A112="","",IF(AF$6="NÃO",0,IF(AND(MONTH(ESTRUTURA!C112)=MONTH(ESTRUTURA!$F$3),A112&gt;0),Tabela!$H$30,0)))</f>
        <v/>
      </c>
      <c r="AG112" s="60" t="str">
        <f t="shared" si="24"/>
        <v/>
      </c>
      <c r="AH112" s="30" t="str">
        <f t="shared" si="24"/>
        <v/>
      </c>
      <c r="AI112" s="60" t="str">
        <f>IF($A112="","",IF(AI$6="NÃO",0,IF($A112=0,DATEDIF(ESTRUTURA!$F$3,ESTRUTURA!$F$4,"m")*Tabela!$H$33,Tabela!$H$33)))</f>
        <v/>
      </c>
      <c r="AJ112" s="30" t="str">
        <f t="shared" si="13"/>
        <v/>
      </c>
    </row>
    <row r="113" spans="1:36" x14ac:dyDescent="0.2">
      <c r="A113" s="66" t="str">
        <f>ESTRUTURA!A113</f>
        <v/>
      </c>
      <c r="B113" s="58">
        <f t="shared" si="20"/>
        <v>0</v>
      </c>
      <c r="C113" s="60" t="str">
        <f t="shared" si="25"/>
        <v/>
      </c>
      <c r="D113" s="30" t="str">
        <f t="shared" si="25"/>
        <v/>
      </c>
      <c r="E113" s="60" t="str">
        <f t="shared" si="25"/>
        <v/>
      </c>
      <c r="F113" s="30" t="str">
        <f>IF($A113="","",IF(F$6="NÃO",0,Tabela!$H$34*ESTRUTURA!$I$4))</f>
        <v/>
      </c>
      <c r="G113" s="60" t="str">
        <f t="shared" si="25"/>
        <v/>
      </c>
      <c r="H113" s="30" t="str">
        <f>IF($A113="","",IF(H$6="NÃO",0,IF($A113=0,DATEDIF(ESTRUTURA!$F$3,ESTRUTURA!$F$4,"m")*Tabela!$H$6,Tabela!$H$6)))</f>
        <v/>
      </c>
      <c r="I113" s="60" t="str">
        <f t="shared" si="25"/>
        <v/>
      </c>
      <c r="J113" s="30" t="str">
        <f>IF($A113="","",IF(J$6="NÃO",0,IF($A113=0,DATEDIF(ESTRUTURA!$F$3,ESTRUTURA!$F$4,"m")*Tabela!$H$8,IF(J$6="NÃO",0,Tabela!$H$8))))</f>
        <v/>
      </c>
      <c r="K113" s="60" t="str">
        <f t="shared" si="25"/>
        <v/>
      </c>
      <c r="L113" s="30" t="str">
        <f t="shared" si="25"/>
        <v/>
      </c>
      <c r="M113" s="60" t="str">
        <f t="shared" si="25"/>
        <v/>
      </c>
      <c r="N113" s="30" t="str">
        <f t="shared" si="25"/>
        <v/>
      </c>
      <c r="O113" s="60" t="str">
        <f t="shared" si="25"/>
        <v/>
      </c>
      <c r="P113" s="30" t="str">
        <f t="shared" si="25"/>
        <v/>
      </c>
      <c r="Q113" s="60" t="str">
        <f t="shared" si="25"/>
        <v/>
      </c>
      <c r="R113" s="30" t="str">
        <f t="shared" si="25"/>
        <v/>
      </c>
      <c r="S113" s="60" t="str">
        <f>IF($A113="","",IF(S$6="NÃO",0,IF($A113=0,DATEDIF(ESTRUTURA!$F$3,ESTRUTURA!$F$4,"m")*Tabela!$H$17,Tabela!$H$17)))</f>
        <v/>
      </c>
      <c r="T113" s="30" t="str">
        <f>IF($A113="","",IF(T$6="NÃO",0,IF($A113=0,DATEDIF(ESTRUTURA!$F$3,ESTRUTURA!$F$4,"m")*Tabela!$H$18,Tabela!$H$18)))</f>
        <v/>
      </c>
      <c r="U113" s="60" t="str">
        <f t="shared" si="24"/>
        <v/>
      </c>
      <c r="V113" s="30" t="str">
        <f>IF($A113="","",IF(V$6="NÃO",0,IF($A113=0,DATEDIF(ESTRUTURA!$F$3,ESTRUTURA!$F$4,"m")*Tabela!$H$20,Tabela!$H$20)))</f>
        <v/>
      </c>
      <c r="W113" s="60" t="str">
        <f t="shared" si="24"/>
        <v/>
      </c>
      <c r="X113" s="30" t="str">
        <f t="shared" si="24"/>
        <v/>
      </c>
      <c r="Y113" s="60" t="str">
        <f>IF($A113="","",IF(Y$6="NÃO",0,IF(A113=0,Tabela!$H$23,IF(Y$7="mensal",Tabela!$H$23,IF(AND(MONTH(ESTRUTURA!C113)=MONTH(ESTRUTURA!$F$3),A113&gt;0),Tabela!$H$23,0)))))</f>
        <v/>
      </c>
      <c r="Z113" s="30" t="str">
        <f t="shared" si="24"/>
        <v/>
      </c>
      <c r="AA113" s="60" t="str">
        <f>IF($A113="","",IF(AA$6="NÃO",0,Tabela!$H$25*nm_séries))</f>
        <v/>
      </c>
      <c r="AB113" s="30" t="str">
        <f t="shared" si="24"/>
        <v/>
      </c>
      <c r="AC113" s="60" t="str">
        <f>IF($A113="","",IF(AC$6="NÃO",0,IF(A113=0,Tabela!$H$27,IF(MOD(A113,3)=0,Tabela!$H$27,0))))</f>
        <v/>
      </c>
      <c r="AD113" s="30" t="str">
        <f t="shared" si="24"/>
        <v/>
      </c>
      <c r="AE113" s="60" t="str">
        <f t="shared" si="24"/>
        <v/>
      </c>
      <c r="AF113" s="30" t="str">
        <f>IF($A113="","",IF(AF$6="NÃO",0,IF(AND(MONTH(ESTRUTURA!C113)=MONTH(ESTRUTURA!$F$3),A113&gt;0),Tabela!$H$30,0)))</f>
        <v/>
      </c>
      <c r="AG113" s="60" t="str">
        <f t="shared" si="24"/>
        <v/>
      </c>
      <c r="AH113" s="30" t="str">
        <f t="shared" si="24"/>
        <v/>
      </c>
      <c r="AI113" s="60" t="str">
        <f>IF($A113="","",IF(AI$6="NÃO",0,IF($A113=0,DATEDIF(ESTRUTURA!$F$3,ESTRUTURA!$F$4,"m")*Tabela!$H$33,Tabela!$H$33)))</f>
        <v/>
      </c>
      <c r="AJ113" s="30" t="str">
        <f t="shared" si="13"/>
        <v/>
      </c>
    </row>
    <row r="114" spans="1:36" x14ac:dyDescent="0.2">
      <c r="A114" s="66" t="str">
        <f>ESTRUTURA!A114</f>
        <v/>
      </c>
      <c r="B114" s="58">
        <f t="shared" si="20"/>
        <v>0</v>
      </c>
      <c r="C114" s="60" t="str">
        <f t="shared" si="25"/>
        <v/>
      </c>
      <c r="D114" s="30" t="str">
        <f t="shared" si="25"/>
        <v/>
      </c>
      <c r="E114" s="60" t="str">
        <f t="shared" si="25"/>
        <v/>
      </c>
      <c r="F114" s="30" t="str">
        <f>IF($A114="","",IF(F$6="NÃO",0,Tabela!$H$34*ESTRUTURA!$I$4))</f>
        <v/>
      </c>
      <c r="G114" s="60" t="str">
        <f t="shared" si="25"/>
        <v/>
      </c>
      <c r="H114" s="30" t="str">
        <f>IF($A114="","",IF(H$6="NÃO",0,IF($A114=0,DATEDIF(ESTRUTURA!$F$3,ESTRUTURA!$F$4,"m")*Tabela!$H$6,Tabela!$H$6)))</f>
        <v/>
      </c>
      <c r="I114" s="60" t="str">
        <f t="shared" si="25"/>
        <v/>
      </c>
      <c r="J114" s="30" t="str">
        <f>IF($A114="","",IF(J$6="NÃO",0,IF($A114=0,DATEDIF(ESTRUTURA!$F$3,ESTRUTURA!$F$4,"m")*Tabela!$H$8,IF(J$6="NÃO",0,Tabela!$H$8))))</f>
        <v/>
      </c>
      <c r="K114" s="60" t="str">
        <f t="shared" si="25"/>
        <v/>
      </c>
      <c r="L114" s="30" t="str">
        <f t="shared" si="25"/>
        <v/>
      </c>
      <c r="M114" s="60" t="str">
        <f t="shared" si="25"/>
        <v/>
      </c>
      <c r="N114" s="30" t="str">
        <f t="shared" si="25"/>
        <v/>
      </c>
      <c r="O114" s="60" t="str">
        <f t="shared" si="25"/>
        <v/>
      </c>
      <c r="P114" s="30" t="str">
        <f t="shared" si="25"/>
        <v/>
      </c>
      <c r="Q114" s="60" t="str">
        <f t="shared" si="25"/>
        <v/>
      </c>
      <c r="R114" s="30" t="str">
        <f t="shared" si="25"/>
        <v/>
      </c>
      <c r="S114" s="60" t="str">
        <f>IF($A114="","",IF(S$6="NÃO",0,IF($A114=0,DATEDIF(ESTRUTURA!$F$3,ESTRUTURA!$F$4,"m")*Tabela!$H$17,Tabela!$H$17)))</f>
        <v/>
      </c>
      <c r="T114" s="30" t="str">
        <f>IF($A114="","",IF(T$6="NÃO",0,IF($A114=0,DATEDIF(ESTRUTURA!$F$3,ESTRUTURA!$F$4,"m")*Tabela!$H$18,Tabela!$H$18)))</f>
        <v/>
      </c>
      <c r="U114" s="60" t="str">
        <f t="shared" si="24"/>
        <v/>
      </c>
      <c r="V114" s="30" t="str">
        <f>IF($A114="","",IF(V$6="NÃO",0,IF($A114=0,DATEDIF(ESTRUTURA!$F$3,ESTRUTURA!$F$4,"m")*Tabela!$H$20,Tabela!$H$20)))</f>
        <v/>
      </c>
      <c r="W114" s="60" t="str">
        <f t="shared" si="24"/>
        <v/>
      </c>
      <c r="X114" s="30" t="str">
        <f t="shared" si="24"/>
        <v/>
      </c>
      <c r="Y114" s="60" t="str">
        <f>IF($A114="","",IF(Y$6="NÃO",0,IF(A114=0,Tabela!$H$23,IF(Y$7="mensal",Tabela!$H$23,IF(AND(MONTH(ESTRUTURA!C114)=MONTH(ESTRUTURA!$F$3),A114&gt;0),Tabela!$H$23,0)))))</f>
        <v/>
      </c>
      <c r="Z114" s="30" t="str">
        <f t="shared" si="24"/>
        <v/>
      </c>
      <c r="AA114" s="60" t="str">
        <f>IF($A114="","",IF(AA$6="NÃO",0,Tabela!$H$25*nm_séries))</f>
        <v/>
      </c>
      <c r="AB114" s="30" t="str">
        <f t="shared" si="24"/>
        <v/>
      </c>
      <c r="AC114" s="60" t="str">
        <f>IF($A114="","",IF(AC$6="NÃO",0,IF(A114=0,Tabela!$H$27,IF(MOD(A114,3)=0,Tabela!$H$27,0))))</f>
        <v/>
      </c>
      <c r="AD114" s="30" t="str">
        <f t="shared" si="24"/>
        <v/>
      </c>
      <c r="AE114" s="60" t="str">
        <f t="shared" si="24"/>
        <v/>
      </c>
      <c r="AF114" s="30" t="str">
        <f>IF($A114="","",IF(AF$6="NÃO",0,IF(AND(MONTH(ESTRUTURA!C114)=MONTH(ESTRUTURA!$F$3),A114&gt;0),Tabela!$H$30,0)))</f>
        <v/>
      </c>
      <c r="AG114" s="60" t="str">
        <f t="shared" si="24"/>
        <v/>
      </c>
      <c r="AH114" s="30" t="str">
        <f t="shared" si="24"/>
        <v/>
      </c>
      <c r="AI114" s="60" t="str">
        <f>IF($A114="","",IF(AI$6="NÃO",0,IF($A114=0,DATEDIF(ESTRUTURA!$F$3,ESTRUTURA!$F$4,"m")*Tabela!$H$33,Tabela!$H$33)))</f>
        <v/>
      </c>
      <c r="AJ114" s="30" t="str">
        <f t="shared" si="13"/>
        <v/>
      </c>
    </row>
    <row r="115" spans="1:36" x14ac:dyDescent="0.2">
      <c r="A115" s="66" t="str">
        <f>ESTRUTURA!A115</f>
        <v/>
      </c>
      <c r="B115" s="58">
        <f t="shared" si="20"/>
        <v>0</v>
      </c>
      <c r="C115" s="60" t="str">
        <f t="shared" si="25"/>
        <v/>
      </c>
      <c r="D115" s="30" t="str">
        <f t="shared" si="25"/>
        <v/>
      </c>
      <c r="E115" s="60" t="str">
        <f t="shared" si="25"/>
        <v/>
      </c>
      <c r="F115" s="30" t="str">
        <f>IF($A115="","",IF(F$6="NÃO",0,Tabela!$H$34*ESTRUTURA!$I$4))</f>
        <v/>
      </c>
      <c r="G115" s="60" t="str">
        <f t="shared" si="25"/>
        <v/>
      </c>
      <c r="H115" s="30" t="str">
        <f>IF($A115="","",IF(H$6="NÃO",0,IF($A115=0,DATEDIF(ESTRUTURA!$F$3,ESTRUTURA!$F$4,"m")*Tabela!$H$6,Tabela!$H$6)))</f>
        <v/>
      </c>
      <c r="I115" s="60" t="str">
        <f t="shared" si="25"/>
        <v/>
      </c>
      <c r="J115" s="30" t="str">
        <f>IF($A115="","",IF(J$6="NÃO",0,IF($A115=0,DATEDIF(ESTRUTURA!$F$3,ESTRUTURA!$F$4,"m")*Tabela!$H$8,IF(J$6="NÃO",0,Tabela!$H$8))))</f>
        <v/>
      </c>
      <c r="K115" s="60" t="str">
        <f t="shared" si="25"/>
        <v/>
      </c>
      <c r="L115" s="30" t="str">
        <f t="shared" si="25"/>
        <v/>
      </c>
      <c r="M115" s="60" t="str">
        <f t="shared" si="25"/>
        <v/>
      </c>
      <c r="N115" s="30" t="str">
        <f t="shared" si="25"/>
        <v/>
      </c>
      <c r="O115" s="60" t="str">
        <f t="shared" si="25"/>
        <v/>
      </c>
      <c r="P115" s="30" t="str">
        <f t="shared" si="25"/>
        <v/>
      </c>
      <c r="Q115" s="60" t="str">
        <f t="shared" si="25"/>
        <v/>
      </c>
      <c r="R115" s="30" t="str">
        <f t="shared" si="25"/>
        <v/>
      </c>
      <c r="S115" s="60" t="str">
        <f>IF($A115="","",IF(S$6="NÃO",0,IF($A115=0,DATEDIF(ESTRUTURA!$F$3,ESTRUTURA!$F$4,"m")*Tabela!$H$17,Tabela!$H$17)))</f>
        <v/>
      </c>
      <c r="T115" s="30" t="str">
        <f>IF($A115="","",IF(T$6="NÃO",0,IF($A115=0,DATEDIF(ESTRUTURA!$F$3,ESTRUTURA!$F$4,"m")*Tabela!$H$18,Tabela!$H$18)))</f>
        <v/>
      </c>
      <c r="U115" s="60" t="str">
        <f t="shared" si="24"/>
        <v/>
      </c>
      <c r="V115" s="30" t="str">
        <f>IF($A115="","",IF(V$6="NÃO",0,IF($A115=0,DATEDIF(ESTRUTURA!$F$3,ESTRUTURA!$F$4,"m")*Tabela!$H$20,Tabela!$H$20)))</f>
        <v/>
      </c>
      <c r="W115" s="60" t="str">
        <f t="shared" si="24"/>
        <v/>
      </c>
      <c r="X115" s="30" t="str">
        <f t="shared" si="24"/>
        <v/>
      </c>
      <c r="Y115" s="60" t="str">
        <f>IF($A115="","",IF(Y$6="NÃO",0,IF(A115=0,Tabela!$H$23,IF(Y$7="mensal",Tabela!$H$23,IF(AND(MONTH(ESTRUTURA!C115)=MONTH(ESTRUTURA!$F$3),A115&gt;0),Tabela!$H$23,0)))))</f>
        <v/>
      </c>
      <c r="Z115" s="30" t="str">
        <f t="shared" si="24"/>
        <v/>
      </c>
      <c r="AA115" s="60" t="str">
        <f>IF($A115="","",IF(AA$6="NÃO",0,Tabela!$H$25*nm_séries))</f>
        <v/>
      </c>
      <c r="AB115" s="30" t="str">
        <f t="shared" si="24"/>
        <v/>
      </c>
      <c r="AC115" s="60" t="str">
        <f>IF($A115="","",IF(AC$6="NÃO",0,IF(A115=0,Tabela!$H$27,IF(MOD(A115,3)=0,Tabela!$H$27,0))))</f>
        <v/>
      </c>
      <c r="AD115" s="30" t="str">
        <f t="shared" si="24"/>
        <v/>
      </c>
      <c r="AE115" s="60" t="str">
        <f t="shared" si="24"/>
        <v/>
      </c>
      <c r="AF115" s="30" t="str">
        <f>IF($A115="","",IF(AF$6="NÃO",0,IF(AND(MONTH(ESTRUTURA!C115)=MONTH(ESTRUTURA!$F$3),A115&gt;0),Tabela!$H$30,0)))</f>
        <v/>
      </c>
      <c r="AG115" s="60" t="str">
        <f t="shared" si="24"/>
        <v/>
      </c>
      <c r="AH115" s="30" t="str">
        <f t="shared" si="24"/>
        <v/>
      </c>
      <c r="AI115" s="60" t="str">
        <f>IF($A115="","",IF(AI$6="NÃO",0,IF($A115=0,DATEDIF(ESTRUTURA!$F$3,ESTRUTURA!$F$4,"m")*Tabela!$H$33,Tabela!$H$33)))</f>
        <v/>
      </c>
      <c r="AJ115" s="30" t="str">
        <f t="shared" si="13"/>
        <v/>
      </c>
    </row>
    <row r="116" spans="1:36" x14ac:dyDescent="0.2">
      <c r="A116" s="66" t="str">
        <f>ESTRUTURA!A116</f>
        <v/>
      </c>
      <c r="B116" s="58">
        <f t="shared" si="20"/>
        <v>0</v>
      </c>
      <c r="C116" s="60" t="str">
        <f t="shared" si="25"/>
        <v/>
      </c>
      <c r="D116" s="30" t="str">
        <f t="shared" si="25"/>
        <v/>
      </c>
      <c r="E116" s="60" t="str">
        <f t="shared" si="25"/>
        <v/>
      </c>
      <c r="F116" s="30" t="str">
        <f>IF($A116="","",IF(F$6="NÃO",0,Tabela!$H$34*ESTRUTURA!$I$4))</f>
        <v/>
      </c>
      <c r="G116" s="60" t="str">
        <f t="shared" si="25"/>
        <v/>
      </c>
      <c r="H116" s="30" t="str">
        <f>IF($A116="","",IF(H$6="NÃO",0,IF($A116=0,DATEDIF(ESTRUTURA!$F$3,ESTRUTURA!$F$4,"m")*Tabela!$H$6,Tabela!$H$6)))</f>
        <v/>
      </c>
      <c r="I116" s="60" t="str">
        <f t="shared" si="25"/>
        <v/>
      </c>
      <c r="J116" s="30" t="str">
        <f>IF($A116="","",IF(J$6="NÃO",0,IF($A116=0,DATEDIF(ESTRUTURA!$F$3,ESTRUTURA!$F$4,"m")*Tabela!$H$8,IF(J$6="NÃO",0,Tabela!$H$8))))</f>
        <v/>
      </c>
      <c r="K116" s="60" t="str">
        <f t="shared" si="25"/>
        <v/>
      </c>
      <c r="L116" s="30" t="str">
        <f t="shared" si="25"/>
        <v/>
      </c>
      <c r="M116" s="60" t="str">
        <f t="shared" si="25"/>
        <v/>
      </c>
      <c r="N116" s="30" t="str">
        <f t="shared" si="25"/>
        <v/>
      </c>
      <c r="O116" s="60" t="str">
        <f t="shared" si="25"/>
        <v/>
      </c>
      <c r="P116" s="30" t="str">
        <f t="shared" si="25"/>
        <v/>
      </c>
      <c r="Q116" s="60" t="str">
        <f t="shared" si="25"/>
        <v/>
      </c>
      <c r="R116" s="30" t="str">
        <f t="shared" si="25"/>
        <v/>
      </c>
      <c r="S116" s="60" t="str">
        <f>IF($A116="","",IF(S$6="NÃO",0,IF($A116=0,DATEDIF(ESTRUTURA!$F$3,ESTRUTURA!$F$4,"m")*Tabela!$H$17,Tabela!$H$17)))</f>
        <v/>
      </c>
      <c r="T116" s="30" t="str">
        <f>IF($A116="","",IF(T$6="NÃO",0,IF($A116=0,DATEDIF(ESTRUTURA!$F$3,ESTRUTURA!$F$4,"m")*Tabela!$H$18,Tabela!$H$18)))</f>
        <v/>
      </c>
      <c r="U116" s="60" t="str">
        <f t="shared" si="24"/>
        <v/>
      </c>
      <c r="V116" s="30" t="str">
        <f>IF($A116="","",IF(V$6="NÃO",0,IF($A116=0,DATEDIF(ESTRUTURA!$F$3,ESTRUTURA!$F$4,"m")*Tabela!$H$20,Tabela!$H$20)))</f>
        <v/>
      </c>
      <c r="W116" s="60" t="str">
        <f t="shared" si="24"/>
        <v/>
      </c>
      <c r="X116" s="30" t="str">
        <f t="shared" si="24"/>
        <v/>
      </c>
      <c r="Y116" s="60" t="str">
        <f>IF($A116="","",IF(Y$6="NÃO",0,IF(A116=0,Tabela!$H$23,IF(Y$7="mensal",Tabela!$H$23,IF(AND(MONTH(ESTRUTURA!C116)=MONTH(ESTRUTURA!$F$3),A116&gt;0),Tabela!$H$23,0)))))</f>
        <v/>
      </c>
      <c r="Z116" s="30" t="str">
        <f t="shared" si="24"/>
        <v/>
      </c>
      <c r="AA116" s="60" t="str">
        <f>IF($A116="","",IF(AA$6="NÃO",0,Tabela!$H$25*nm_séries))</f>
        <v/>
      </c>
      <c r="AB116" s="30" t="str">
        <f t="shared" si="24"/>
        <v/>
      </c>
      <c r="AC116" s="60" t="str">
        <f>IF($A116="","",IF(AC$6="NÃO",0,IF(A116=0,Tabela!$H$27,IF(MOD(A116,3)=0,Tabela!$H$27,0))))</f>
        <v/>
      </c>
      <c r="AD116" s="30" t="str">
        <f t="shared" si="24"/>
        <v/>
      </c>
      <c r="AE116" s="60" t="str">
        <f t="shared" si="24"/>
        <v/>
      </c>
      <c r="AF116" s="30" t="str">
        <f>IF($A116="","",IF(AF$6="NÃO",0,IF(AND(MONTH(ESTRUTURA!C116)=MONTH(ESTRUTURA!$F$3),A116&gt;0),Tabela!$H$30,0)))</f>
        <v/>
      </c>
      <c r="AG116" s="60" t="str">
        <f t="shared" si="24"/>
        <v/>
      </c>
      <c r="AH116" s="30" t="str">
        <f t="shared" si="24"/>
        <v/>
      </c>
      <c r="AI116" s="60" t="str">
        <f>IF($A116="","",IF(AI$6="NÃO",0,IF($A116=0,DATEDIF(ESTRUTURA!$F$3,ESTRUTURA!$F$4,"m")*Tabela!$H$33,Tabela!$H$33)))</f>
        <v/>
      </c>
      <c r="AJ116" s="30" t="str">
        <f t="shared" si="13"/>
        <v/>
      </c>
    </row>
    <row r="117" spans="1:36" x14ac:dyDescent="0.2">
      <c r="A117" s="66" t="str">
        <f>ESTRUTURA!A117</f>
        <v/>
      </c>
      <c r="B117" s="58">
        <f t="shared" si="20"/>
        <v>0</v>
      </c>
      <c r="C117" s="60" t="str">
        <f t="shared" si="25"/>
        <v/>
      </c>
      <c r="D117" s="30" t="str">
        <f t="shared" si="25"/>
        <v/>
      </c>
      <c r="E117" s="60" t="str">
        <f t="shared" si="25"/>
        <v/>
      </c>
      <c r="F117" s="30" t="str">
        <f>IF($A117="","",IF(F$6="NÃO",0,Tabela!$H$34*ESTRUTURA!$I$4))</f>
        <v/>
      </c>
      <c r="G117" s="60" t="str">
        <f t="shared" si="25"/>
        <v/>
      </c>
      <c r="H117" s="30" t="str">
        <f>IF($A117="","",IF(H$6="NÃO",0,IF($A117=0,DATEDIF(ESTRUTURA!$F$3,ESTRUTURA!$F$4,"m")*Tabela!$H$6,Tabela!$H$6)))</f>
        <v/>
      </c>
      <c r="I117" s="60" t="str">
        <f t="shared" si="25"/>
        <v/>
      </c>
      <c r="J117" s="30" t="str">
        <f>IF($A117="","",IF(J$6="NÃO",0,IF($A117=0,DATEDIF(ESTRUTURA!$F$3,ESTRUTURA!$F$4,"m")*Tabela!$H$8,IF(J$6="NÃO",0,Tabela!$H$8))))</f>
        <v/>
      </c>
      <c r="K117" s="60" t="str">
        <f t="shared" si="25"/>
        <v/>
      </c>
      <c r="L117" s="30" t="str">
        <f t="shared" si="25"/>
        <v/>
      </c>
      <c r="M117" s="60" t="str">
        <f t="shared" si="25"/>
        <v/>
      </c>
      <c r="N117" s="30" t="str">
        <f t="shared" si="25"/>
        <v/>
      </c>
      <c r="O117" s="60" t="str">
        <f t="shared" si="25"/>
        <v/>
      </c>
      <c r="P117" s="30" t="str">
        <f t="shared" si="25"/>
        <v/>
      </c>
      <c r="Q117" s="60" t="str">
        <f t="shared" si="25"/>
        <v/>
      </c>
      <c r="R117" s="30" t="str">
        <f t="shared" si="25"/>
        <v/>
      </c>
      <c r="S117" s="60" t="str">
        <f>IF($A117="","",IF(S$6="NÃO",0,IF($A117=0,DATEDIF(ESTRUTURA!$F$3,ESTRUTURA!$F$4,"m")*Tabela!$H$17,Tabela!$H$17)))</f>
        <v/>
      </c>
      <c r="T117" s="30" t="str">
        <f>IF($A117="","",IF(T$6="NÃO",0,IF($A117=0,DATEDIF(ESTRUTURA!$F$3,ESTRUTURA!$F$4,"m")*Tabela!$H$18,Tabela!$H$18)))</f>
        <v/>
      </c>
      <c r="U117" s="60" t="str">
        <f t="shared" si="24"/>
        <v/>
      </c>
      <c r="V117" s="30" t="str">
        <f>IF($A117="","",IF(V$6="NÃO",0,IF($A117=0,DATEDIF(ESTRUTURA!$F$3,ESTRUTURA!$F$4,"m")*Tabela!$H$20,Tabela!$H$20)))</f>
        <v/>
      </c>
      <c r="W117" s="60" t="str">
        <f t="shared" si="24"/>
        <v/>
      </c>
      <c r="X117" s="30" t="str">
        <f t="shared" si="24"/>
        <v/>
      </c>
      <c r="Y117" s="60" t="str">
        <f>IF($A117="","",IF(Y$6="NÃO",0,IF(A117=0,Tabela!$H$23,IF(Y$7="mensal",Tabela!$H$23,IF(AND(MONTH(ESTRUTURA!C117)=MONTH(ESTRUTURA!$F$3),A117&gt;0),Tabela!$H$23,0)))))</f>
        <v/>
      </c>
      <c r="Z117" s="30" t="str">
        <f t="shared" si="24"/>
        <v/>
      </c>
      <c r="AA117" s="60" t="str">
        <f>IF($A117="","",IF(AA$6="NÃO",0,Tabela!$H$25*nm_séries))</f>
        <v/>
      </c>
      <c r="AB117" s="30" t="str">
        <f t="shared" si="24"/>
        <v/>
      </c>
      <c r="AC117" s="60" t="str">
        <f>IF($A117="","",IF(AC$6="NÃO",0,IF(A117=0,Tabela!$H$27,IF(MOD(A117,3)=0,Tabela!$H$27,0))))</f>
        <v/>
      </c>
      <c r="AD117" s="30" t="str">
        <f t="shared" si="24"/>
        <v/>
      </c>
      <c r="AE117" s="60" t="str">
        <f t="shared" si="24"/>
        <v/>
      </c>
      <c r="AF117" s="30" t="str">
        <f>IF($A117="","",IF(AF$6="NÃO",0,IF(AND(MONTH(ESTRUTURA!C117)=MONTH(ESTRUTURA!$F$3),A117&gt;0),Tabela!$H$30,0)))</f>
        <v/>
      </c>
      <c r="AG117" s="60" t="str">
        <f t="shared" si="24"/>
        <v/>
      </c>
      <c r="AH117" s="30" t="str">
        <f t="shared" si="24"/>
        <v/>
      </c>
      <c r="AI117" s="60" t="str">
        <f>IF($A117="","",IF(AI$6="NÃO",0,IF($A117=0,DATEDIF(ESTRUTURA!$F$3,ESTRUTURA!$F$4,"m")*Tabela!$H$33,Tabela!$H$33)))</f>
        <v/>
      </c>
      <c r="AJ117" s="30" t="str">
        <f t="shared" si="13"/>
        <v/>
      </c>
    </row>
    <row r="118" spans="1:36" x14ac:dyDescent="0.2">
      <c r="A118" s="66" t="str">
        <f>ESTRUTURA!A118</f>
        <v/>
      </c>
      <c r="B118" s="58">
        <f t="shared" si="20"/>
        <v>0</v>
      </c>
      <c r="C118" s="60" t="str">
        <f t="shared" si="25"/>
        <v/>
      </c>
      <c r="D118" s="30" t="str">
        <f t="shared" si="25"/>
        <v/>
      </c>
      <c r="E118" s="60" t="str">
        <f t="shared" si="25"/>
        <v/>
      </c>
      <c r="F118" s="30" t="str">
        <f>IF($A118="","",IF(F$6="NÃO",0,Tabela!$H$34*ESTRUTURA!$I$4))</f>
        <v/>
      </c>
      <c r="G118" s="60" t="str">
        <f t="shared" si="25"/>
        <v/>
      </c>
      <c r="H118" s="30" t="str">
        <f>IF($A118="","",IF(H$6="NÃO",0,IF($A118=0,DATEDIF(ESTRUTURA!$F$3,ESTRUTURA!$F$4,"m")*Tabela!$H$6,Tabela!$H$6)))</f>
        <v/>
      </c>
      <c r="I118" s="60" t="str">
        <f t="shared" si="25"/>
        <v/>
      </c>
      <c r="J118" s="30" t="str">
        <f>IF($A118="","",IF(J$6="NÃO",0,IF($A118=0,DATEDIF(ESTRUTURA!$F$3,ESTRUTURA!$F$4,"m")*Tabela!$H$8,IF(J$6="NÃO",0,Tabela!$H$8))))</f>
        <v/>
      </c>
      <c r="K118" s="60" t="str">
        <f t="shared" si="25"/>
        <v/>
      </c>
      <c r="L118" s="30" t="str">
        <f t="shared" si="25"/>
        <v/>
      </c>
      <c r="M118" s="60" t="str">
        <f t="shared" si="25"/>
        <v/>
      </c>
      <c r="N118" s="30" t="str">
        <f t="shared" si="25"/>
        <v/>
      </c>
      <c r="O118" s="60" t="str">
        <f t="shared" si="25"/>
        <v/>
      </c>
      <c r="P118" s="30" t="str">
        <f t="shared" si="25"/>
        <v/>
      </c>
      <c r="Q118" s="60" t="str">
        <f t="shared" si="25"/>
        <v/>
      </c>
      <c r="R118" s="30" t="str">
        <f t="shared" si="25"/>
        <v/>
      </c>
      <c r="S118" s="60" t="str">
        <f>IF($A118="","",IF(S$6="NÃO",0,IF($A118=0,DATEDIF(ESTRUTURA!$F$3,ESTRUTURA!$F$4,"m")*Tabela!$H$17,Tabela!$H$17)))</f>
        <v/>
      </c>
      <c r="T118" s="30" t="str">
        <f>IF($A118="","",IF(T$6="NÃO",0,IF($A118=0,DATEDIF(ESTRUTURA!$F$3,ESTRUTURA!$F$4,"m")*Tabela!$H$18,Tabela!$H$18)))</f>
        <v/>
      </c>
      <c r="U118" s="60" t="str">
        <f t="shared" si="24"/>
        <v/>
      </c>
      <c r="V118" s="30" t="str">
        <f>IF($A118="","",IF(V$6="NÃO",0,IF($A118=0,DATEDIF(ESTRUTURA!$F$3,ESTRUTURA!$F$4,"m")*Tabela!$H$20,Tabela!$H$20)))</f>
        <v/>
      </c>
      <c r="W118" s="60" t="str">
        <f t="shared" si="24"/>
        <v/>
      </c>
      <c r="X118" s="30" t="str">
        <f t="shared" si="24"/>
        <v/>
      </c>
      <c r="Y118" s="60" t="str">
        <f>IF($A118="","",IF(Y$6="NÃO",0,IF(A118=0,Tabela!$H$23,IF(Y$7="mensal",Tabela!$H$23,IF(AND(MONTH(ESTRUTURA!C118)=MONTH(ESTRUTURA!$F$3),A118&gt;0),Tabela!$H$23,0)))))</f>
        <v/>
      </c>
      <c r="Z118" s="30" t="str">
        <f t="shared" si="24"/>
        <v/>
      </c>
      <c r="AA118" s="60" t="str">
        <f>IF($A118="","",IF(AA$6="NÃO",0,Tabela!$H$25*nm_séries))</f>
        <v/>
      </c>
      <c r="AB118" s="30" t="str">
        <f t="shared" si="24"/>
        <v/>
      </c>
      <c r="AC118" s="60" t="str">
        <f>IF($A118="","",IF(AC$6="NÃO",0,IF(A118=0,Tabela!$H$27,IF(MOD(A118,3)=0,Tabela!$H$27,0))))</f>
        <v/>
      </c>
      <c r="AD118" s="30" t="str">
        <f t="shared" si="24"/>
        <v/>
      </c>
      <c r="AE118" s="60" t="str">
        <f t="shared" si="24"/>
        <v/>
      </c>
      <c r="AF118" s="30" t="str">
        <f>IF($A118="","",IF(AF$6="NÃO",0,IF(AND(MONTH(ESTRUTURA!C118)=MONTH(ESTRUTURA!$F$3),A118&gt;0),Tabela!$H$30,0)))</f>
        <v/>
      </c>
      <c r="AG118" s="60" t="str">
        <f t="shared" si="24"/>
        <v/>
      </c>
      <c r="AH118" s="30" t="str">
        <f t="shared" si="24"/>
        <v/>
      </c>
      <c r="AI118" s="60" t="str">
        <f>IF($A118="","",IF(AI$6="NÃO",0,IF($A118=0,DATEDIF(ESTRUTURA!$F$3,ESTRUTURA!$F$4,"m")*Tabela!$H$33,Tabela!$H$33)))</f>
        <v/>
      </c>
      <c r="AJ118" s="30" t="str">
        <f t="shared" si="13"/>
        <v/>
      </c>
    </row>
    <row r="119" spans="1:36" x14ac:dyDescent="0.2">
      <c r="A119" s="66" t="str">
        <f>ESTRUTURA!A119</f>
        <v/>
      </c>
      <c r="B119" s="58">
        <f t="shared" si="20"/>
        <v>0</v>
      </c>
      <c r="C119" s="60" t="str">
        <f t="shared" si="25"/>
        <v/>
      </c>
      <c r="D119" s="30" t="str">
        <f t="shared" si="25"/>
        <v/>
      </c>
      <c r="E119" s="60" t="str">
        <f t="shared" si="25"/>
        <v/>
      </c>
      <c r="F119" s="30" t="str">
        <f>IF($A119="","",IF(F$6="NÃO",0,Tabela!$H$34*ESTRUTURA!$I$4))</f>
        <v/>
      </c>
      <c r="G119" s="60" t="str">
        <f t="shared" si="25"/>
        <v/>
      </c>
      <c r="H119" s="30" t="str">
        <f>IF($A119="","",IF(H$6="NÃO",0,IF($A119=0,DATEDIF(ESTRUTURA!$F$3,ESTRUTURA!$F$4,"m")*Tabela!$H$6,Tabela!$H$6)))</f>
        <v/>
      </c>
      <c r="I119" s="60" t="str">
        <f t="shared" si="25"/>
        <v/>
      </c>
      <c r="J119" s="30" t="str">
        <f>IF($A119="","",IF(J$6="NÃO",0,IF($A119=0,DATEDIF(ESTRUTURA!$F$3,ESTRUTURA!$F$4,"m")*Tabela!$H$8,IF(J$6="NÃO",0,Tabela!$H$8))))</f>
        <v/>
      </c>
      <c r="K119" s="60" t="str">
        <f t="shared" si="25"/>
        <v/>
      </c>
      <c r="L119" s="30" t="str">
        <f t="shared" si="25"/>
        <v/>
      </c>
      <c r="M119" s="60" t="str">
        <f t="shared" si="25"/>
        <v/>
      </c>
      <c r="N119" s="30" t="str">
        <f t="shared" si="25"/>
        <v/>
      </c>
      <c r="O119" s="60" t="str">
        <f t="shared" si="25"/>
        <v/>
      </c>
      <c r="P119" s="30" t="str">
        <f t="shared" si="25"/>
        <v/>
      </c>
      <c r="Q119" s="60" t="str">
        <f t="shared" si="25"/>
        <v/>
      </c>
      <c r="R119" s="30" t="str">
        <f t="shared" si="25"/>
        <v/>
      </c>
      <c r="S119" s="60" t="str">
        <f>IF($A119="","",IF(S$6="NÃO",0,IF($A119=0,DATEDIF(ESTRUTURA!$F$3,ESTRUTURA!$F$4,"m")*Tabela!$H$17,Tabela!$H$17)))</f>
        <v/>
      </c>
      <c r="T119" s="30" t="str">
        <f>IF($A119="","",IF(T$6="NÃO",0,IF($A119=0,DATEDIF(ESTRUTURA!$F$3,ESTRUTURA!$F$4,"m")*Tabela!$H$18,Tabela!$H$18)))</f>
        <v/>
      </c>
      <c r="U119" s="60" t="str">
        <f t="shared" si="24"/>
        <v/>
      </c>
      <c r="V119" s="30" t="str">
        <f>IF($A119="","",IF(V$6="NÃO",0,IF($A119=0,DATEDIF(ESTRUTURA!$F$3,ESTRUTURA!$F$4,"m")*Tabela!$H$20,Tabela!$H$20)))</f>
        <v/>
      </c>
      <c r="W119" s="60" t="str">
        <f t="shared" si="24"/>
        <v/>
      </c>
      <c r="X119" s="30" t="str">
        <f t="shared" si="24"/>
        <v/>
      </c>
      <c r="Y119" s="60" t="str">
        <f>IF($A119="","",IF(Y$6="NÃO",0,IF(A119=0,Tabela!$H$23,IF(Y$7="mensal",Tabela!$H$23,IF(AND(MONTH(ESTRUTURA!C119)=MONTH(ESTRUTURA!$F$3),A119&gt;0),Tabela!$H$23,0)))))</f>
        <v/>
      </c>
      <c r="Z119" s="30" t="str">
        <f t="shared" si="24"/>
        <v/>
      </c>
      <c r="AA119" s="60" t="str">
        <f>IF($A119="","",IF(AA$6="NÃO",0,Tabela!$H$25*nm_séries))</f>
        <v/>
      </c>
      <c r="AB119" s="30" t="str">
        <f t="shared" si="24"/>
        <v/>
      </c>
      <c r="AC119" s="60" t="str">
        <f>IF($A119="","",IF(AC$6="NÃO",0,IF(A119=0,Tabela!$H$27,IF(MOD(A119,3)=0,Tabela!$H$27,0))))</f>
        <v/>
      </c>
      <c r="AD119" s="30" t="str">
        <f t="shared" si="24"/>
        <v/>
      </c>
      <c r="AE119" s="60" t="str">
        <f t="shared" si="24"/>
        <v/>
      </c>
      <c r="AF119" s="30" t="str">
        <f>IF($A119="","",IF(AF$6="NÃO",0,IF(AND(MONTH(ESTRUTURA!C119)=MONTH(ESTRUTURA!$F$3),A119&gt;0),Tabela!$H$30,0)))</f>
        <v/>
      </c>
      <c r="AG119" s="60" t="str">
        <f t="shared" si="24"/>
        <v/>
      </c>
      <c r="AH119" s="30" t="str">
        <f t="shared" si="24"/>
        <v/>
      </c>
      <c r="AI119" s="60" t="str">
        <f>IF($A119="","",IF(AI$6="NÃO",0,IF($A119=0,DATEDIF(ESTRUTURA!$F$3,ESTRUTURA!$F$4,"m")*Tabela!$H$33,Tabela!$H$33)))</f>
        <v/>
      </c>
      <c r="AJ119" s="30" t="str">
        <f t="shared" si="13"/>
        <v/>
      </c>
    </row>
    <row r="120" spans="1:36" x14ac:dyDescent="0.2">
      <c r="A120" s="66" t="str">
        <f>ESTRUTURA!A120</f>
        <v/>
      </c>
      <c r="B120" s="58">
        <f t="shared" si="20"/>
        <v>0</v>
      </c>
      <c r="C120" s="60" t="str">
        <f t="shared" si="25"/>
        <v/>
      </c>
      <c r="D120" s="30" t="str">
        <f t="shared" si="25"/>
        <v/>
      </c>
      <c r="E120" s="60" t="str">
        <f t="shared" si="25"/>
        <v/>
      </c>
      <c r="F120" s="30" t="str">
        <f>IF($A120="","",IF(F$6="NÃO",0,Tabela!$H$34*ESTRUTURA!$I$4))</f>
        <v/>
      </c>
      <c r="G120" s="60" t="str">
        <f t="shared" si="25"/>
        <v/>
      </c>
      <c r="H120" s="30" t="str">
        <f>IF($A120="","",IF(H$6="NÃO",0,IF($A120=0,DATEDIF(ESTRUTURA!$F$3,ESTRUTURA!$F$4,"m")*Tabela!$H$6,Tabela!$H$6)))</f>
        <v/>
      </c>
      <c r="I120" s="60" t="str">
        <f t="shared" si="25"/>
        <v/>
      </c>
      <c r="J120" s="30" t="str">
        <f>IF($A120="","",IF(J$6="NÃO",0,IF($A120=0,DATEDIF(ESTRUTURA!$F$3,ESTRUTURA!$F$4,"m")*Tabela!$H$8,IF(J$6="NÃO",0,Tabela!$H$8))))</f>
        <v/>
      </c>
      <c r="K120" s="60" t="str">
        <f t="shared" si="25"/>
        <v/>
      </c>
      <c r="L120" s="30" t="str">
        <f t="shared" si="25"/>
        <v/>
      </c>
      <c r="M120" s="60" t="str">
        <f t="shared" si="25"/>
        <v/>
      </c>
      <c r="N120" s="30" t="str">
        <f t="shared" si="25"/>
        <v/>
      </c>
      <c r="O120" s="60" t="str">
        <f t="shared" si="25"/>
        <v/>
      </c>
      <c r="P120" s="30" t="str">
        <f t="shared" si="25"/>
        <v/>
      </c>
      <c r="Q120" s="60" t="str">
        <f t="shared" si="25"/>
        <v/>
      </c>
      <c r="R120" s="30" t="str">
        <f t="shared" si="25"/>
        <v/>
      </c>
      <c r="S120" s="60" t="str">
        <f>IF($A120="","",IF(S$6="NÃO",0,IF($A120=0,DATEDIF(ESTRUTURA!$F$3,ESTRUTURA!$F$4,"m")*Tabela!$H$17,Tabela!$H$17)))</f>
        <v/>
      </c>
      <c r="T120" s="30" t="str">
        <f>IF($A120="","",IF(T$6="NÃO",0,IF($A120=0,DATEDIF(ESTRUTURA!$F$3,ESTRUTURA!$F$4,"m")*Tabela!$H$18,Tabela!$H$18)))</f>
        <v/>
      </c>
      <c r="U120" s="60" t="str">
        <f t="shared" si="24"/>
        <v/>
      </c>
      <c r="V120" s="30" t="str">
        <f>IF($A120="","",IF(V$6="NÃO",0,IF($A120=0,DATEDIF(ESTRUTURA!$F$3,ESTRUTURA!$F$4,"m")*Tabela!$H$20,Tabela!$H$20)))</f>
        <v/>
      </c>
      <c r="W120" s="60" t="str">
        <f t="shared" si="24"/>
        <v/>
      </c>
      <c r="X120" s="30" t="str">
        <f t="shared" si="24"/>
        <v/>
      </c>
      <c r="Y120" s="60" t="str">
        <f>IF($A120="","",IF(Y$6="NÃO",0,IF(A120=0,Tabela!$H$23,IF(Y$7="mensal",Tabela!$H$23,IF(AND(MONTH(ESTRUTURA!C120)=MONTH(ESTRUTURA!$F$3),A120&gt;0),Tabela!$H$23,0)))))</f>
        <v/>
      </c>
      <c r="Z120" s="30" t="str">
        <f t="shared" si="24"/>
        <v/>
      </c>
      <c r="AA120" s="60" t="str">
        <f>IF($A120="","",IF(AA$6="NÃO",0,Tabela!$H$25*nm_séries))</f>
        <v/>
      </c>
      <c r="AB120" s="30" t="str">
        <f t="shared" si="24"/>
        <v/>
      </c>
      <c r="AC120" s="60" t="str">
        <f>IF($A120="","",IF(AC$6="NÃO",0,IF(A120=0,Tabela!$H$27,IF(MOD(A120,3)=0,Tabela!$H$27,0))))</f>
        <v/>
      </c>
      <c r="AD120" s="30" t="str">
        <f t="shared" si="24"/>
        <v/>
      </c>
      <c r="AE120" s="60" t="str">
        <f t="shared" si="24"/>
        <v/>
      </c>
      <c r="AF120" s="30" t="str">
        <f>IF($A120="","",IF(AF$6="NÃO",0,IF(AND(MONTH(ESTRUTURA!C120)=MONTH(ESTRUTURA!$F$3),A120&gt;0),Tabela!$H$30,0)))</f>
        <v/>
      </c>
      <c r="AG120" s="60" t="str">
        <f t="shared" si="24"/>
        <v/>
      </c>
      <c r="AH120" s="30" t="str">
        <f t="shared" si="24"/>
        <v/>
      </c>
      <c r="AI120" s="60" t="str">
        <f>IF($A120="","",IF(AI$6="NÃO",0,IF($A120=0,DATEDIF(ESTRUTURA!$F$3,ESTRUTURA!$F$4,"m")*Tabela!$H$33,Tabela!$H$33)))</f>
        <v/>
      </c>
      <c r="AJ120" s="30" t="str">
        <f t="shared" si="13"/>
        <v/>
      </c>
    </row>
    <row r="121" spans="1:36" x14ac:dyDescent="0.2">
      <c r="A121" s="66" t="str">
        <f>ESTRUTURA!A121</f>
        <v/>
      </c>
      <c r="B121" s="58">
        <f t="shared" si="20"/>
        <v>0</v>
      </c>
      <c r="C121" s="60" t="str">
        <f t="shared" si="25"/>
        <v/>
      </c>
      <c r="D121" s="30" t="str">
        <f t="shared" si="25"/>
        <v/>
      </c>
      <c r="E121" s="60" t="str">
        <f t="shared" si="25"/>
        <v/>
      </c>
      <c r="F121" s="30" t="str">
        <f>IF($A121="","",IF(F$6="NÃO",0,Tabela!$H$34*ESTRUTURA!$I$4))</f>
        <v/>
      </c>
      <c r="G121" s="60" t="str">
        <f t="shared" si="25"/>
        <v/>
      </c>
      <c r="H121" s="30" t="str">
        <f>IF($A121="","",IF(H$6="NÃO",0,IF($A121=0,DATEDIF(ESTRUTURA!$F$3,ESTRUTURA!$F$4,"m")*Tabela!$H$6,Tabela!$H$6)))</f>
        <v/>
      </c>
      <c r="I121" s="60" t="str">
        <f t="shared" si="25"/>
        <v/>
      </c>
      <c r="J121" s="30" t="str">
        <f>IF($A121="","",IF(J$6="NÃO",0,IF($A121=0,DATEDIF(ESTRUTURA!$F$3,ESTRUTURA!$F$4,"m")*Tabela!$H$8,IF(J$6="NÃO",0,Tabela!$H$8))))</f>
        <v/>
      </c>
      <c r="K121" s="60" t="str">
        <f t="shared" si="25"/>
        <v/>
      </c>
      <c r="L121" s="30" t="str">
        <f t="shared" si="25"/>
        <v/>
      </c>
      <c r="M121" s="60" t="str">
        <f t="shared" si="25"/>
        <v/>
      </c>
      <c r="N121" s="30" t="str">
        <f t="shared" si="25"/>
        <v/>
      </c>
      <c r="O121" s="60" t="str">
        <f t="shared" si="25"/>
        <v/>
      </c>
      <c r="P121" s="30" t="str">
        <f t="shared" si="25"/>
        <v/>
      </c>
      <c r="Q121" s="60" t="str">
        <f t="shared" si="25"/>
        <v/>
      </c>
      <c r="R121" s="30" t="str">
        <f t="shared" si="25"/>
        <v/>
      </c>
      <c r="S121" s="60" t="str">
        <f>IF($A121="","",IF(S$6="NÃO",0,IF($A121=0,DATEDIF(ESTRUTURA!$F$3,ESTRUTURA!$F$4,"m")*Tabela!$H$17,Tabela!$H$17)))</f>
        <v/>
      </c>
      <c r="T121" s="30" t="str">
        <f>IF($A121="","",IF(T$6="NÃO",0,IF($A121=0,DATEDIF(ESTRUTURA!$F$3,ESTRUTURA!$F$4,"m")*Tabela!$H$18,Tabela!$H$18)))</f>
        <v/>
      </c>
      <c r="U121" s="60" t="str">
        <f t="shared" si="24"/>
        <v/>
      </c>
      <c r="V121" s="30" t="str">
        <f>IF($A121="","",IF(V$6="NÃO",0,IF($A121=0,DATEDIF(ESTRUTURA!$F$3,ESTRUTURA!$F$4,"m")*Tabela!$H$20,Tabela!$H$20)))</f>
        <v/>
      </c>
      <c r="W121" s="60" t="str">
        <f t="shared" si="24"/>
        <v/>
      </c>
      <c r="X121" s="30" t="str">
        <f t="shared" si="24"/>
        <v/>
      </c>
      <c r="Y121" s="60" t="str">
        <f>IF($A121="","",IF(Y$6="NÃO",0,IF(A121=0,Tabela!$H$23,IF(Y$7="mensal",Tabela!$H$23,IF(AND(MONTH(ESTRUTURA!C121)=MONTH(ESTRUTURA!$F$3),A121&gt;0),Tabela!$H$23,0)))))</f>
        <v/>
      </c>
      <c r="Z121" s="30" t="str">
        <f t="shared" si="24"/>
        <v/>
      </c>
      <c r="AA121" s="60" t="str">
        <f>IF($A121="","",IF(AA$6="NÃO",0,Tabela!$H$25*nm_séries))</f>
        <v/>
      </c>
      <c r="AB121" s="30" t="str">
        <f t="shared" si="24"/>
        <v/>
      </c>
      <c r="AC121" s="60" t="str">
        <f>IF($A121="","",IF(AC$6="NÃO",0,IF(A121=0,Tabela!$H$27,IF(MOD(A121,3)=0,Tabela!$H$27,0))))</f>
        <v/>
      </c>
      <c r="AD121" s="30" t="str">
        <f t="shared" si="24"/>
        <v/>
      </c>
      <c r="AE121" s="60" t="str">
        <f t="shared" si="24"/>
        <v/>
      </c>
      <c r="AF121" s="30" t="str">
        <f>IF($A121="","",IF(AF$6="NÃO",0,IF(AND(MONTH(ESTRUTURA!C121)=MONTH(ESTRUTURA!$F$3),A121&gt;0),Tabela!$H$30,0)))</f>
        <v/>
      </c>
      <c r="AG121" s="60" t="str">
        <f t="shared" si="24"/>
        <v/>
      </c>
      <c r="AH121" s="30" t="str">
        <f t="shared" si="24"/>
        <v/>
      </c>
      <c r="AI121" s="60" t="str">
        <f>IF($A121="","",IF(AI$6="NÃO",0,IF($A121=0,DATEDIF(ESTRUTURA!$F$3,ESTRUTURA!$F$4,"m")*Tabela!$H$33,Tabela!$H$33)))</f>
        <v/>
      </c>
      <c r="AJ121" s="30" t="str">
        <f t="shared" ref="AJ121:AJ184" si="26">IF($A121="","",IF(AJ$6="NÃO",0,0))</f>
        <v/>
      </c>
    </row>
    <row r="122" spans="1:36" x14ac:dyDescent="0.2">
      <c r="A122" s="66" t="str">
        <f>ESTRUTURA!A122</f>
        <v/>
      </c>
      <c r="B122" s="58">
        <f t="shared" si="20"/>
        <v>0</v>
      </c>
      <c r="C122" s="60" t="str">
        <f t="shared" si="25"/>
        <v/>
      </c>
      <c r="D122" s="30" t="str">
        <f t="shared" si="25"/>
        <v/>
      </c>
      <c r="E122" s="60" t="str">
        <f t="shared" si="25"/>
        <v/>
      </c>
      <c r="F122" s="30" t="str">
        <f>IF($A122="","",IF(F$6="NÃO",0,Tabela!$H$34*ESTRUTURA!$I$4))</f>
        <v/>
      </c>
      <c r="G122" s="60" t="str">
        <f t="shared" si="25"/>
        <v/>
      </c>
      <c r="H122" s="30" t="str">
        <f>IF($A122="","",IF(H$6="NÃO",0,IF($A122=0,DATEDIF(ESTRUTURA!$F$3,ESTRUTURA!$F$4,"m")*Tabela!$H$6,Tabela!$H$6)))</f>
        <v/>
      </c>
      <c r="I122" s="60" t="str">
        <f t="shared" si="25"/>
        <v/>
      </c>
      <c r="J122" s="30" t="str">
        <f>IF($A122="","",IF(J$6="NÃO",0,IF($A122=0,DATEDIF(ESTRUTURA!$F$3,ESTRUTURA!$F$4,"m")*Tabela!$H$8,IF(J$6="NÃO",0,Tabela!$H$8))))</f>
        <v/>
      </c>
      <c r="K122" s="60" t="str">
        <f t="shared" si="25"/>
        <v/>
      </c>
      <c r="L122" s="30" t="str">
        <f t="shared" si="25"/>
        <v/>
      </c>
      <c r="M122" s="60" t="str">
        <f t="shared" si="25"/>
        <v/>
      </c>
      <c r="N122" s="30" t="str">
        <f t="shared" si="25"/>
        <v/>
      </c>
      <c r="O122" s="60" t="str">
        <f t="shared" si="25"/>
        <v/>
      </c>
      <c r="P122" s="30" t="str">
        <f t="shared" ref="P122:P139" si="27">IF($A122="","",IF(P$6="NÃO",0,0))</f>
        <v/>
      </c>
      <c r="Q122" s="60" t="str">
        <f t="shared" si="25"/>
        <v/>
      </c>
      <c r="R122" s="30" t="str">
        <f t="shared" si="25"/>
        <v/>
      </c>
      <c r="S122" s="60" t="str">
        <f>IF($A122="","",IF(S$6="NÃO",0,IF($A122=0,DATEDIF(ESTRUTURA!$F$3,ESTRUTURA!$F$4,"m")*Tabela!$H$17,Tabela!$H$17)))</f>
        <v/>
      </c>
      <c r="T122" s="30" t="str">
        <f>IF($A122="","",IF(T$6="NÃO",0,IF($A122=0,DATEDIF(ESTRUTURA!$F$3,ESTRUTURA!$F$4,"m")*Tabela!$H$18,Tabela!$H$18)))</f>
        <v/>
      </c>
      <c r="U122" s="60" t="str">
        <f t="shared" si="24"/>
        <v/>
      </c>
      <c r="V122" s="30" t="str">
        <f>IF($A122="","",IF(V$6="NÃO",0,IF($A122=0,DATEDIF(ESTRUTURA!$F$3,ESTRUTURA!$F$4,"m")*Tabela!$H$20,Tabela!$H$20)))</f>
        <v/>
      </c>
      <c r="W122" s="60" t="str">
        <f t="shared" si="24"/>
        <v/>
      </c>
      <c r="X122" s="30" t="str">
        <f t="shared" si="24"/>
        <v/>
      </c>
      <c r="Y122" s="60" t="str">
        <f>IF($A122="","",IF(Y$6="NÃO",0,IF(A122=0,Tabela!$H$23,IF(Y$7="mensal",Tabela!$H$23,IF(AND(MONTH(ESTRUTURA!C122)=MONTH(ESTRUTURA!$F$3),A122&gt;0),Tabela!$H$23,0)))))</f>
        <v/>
      </c>
      <c r="Z122" s="30" t="str">
        <f t="shared" si="24"/>
        <v/>
      </c>
      <c r="AA122" s="60" t="str">
        <f>IF($A122="","",IF(AA$6="NÃO",0,Tabela!$H$25*nm_séries))</f>
        <v/>
      </c>
      <c r="AB122" s="30" t="str">
        <f t="shared" si="24"/>
        <v/>
      </c>
      <c r="AC122" s="60" t="str">
        <f>IF($A122="","",IF(AC$6="NÃO",0,IF(A122=0,Tabela!$H$27,IF(MOD(A122,3)=0,Tabela!$H$27,0))))</f>
        <v/>
      </c>
      <c r="AD122" s="30" t="str">
        <f t="shared" si="24"/>
        <v/>
      </c>
      <c r="AE122" s="60" t="str">
        <f t="shared" si="24"/>
        <v/>
      </c>
      <c r="AF122" s="30" t="str">
        <f>IF($A122="","",IF(AF$6="NÃO",0,IF(AND(MONTH(ESTRUTURA!C122)=MONTH(ESTRUTURA!$F$3),A122&gt;0),Tabela!$H$30,0)))</f>
        <v/>
      </c>
      <c r="AG122" s="60" t="str">
        <f t="shared" si="24"/>
        <v/>
      </c>
      <c r="AH122" s="30" t="str">
        <f t="shared" si="24"/>
        <v/>
      </c>
      <c r="AI122" s="60" t="str">
        <f>IF($A122="","",IF(AI$6="NÃO",0,IF($A122=0,DATEDIF(ESTRUTURA!$F$3,ESTRUTURA!$F$4,"m")*Tabela!$H$33,Tabela!$H$33)))</f>
        <v/>
      </c>
      <c r="AJ122" s="30" t="str">
        <f t="shared" si="26"/>
        <v/>
      </c>
    </row>
    <row r="123" spans="1:36" x14ac:dyDescent="0.2">
      <c r="A123" s="66" t="str">
        <f>ESTRUTURA!A123</f>
        <v/>
      </c>
      <c r="B123" s="58">
        <f t="shared" si="20"/>
        <v>0</v>
      </c>
      <c r="C123" s="60" t="str">
        <f t="shared" si="25"/>
        <v/>
      </c>
      <c r="D123" s="30" t="str">
        <f t="shared" si="25"/>
        <v/>
      </c>
      <c r="E123" s="60" t="str">
        <f t="shared" si="25"/>
        <v/>
      </c>
      <c r="F123" s="30" t="str">
        <f>IF($A123="","",IF(F$6="NÃO",0,Tabela!$H$34*ESTRUTURA!$I$4))</f>
        <v/>
      </c>
      <c r="G123" s="60" t="str">
        <f t="shared" si="25"/>
        <v/>
      </c>
      <c r="H123" s="30" t="str">
        <f>IF($A123="","",IF(H$6="NÃO",0,IF($A123=0,DATEDIF(ESTRUTURA!$F$3,ESTRUTURA!$F$4,"m")*Tabela!$H$6,Tabela!$H$6)))</f>
        <v/>
      </c>
      <c r="I123" s="60" t="str">
        <f t="shared" si="25"/>
        <v/>
      </c>
      <c r="J123" s="30" t="str">
        <f>IF($A123="","",IF(J$6="NÃO",0,IF($A123=0,DATEDIF(ESTRUTURA!$F$3,ESTRUTURA!$F$4,"m")*Tabela!$H$8,IF(J$6="NÃO",0,Tabela!$H$8))))</f>
        <v/>
      </c>
      <c r="K123" s="60" t="str">
        <f t="shared" si="25"/>
        <v/>
      </c>
      <c r="L123" s="30" t="str">
        <f t="shared" si="25"/>
        <v/>
      </c>
      <c r="M123" s="60" t="str">
        <f t="shared" si="25"/>
        <v/>
      </c>
      <c r="N123" s="30" t="str">
        <f t="shared" si="25"/>
        <v/>
      </c>
      <c r="O123" s="60" t="str">
        <f t="shared" si="25"/>
        <v/>
      </c>
      <c r="P123" s="30" t="str">
        <f t="shared" si="27"/>
        <v/>
      </c>
      <c r="Q123" s="60" t="str">
        <f t="shared" si="25"/>
        <v/>
      </c>
      <c r="R123" s="30" t="str">
        <f t="shared" si="25"/>
        <v/>
      </c>
      <c r="S123" s="60" t="str">
        <f>IF($A123="","",IF(S$6="NÃO",0,IF($A123=0,DATEDIF(ESTRUTURA!$F$3,ESTRUTURA!$F$4,"m")*Tabela!$H$17,Tabela!$H$17)))</f>
        <v/>
      </c>
      <c r="T123" s="30" t="str">
        <f>IF($A123="","",IF(T$6="NÃO",0,IF($A123=0,DATEDIF(ESTRUTURA!$F$3,ESTRUTURA!$F$4,"m")*Tabela!$H$18,Tabela!$H$18)))</f>
        <v/>
      </c>
      <c r="U123" s="60" t="str">
        <f t="shared" ref="U123:AH138" si="28">IF($A123="","",IF(U$6="NÃO",0,0))</f>
        <v/>
      </c>
      <c r="V123" s="30" t="str">
        <f>IF($A123="","",IF(V$6="NÃO",0,IF($A123=0,DATEDIF(ESTRUTURA!$F$3,ESTRUTURA!$F$4,"m")*Tabela!$H$20,Tabela!$H$20)))</f>
        <v/>
      </c>
      <c r="W123" s="60" t="str">
        <f t="shared" si="28"/>
        <v/>
      </c>
      <c r="X123" s="30" t="str">
        <f t="shared" si="28"/>
        <v/>
      </c>
      <c r="Y123" s="60" t="str">
        <f>IF($A123="","",IF(Y$6="NÃO",0,IF(A123=0,Tabela!$H$23,IF(Y$7="mensal",Tabela!$H$23,IF(AND(MONTH(ESTRUTURA!C123)=MONTH(ESTRUTURA!$F$3),A123&gt;0),Tabela!$H$23,0)))))</f>
        <v/>
      </c>
      <c r="Z123" s="30" t="str">
        <f t="shared" si="28"/>
        <v/>
      </c>
      <c r="AA123" s="60" t="str">
        <f>IF($A123="","",IF(AA$6="NÃO",0,Tabela!$H$25*nm_séries))</f>
        <v/>
      </c>
      <c r="AB123" s="30" t="str">
        <f t="shared" si="28"/>
        <v/>
      </c>
      <c r="AC123" s="60" t="str">
        <f>IF($A123="","",IF(AC$6="NÃO",0,IF(A123=0,Tabela!$H$27,IF(MOD(A123,3)=0,Tabela!$H$27,0))))</f>
        <v/>
      </c>
      <c r="AD123" s="30" t="str">
        <f t="shared" si="28"/>
        <v/>
      </c>
      <c r="AE123" s="60" t="str">
        <f t="shared" si="28"/>
        <v/>
      </c>
      <c r="AF123" s="30" t="str">
        <f>IF($A123="","",IF(AF$6="NÃO",0,IF(AND(MONTH(ESTRUTURA!C123)=MONTH(ESTRUTURA!$F$3),A123&gt;0),Tabela!$H$30,0)))</f>
        <v/>
      </c>
      <c r="AG123" s="60" t="str">
        <f t="shared" si="28"/>
        <v/>
      </c>
      <c r="AH123" s="30" t="str">
        <f t="shared" si="28"/>
        <v/>
      </c>
      <c r="AI123" s="60" t="str">
        <f>IF($A123="","",IF(AI$6="NÃO",0,IF($A123=0,DATEDIF(ESTRUTURA!$F$3,ESTRUTURA!$F$4,"m")*Tabela!$H$33,Tabela!$H$33)))</f>
        <v/>
      </c>
      <c r="AJ123" s="30" t="str">
        <f t="shared" si="26"/>
        <v/>
      </c>
    </row>
    <row r="124" spans="1:36" x14ac:dyDescent="0.2">
      <c r="A124" s="66" t="str">
        <f>ESTRUTURA!A124</f>
        <v/>
      </c>
      <c r="B124" s="58">
        <f t="shared" si="20"/>
        <v>0</v>
      </c>
      <c r="C124" s="60" t="str">
        <f t="shared" ref="C124:R139" si="29">IF($A124="","",IF(C$6="NÃO",0,0))</f>
        <v/>
      </c>
      <c r="D124" s="30" t="str">
        <f t="shared" si="29"/>
        <v/>
      </c>
      <c r="E124" s="60" t="str">
        <f t="shared" si="29"/>
        <v/>
      </c>
      <c r="F124" s="30" t="str">
        <f>IF($A124="","",IF(F$6="NÃO",0,Tabela!$H$34*ESTRUTURA!$I$4))</f>
        <v/>
      </c>
      <c r="G124" s="60" t="str">
        <f t="shared" si="29"/>
        <v/>
      </c>
      <c r="H124" s="30" t="str">
        <f>IF($A124="","",IF(H$6="NÃO",0,IF($A124=0,DATEDIF(ESTRUTURA!$F$3,ESTRUTURA!$F$4,"m")*Tabela!$H$6,Tabela!$H$6)))</f>
        <v/>
      </c>
      <c r="I124" s="60" t="str">
        <f t="shared" si="29"/>
        <v/>
      </c>
      <c r="J124" s="30" t="str">
        <f>IF($A124="","",IF(J$6="NÃO",0,IF($A124=0,DATEDIF(ESTRUTURA!$F$3,ESTRUTURA!$F$4,"m")*Tabela!$H$8,IF(J$6="NÃO",0,Tabela!$H$8))))</f>
        <v/>
      </c>
      <c r="K124" s="60" t="str">
        <f t="shared" si="29"/>
        <v/>
      </c>
      <c r="L124" s="30" t="str">
        <f t="shared" si="29"/>
        <v/>
      </c>
      <c r="M124" s="60" t="str">
        <f t="shared" si="29"/>
        <v/>
      </c>
      <c r="N124" s="30" t="str">
        <f t="shared" si="29"/>
        <v/>
      </c>
      <c r="O124" s="60" t="str">
        <f t="shared" si="29"/>
        <v/>
      </c>
      <c r="P124" s="30" t="str">
        <f t="shared" si="27"/>
        <v/>
      </c>
      <c r="Q124" s="60" t="str">
        <f t="shared" si="29"/>
        <v/>
      </c>
      <c r="R124" s="30" t="str">
        <f t="shared" si="29"/>
        <v/>
      </c>
      <c r="S124" s="60" t="str">
        <f>IF($A124="","",IF(S$6="NÃO",0,IF($A124=0,DATEDIF(ESTRUTURA!$F$3,ESTRUTURA!$F$4,"m")*Tabela!$H$17,Tabela!$H$17)))</f>
        <v/>
      </c>
      <c r="T124" s="30" t="str">
        <f>IF($A124="","",IF(T$6="NÃO",0,IF($A124=0,DATEDIF(ESTRUTURA!$F$3,ESTRUTURA!$F$4,"m")*Tabela!$H$18,Tabela!$H$18)))</f>
        <v/>
      </c>
      <c r="U124" s="60" t="str">
        <f t="shared" si="28"/>
        <v/>
      </c>
      <c r="V124" s="30" t="str">
        <f>IF($A124="","",IF(V$6="NÃO",0,IF($A124=0,DATEDIF(ESTRUTURA!$F$3,ESTRUTURA!$F$4,"m")*Tabela!$H$20,Tabela!$H$20)))</f>
        <v/>
      </c>
      <c r="W124" s="60" t="str">
        <f t="shared" si="28"/>
        <v/>
      </c>
      <c r="X124" s="30" t="str">
        <f t="shared" si="28"/>
        <v/>
      </c>
      <c r="Y124" s="60" t="str">
        <f>IF($A124="","",IF(Y$6="NÃO",0,IF(A124=0,Tabela!$H$23,IF(Y$7="mensal",Tabela!$H$23,IF(AND(MONTH(ESTRUTURA!C124)=MONTH(ESTRUTURA!$F$3),A124&gt;0),Tabela!$H$23,0)))))</f>
        <v/>
      </c>
      <c r="Z124" s="30" t="str">
        <f t="shared" si="28"/>
        <v/>
      </c>
      <c r="AA124" s="60" t="str">
        <f>IF($A124="","",IF(AA$6="NÃO",0,Tabela!$H$25*nm_séries))</f>
        <v/>
      </c>
      <c r="AB124" s="30" t="str">
        <f t="shared" si="28"/>
        <v/>
      </c>
      <c r="AC124" s="60" t="str">
        <f>IF($A124="","",IF(AC$6="NÃO",0,IF(A124=0,Tabela!$H$27,IF(MOD(A124,3)=0,Tabela!$H$27,0))))</f>
        <v/>
      </c>
      <c r="AD124" s="30" t="str">
        <f t="shared" si="28"/>
        <v/>
      </c>
      <c r="AE124" s="60" t="str">
        <f t="shared" si="28"/>
        <v/>
      </c>
      <c r="AF124" s="30" t="str">
        <f>IF($A124="","",IF(AF$6="NÃO",0,IF(AND(MONTH(ESTRUTURA!C124)=MONTH(ESTRUTURA!$F$3),A124&gt;0),Tabela!$H$30,0)))</f>
        <v/>
      </c>
      <c r="AG124" s="60" t="str">
        <f t="shared" si="28"/>
        <v/>
      </c>
      <c r="AH124" s="30" t="str">
        <f t="shared" si="28"/>
        <v/>
      </c>
      <c r="AI124" s="60" t="str">
        <f>IF($A124="","",IF(AI$6="NÃO",0,IF($A124=0,DATEDIF(ESTRUTURA!$F$3,ESTRUTURA!$F$4,"m")*Tabela!$H$33,Tabela!$H$33)))</f>
        <v/>
      </c>
      <c r="AJ124" s="30" t="str">
        <f t="shared" si="26"/>
        <v/>
      </c>
    </row>
    <row r="125" spans="1:36" x14ac:dyDescent="0.2">
      <c r="A125" s="66" t="str">
        <f>ESTRUTURA!A125</f>
        <v/>
      </c>
      <c r="B125" s="58">
        <f t="shared" si="20"/>
        <v>0</v>
      </c>
      <c r="C125" s="60" t="str">
        <f t="shared" si="29"/>
        <v/>
      </c>
      <c r="D125" s="30" t="str">
        <f t="shared" si="29"/>
        <v/>
      </c>
      <c r="E125" s="60" t="str">
        <f t="shared" si="29"/>
        <v/>
      </c>
      <c r="F125" s="30" t="str">
        <f>IF($A125="","",IF(F$6="NÃO",0,Tabela!$H$34*ESTRUTURA!$I$4))</f>
        <v/>
      </c>
      <c r="G125" s="60" t="str">
        <f t="shared" si="29"/>
        <v/>
      </c>
      <c r="H125" s="30" t="str">
        <f>IF($A125="","",IF(H$6="NÃO",0,IF($A125=0,DATEDIF(ESTRUTURA!$F$3,ESTRUTURA!$F$4,"m")*Tabela!$H$6,Tabela!$H$6)))</f>
        <v/>
      </c>
      <c r="I125" s="60" t="str">
        <f t="shared" si="29"/>
        <v/>
      </c>
      <c r="J125" s="30" t="str">
        <f>IF($A125="","",IF(J$6="NÃO",0,IF($A125=0,DATEDIF(ESTRUTURA!$F$3,ESTRUTURA!$F$4,"m")*Tabela!$H$8,IF(J$6="NÃO",0,Tabela!$H$8))))</f>
        <v/>
      </c>
      <c r="K125" s="60" t="str">
        <f t="shared" si="29"/>
        <v/>
      </c>
      <c r="L125" s="30" t="str">
        <f t="shared" si="29"/>
        <v/>
      </c>
      <c r="M125" s="60" t="str">
        <f t="shared" si="29"/>
        <v/>
      </c>
      <c r="N125" s="30" t="str">
        <f t="shared" si="29"/>
        <v/>
      </c>
      <c r="O125" s="60" t="str">
        <f t="shared" si="29"/>
        <v/>
      </c>
      <c r="P125" s="30" t="str">
        <f t="shared" si="27"/>
        <v/>
      </c>
      <c r="Q125" s="60" t="str">
        <f t="shared" si="29"/>
        <v/>
      </c>
      <c r="R125" s="30" t="str">
        <f t="shared" si="29"/>
        <v/>
      </c>
      <c r="S125" s="60" t="str">
        <f>IF($A125="","",IF(S$6="NÃO",0,IF($A125=0,DATEDIF(ESTRUTURA!$F$3,ESTRUTURA!$F$4,"m")*Tabela!$H$17,Tabela!$H$17)))</f>
        <v/>
      </c>
      <c r="T125" s="30" t="str">
        <f>IF($A125="","",IF(T$6="NÃO",0,IF($A125=0,DATEDIF(ESTRUTURA!$F$3,ESTRUTURA!$F$4,"m")*Tabela!$H$18,Tabela!$H$18)))</f>
        <v/>
      </c>
      <c r="U125" s="60" t="str">
        <f t="shared" si="28"/>
        <v/>
      </c>
      <c r="V125" s="30" t="str">
        <f>IF($A125="","",IF(V$6="NÃO",0,IF($A125=0,DATEDIF(ESTRUTURA!$F$3,ESTRUTURA!$F$4,"m")*Tabela!$H$20,Tabela!$H$20)))</f>
        <v/>
      </c>
      <c r="W125" s="60" t="str">
        <f t="shared" si="28"/>
        <v/>
      </c>
      <c r="X125" s="30" t="str">
        <f t="shared" si="28"/>
        <v/>
      </c>
      <c r="Y125" s="60" t="str">
        <f>IF($A125="","",IF(Y$6="NÃO",0,IF(A125=0,Tabela!$H$23,IF(Y$7="mensal",Tabela!$H$23,IF(AND(MONTH(ESTRUTURA!C125)=MONTH(ESTRUTURA!$F$3),A125&gt;0),Tabela!$H$23,0)))))</f>
        <v/>
      </c>
      <c r="Z125" s="30" t="str">
        <f t="shared" si="28"/>
        <v/>
      </c>
      <c r="AA125" s="60" t="str">
        <f>IF($A125="","",IF(AA$6="NÃO",0,Tabela!$H$25*nm_séries))</f>
        <v/>
      </c>
      <c r="AB125" s="30" t="str">
        <f t="shared" si="28"/>
        <v/>
      </c>
      <c r="AC125" s="60" t="str">
        <f>IF($A125="","",IF(AC$6="NÃO",0,IF(A125=0,Tabela!$H$27,IF(MOD(A125,3)=0,Tabela!$H$27,0))))</f>
        <v/>
      </c>
      <c r="AD125" s="30" t="str">
        <f t="shared" si="28"/>
        <v/>
      </c>
      <c r="AE125" s="60" t="str">
        <f t="shared" si="28"/>
        <v/>
      </c>
      <c r="AF125" s="30" t="str">
        <f>IF($A125="","",IF(AF$6="NÃO",0,IF(AND(MONTH(ESTRUTURA!C125)=MONTH(ESTRUTURA!$F$3),A125&gt;0),Tabela!$H$30,0)))</f>
        <v/>
      </c>
      <c r="AG125" s="60" t="str">
        <f t="shared" si="28"/>
        <v/>
      </c>
      <c r="AH125" s="30" t="str">
        <f t="shared" si="28"/>
        <v/>
      </c>
      <c r="AI125" s="60" t="str">
        <f>IF($A125="","",IF(AI$6="NÃO",0,IF($A125=0,DATEDIF(ESTRUTURA!$F$3,ESTRUTURA!$F$4,"m")*Tabela!$H$33,Tabela!$H$33)))</f>
        <v/>
      </c>
      <c r="AJ125" s="30" t="str">
        <f t="shared" si="26"/>
        <v/>
      </c>
    </row>
    <row r="126" spans="1:36" x14ac:dyDescent="0.2">
      <c r="A126" s="66" t="str">
        <f>ESTRUTURA!A126</f>
        <v/>
      </c>
      <c r="B126" s="58">
        <f t="shared" si="20"/>
        <v>0</v>
      </c>
      <c r="C126" s="60" t="str">
        <f t="shared" si="29"/>
        <v/>
      </c>
      <c r="D126" s="30" t="str">
        <f t="shared" si="29"/>
        <v/>
      </c>
      <c r="E126" s="60" t="str">
        <f t="shared" si="29"/>
        <v/>
      </c>
      <c r="F126" s="30" t="str">
        <f>IF($A126="","",IF(F$6="NÃO",0,Tabela!$H$34*ESTRUTURA!$I$4))</f>
        <v/>
      </c>
      <c r="G126" s="60" t="str">
        <f t="shared" si="29"/>
        <v/>
      </c>
      <c r="H126" s="30" t="str">
        <f>IF($A126="","",IF(H$6="NÃO",0,IF($A126=0,DATEDIF(ESTRUTURA!$F$3,ESTRUTURA!$F$4,"m")*Tabela!$H$6,Tabela!$H$6)))</f>
        <v/>
      </c>
      <c r="I126" s="60" t="str">
        <f t="shared" si="29"/>
        <v/>
      </c>
      <c r="J126" s="30" t="str">
        <f>IF($A126="","",IF(J$6="NÃO",0,IF($A126=0,DATEDIF(ESTRUTURA!$F$3,ESTRUTURA!$F$4,"m")*Tabela!$H$8,IF(J$6="NÃO",0,Tabela!$H$8))))</f>
        <v/>
      </c>
      <c r="K126" s="60" t="str">
        <f t="shared" si="29"/>
        <v/>
      </c>
      <c r="L126" s="30" t="str">
        <f t="shared" si="29"/>
        <v/>
      </c>
      <c r="M126" s="60" t="str">
        <f t="shared" si="29"/>
        <v/>
      </c>
      <c r="N126" s="30" t="str">
        <f t="shared" si="29"/>
        <v/>
      </c>
      <c r="O126" s="60" t="str">
        <f t="shared" si="29"/>
        <v/>
      </c>
      <c r="P126" s="30" t="str">
        <f t="shared" si="27"/>
        <v/>
      </c>
      <c r="Q126" s="60" t="str">
        <f t="shared" si="29"/>
        <v/>
      </c>
      <c r="R126" s="30" t="str">
        <f t="shared" si="29"/>
        <v/>
      </c>
      <c r="S126" s="60" t="str">
        <f>IF($A126="","",IF(S$6="NÃO",0,IF($A126=0,DATEDIF(ESTRUTURA!$F$3,ESTRUTURA!$F$4,"m")*Tabela!$H$17,Tabela!$H$17)))</f>
        <v/>
      </c>
      <c r="T126" s="30" t="str">
        <f>IF($A126="","",IF(T$6="NÃO",0,IF($A126=0,DATEDIF(ESTRUTURA!$F$3,ESTRUTURA!$F$4,"m")*Tabela!$H$18,Tabela!$H$18)))</f>
        <v/>
      </c>
      <c r="U126" s="60" t="str">
        <f t="shared" si="28"/>
        <v/>
      </c>
      <c r="V126" s="30" t="str">
        <f>IF($A126="","",IF(V$6="NÃO",0,IF($A126=0,DATEDIF(ESTRUTURA!$F$3,ESTRUTURA!$F$4,"m")*Tabela!$H$20,Tabela!$H$20)))</f>
        <v/>
      </c>
      <c r="W126" s="60" t="str">
        <f t="shared" si="28"/>
        <v/>
      </c>
      <c r="X126" s="30" t="str">
        <f t="shared" si="28"/>
        <v/>
      </c>
      <c r="Y126" s="60" t="str">
        <f>IF($A126="","",IF(Y$6="NÃO",0,IF(A126=0,Tabela!$H$23,IF(Y$7="mensal",Tabela!$H$23,IF(AND(MONTH(ESTRUTURA!C126)=MONTH(ESTRUTURA!$F$3),A126&gt;0),Tabela!$H$23,0)))))</f>
        <v/>
      </c>
      <c r="Z126" s="30" t="str">
        <f t="shared" si="28"/>
        <v/>
      </c>
      <c r="AA126" s="60" t="str">
        <f>IF($A126="","",IF(AA$6="NÃO",0,Tabela!$H$25*nm_séries))</f>
        <v/>
      </c>
      <c r="AB126" s="30" t="str">
        <f t="shared" si="28"/>
        <v/>
      </c>
      <c r="AC126" s="60" t="str">
        <f>IF($A126="","",IF(AC$6="NÃO",0,IF(A126=0,Tabela!$H$27,IF(MOD(A126,3)=0,Tabela!$H$27,0))))</f>
        <v/>
      </c>
      <c r="AD126" s="30" t="str">
        <f t="shared" si="28"/>
        <v/>
      </c>
      <c r="AE126" s="60" t="str">
        <f t="shared" si="28"/>
        <v/>
      </c>
      <c r="AF126" s="30" t="str">
        <f>IF($A126="","",IF(AF$6="NÃO",0,IF(AND(MONTH(ESTRUTURA!C126)=MONTH(ESTRUTURA!$F$3),A126&gt;0),Tabela!$H$30,0)))</f>
        <v/>
      </c>
      <c r="AG126" s="60" t="str">
        <f t="shared" si="28"/>
        <v/>
      </c>
      <c r="AH126" s="30" t="str">
        <f t="shared" si="28"/>
        <v/>
      </c>
      <c r="AI126" s="60" t="str">
        <f>IF($A126="","",IF(AI$6="NÃO",0,IF($A126=0,DATEDIF(ESTRUTURA!$F$3,ESTRUTURA!$F$4,"m")*Tabela!$H$33,Tabela!$H$33)))</f>
        <v/>
      </c>
      <c r="AJ126" s="30" t="str">
        <f t="shared" si="26"/>
        <v/>
      </c>
    </row>
    <row r="127" spans="1:36" x14ac:dyDescent="0.2">
      <c r="A127" s="66" t="str">
        <f>ESTRUTURA!A127</f>
        <v/>
      </c>
      <c r="B127" s="58">
        <f t="shared" si="20"/>
        <v>0</v>
      </c>
      <c r="C127" s="60" t="str">
        <f t="shared" si="29"/>
        <v/>
      </c>
      <c r="D127" s="30" t="str">
        <f t="shared" si="29"/>
        <v/>
      </c>
      <c r="E127" s="60" t="str">
        <f t="shared" si="29"/>
        <v/>
      </c>
      <c r="F127" s="30" t="str">
        <f>IF($A127="","",IF(F$6="NÃO",0,Tabela!$H$34*ESTRUTURA!$I$4))</f>
        <v/>
      </c>
      <c r="G127" s="60" t="str">
        <f t="shared" si="29"/>
        <v/>
      </c>
      <c r="H127" s="30" t="str">
        <f>IF($A127="","",IF(H$6="NÃO",0,IF($A127=0,DATEDIF(ESTRUTURA!$F$3,ESTRUTURA!$F$4,"m")*Tabela!$H$6,Tabela!$H$6)))</f>
        <v/>
      </c>
      <c r="I127" s="60" t="str">
        <f t="shared" si="29"/>
        <v/>
      </c>
      <c r="J127" s="30" t="str">
        <f>IF($A127="","",IF(J$6="NÃO",0,IF($A127=0,DATEDIF(ESTRUTURA!$F$3,ESTRUTURA!$F$4,"m")*Tabela!$H$8,IF(J$6="NÃO",0,Tabela!$H$8))))</f>
        <v/>
      </c>
      <c r="K127" s="60" t="str">
        <f t="shared" si="29"/>
        <v/>
      </c>
      <c r="L127" s="30" t="str">
        <f t="shared" si="29"/>
        <v/>
      </c>
      <c r="M127" s="60" t="str">
        <f t="shared" si="29"/>
        <v/>
      </c>
      <c r="N127" s="30" t="str">
        <f t="shared" si="29"/>
        <v/>
      </c>
      <c r="O127" s="60" t="str">
        <f t="shared" si="29"/>
        <v/>
      </c>
      <c r="P127" s="30" t="str">
        <f t="shared" si="27"/>
        <v/>
      </c>
      <c r="Q127" s="60" t="str">
        <f t="shared" si="29"/>
        <v/>
      </c>
      <c r="R127" s="30" t="str">
        <f t="shared" si="29"/>
        <v/>
      </c>
      <c r="S127" s="60" t="str">
        <f>IF($A127="","",IF(S$6="NÃO",0,IF($A127=0,DATEDIF(ESTRUTURA!$F$3,ESTRUTURA!$F$4,"m")*Tabela!$H$17,Tabela!$H$17)))</f>
        <v/>
      </c>
      <c r="T127" s="30" t="str">
        <f>IF($A127="","",IF(T$6="NÃO",0,IF($A127=0,DATEDIF(ESTRUTURA!$F$3,ESTRUTURA!$F$4,"m")*Tabela!$H$18,Tabela!$H$18)))</f>
        <v/>
      </c>
      <c r="U127" s="60" t="str">
        <f t="shared" si="28"/>
        <v/>
      </c>
      <c r="V127" s="30" t="str">
        <f>IF($A127="","",IF(V$6="NÃO",0,IF($A127=0,DATEDIF(ESTRUTURA!$F$3,ESTRUTURA!$F$4,"m")*Tabela!$H$20,Tabela!$H$20)))</f>
        <v/>
      </c>
      <c r="W127" s="60" t="str">
        <f t="shared" si="28"/>
        <v/>
      </c>
      <c r="X127" s="30" t="str">
        <f t="shared" si="28"/>
        <v/>
      </c>
      <c r="Y127" s="60" t="str">
        <f>IF($A127="","",IF(Y$6="NÃO",0,IF(A127=0,Tabela!$H$23,IF(Y$7="mensal",Tabela!$H$23,IF(AND(MONTH(ESTRUTURA!C127)=MONTH(ESTRUTURA!$F$3),A127&gt;0),Tabela!$H$23,0)))))</f>
        <v/>
      </c>
      <c r="Z127" s="30" t="str">
        <f t="shared" si="28"/>
        <v/>
      </c>
      <c r="AA127" s="60" t="str">
        <f>IF($A127="","",IF(AA$6="NÃO",0,Tabela!$H$25*nm_séries))</f>
        <v/>
      </c>
      <c r="AB127" s="30" t="str">
        <f t="shared" si="28"/>
        <v/>
      </c>
      <c r="AC127" s="60" t="str">
        <f>IF($A127="","",IF(AC$6="NÃO",0,IF(A127=0,Tabela!$H$27,IF(MOD(A127,3)=0,Tabela!$H$27,0))))</f>
        <v/>
      </c>
      <c r="AD127" s="30" t="str">
        <f t="shared" si="28"/>
        <v/>
      </c>
      <c r="AE127" s="60" t="str">
        <f t="shared" si="28"/>
        <v/>
      </c>
      <c r="AF127" s="30" t="str">
        <f>IF($A127="","",IF(AF$6="NÃO",0,IF(AND(MONTH(ESTRUTURA!C127)=MONTH(ESTRUTURA!$F$3),A127&gt;0),Tabela!$H$30,0)))</f>
        <v/>
      </c>
      <c r="AG127" s="60" t="str">
        <f t="shared" si="28"/>
        <v/>
      </c>
      <c r="AH127" s="30" t="str">
        <f t="shared" si="28"/>
        <v/>
      </c>
      <c r="AI127" s="60" t="str">
        <f>IF($A127="","",IF(AI$6="NÃO",0,IF($A127=0,DATEDIF(ESTRUTURA!$F$3,ESTRUTURA!$F$4,"m")*Tabela!$H$33,Tabela!$H$33)))</f>
        <v/>
      </c>
      <c r="AJ127" s="30" t="str">
        <f t="shared" si="26"/>
        <v/>
      </c>
    </row>
    <row r="128" spans="1:36" x14ac:dyDescent="0.2">
      <c r="A128" s="66" t="str">
        <f>ESTRUTURA!A128</f>
        <v/>
      </c>
      <c r="B128" s="58">
        <f t="shared" si="20"/>
        <v>0</v>
      </c>
      <c r="C128" s="60" t="str">
        <f t="shared" si="29"/>
        <v/>
      </c>
      <c r="D128" s="30" t="str">
        <f t="shared" si="29"/>
        <v/>
      </c>
      <c r="E128" s="60" t="str">
        <f t="shared" si="29"/>
        <v/>
      </c>
      <c r="F128" s="30" t="str">
        <f>IF($A128="","",IF(F$6="NÃO",0,Tabela!$H$34*ESTRUTURA!$I$4))</f>
        <v/>
      </c>
      <c r="G128" s="60" t="str">
        <f t="shared" si="29"/>
        <v/>
      </c>
      <c r="H128" s="30" t="str">
        <f>IF($A128="","",IF(H$6="NÃO",0,IF($A128=0,DATEDIF(ESTRUTURA!$F$3,ESTRUTURA!$F$4,"m")*Tabela!$H$6,Tabela!$H$6)))</f>
        <v/>
      </c>
      <c r="I128" s="60" t="str">
        <f t="shared" si="29"/>
        <v/>
      </c>
      <c r="J128" s="30" t="str">
        <f>IF($A128="","",IF(J$6="NÃO",0,IF($A128=0,DATEDIF(ESTRUTURA!$F$3,ESTRUTURA!$F$4,"m")*Tabela!$H$8,IF(J$6="NÃO",0,Tabela!$H$8))))</f>
        <v/>
      </c>
      <c r="K128" s="60" t="str">
        <f t="shared" si="29"/>
        <v/>
      </c>
      <c r="L128" s="30" t="str">
        <f t="shared" si="29"/>
        <v/>
      </c>
      <c r="M128" s="60" t="str">
        <f t="shared" si="29"/>
        <v/>
      </c>
      <c r="N128" s="30" t="str">
        <f t="shared" si="29"/>
        <v/>
      </c>
      <c r="O128" s="60" t="str">
        <f t="shared" si="29"/>
        <v/>
      </c>
      <c r="P128" s="30" t="str">
        <f t="shared" si="27"/>
        <v/>
      </c>
      <c r="Q128" s="60" t="str">
        <f t="shared" si="29"/>
        <v/>
      </c>
      <c r="R128" s="30" t="str">
        <f t="shared" si="29"/>
        <v/>
      </c>
      <c r="S128" s="60" t="str">
        <f>IF($A128="","",IF(S$6="NÃO",0,IF($A128=0,DATEDIF(ESTRUTURA!$F$3,ESTRUTURA!$F$4,"m")*Tabela!$H$17,Tabela!$H$17)))</f>
        <v/>
      </c>
      <c r="T128" s="30" t="str">
        <f>IF($A128="","",IF(T$6="NÃO",0,IF($A128=0,DATEDIF(ESTRUTURA!$F$3,ESTRUTURA!$F$4,"m")*Tabela!$H$18,Tabela!$H$18)))</f>
        <v/>
      </c>
      <c r="U128" s="60" t="str">
        <f t="shared" si="28"/>
        <v/>
      </c>
      <c r="V128" s="30" t="str">
        <f>IF($A128="","",IF(V$6="NÃO",0,IF($A128=0,DATEDIF(ESTRUTURA!$F$3,ESTRUTURA!$F$4,"m")*Tabela!$H$20,Tabela!$H$20)))</f>
        <v/>
      </c>
      <c r="W128" s="60" t="str">
        <f t="shared" si="28"/>
        <v/>
      </c>
      <c r="X128" s="30" t="str">
        <f t="shared" si="28"/>
        <v/>
      </c>
      <c r="Y128" s="60" t="str">
        <f>IF($A128="","",IF(Y$6="NÃO",0,IF(A128=0,Tabela!$H$23,IF(Y$7="mensal",Tabela!$H$23,IF(AND(MONTH(ESTRUTURA!C128)=MONTH(ESTRUTURA!$F$3),A128&gt;0),Tabela!$H$23,0)))))</f>
        <v/>
      </c>
      <c r="Z128" s="30" t="str">
        <f t="shared" si="28"/>
        <v/>
      </c>
      <c r="AA128" s="60" t="str">
        <f>IF($A128="","",IF(AA$6="NÃO",0,Tabela!$H$25*nm_séries))</f>
        <v/>
      </c>
      <c r="AB128" s="30" t="str">
        <f t="shared" si="28"/>
        <v/>
      </c>
      <c r="AC128" s="60" t="str">
        <f>IF($A128="","",IF(AC$6="NÃO",0,IF(A128=0,Tabela!$H$27,IF(MOD(A128,3)=0,Tabela!$H$27,0))))</f>
        <v/>
      </c>
      <c r="AD128" s="30" t="str">
        <f t="shared" si="28"/>
        <v/>
      </c>
      <c r="AE128" s="60" t="str">
        <f t="shared" si="28"/>
        <v/>
      </c>
      <c r="AF128" s="30" t="str">
        <f>IF($A128="","",IF(AF$6="NÃO",0,IF(AND(MONTH(ESTRUTURA!C128)=MONTH(ESTRUTURA!$F$3),A128&gt;0),Tabela!$H$30,0)))</f>
        <v/>
      </c>
      <c r="AG128" s="60" t="str">
        <f t="shared" si="28"/>
        <v/>
      </c>
      <c r="AH128" s="30" t="str">
        <f t="shared" si="28"/>
        <v/>
      </c>
      <c r="AI128" s="60" t="str">
        <f>IF($A128="","",IF(AI$6="NÃO",0,IF($A128=0,DATEDIF(ESTRUTURA!$F$3,ESTRUTURA!$F$4,"m")*Tabela!$H$33,Tabela!$H$33)))</f>
        <v/>
      </c>
      <c r="AJ128" s="30" t="str">
        <f t="shared" si="26"/>
        <v/>
      </c>
    </row>
    <row r="129" spans="1:36" x14ac:dyDescent="0.2">
      <c r="A129" s="66" t="str">
        <f>ESTRUTURA!A129</f>
        <v/>
      </c>
      <c r="B129" s="58">
        <f t="shared" si="20"/>
        <v>0</v>
      </c>
      <c r="C129" s="60" t="str">
        <f t="shared" si="29"/>
        <v/>
      </c>
      <c r="D129" s="30" t="str">
        <f t="shared" si="29"/>
        <v/>
      </c>
      <c r="E129" s="60" t="str">
        <f t="shared" si="29"/>
        <v/>
      </c>
      <c r="F129" s="30" t="str">
        <f>IF($A129="","",IF(F$6="NÃO",0,Tabela!$H$34*ESTRUTURA!$I$4))</f>
        <v/>
      </c>
      <c r="G129" s="60" t="str">
        <f t="shared" si="29"/>
        <v/>
      </c>
      <c r="H129" s="30" t="str">
        <f>IF($A129="","",IF(H$6="NÃO",0,IF($A129=0,DATEDIF(ESTRUTURA!$F$3,ESTRUTURA!$F$4,"m")*Tabela!$H$6,Tabela!$H$6)))</f>
        <v/>
      </c>
      <c r="I129" s="60" t="str">
        <f t="shared" si="29"/>
        <v/>
      </c>
      <c r="J129" s="30" t="str">
        <f>IF($A129="","",IF(J$6="NÃO",0,IF($A129=0,DATEDIF(ESTRUTURA!$F$3,ESTRUTURA!$F$4,"m")*Tabela!$H$8,IF(J$6="NÃO",0,Tabela!$H$8))))</f>
        <v/>
      </c>
      <c r="K129" s="60" t="str">
        <f t="shared" si="29"/>
        <v/>
      </c>
      <c r="L129" s="30" t="str">
        <f t="shared" si="29"/>
        <v/>
      </c>
      <c r="M129" s="60" t="str">
        <f t="shared" si="29"/>
        <v/>
      </c>
      <c r="N129" s="30" t="str">
        <f t="shared" si="29"/>
        <v/>
      </c>
      <c r="O129" s="60" t="str">
        <f t="shared" si="29"/>
        <v/>
      </c>
      <c r="P129" s="30" t="str">
        <f t="shared" si="27"/>
        <v/>
      </c>
      <c r="Q129" s="60" t="str">
        <f t="shared" si="29"/>
        <v/>
      </c>
      <c r="R129" s="30" t="str">
        <f t="shared" si="29"/>
        <v/>
      </c>
      <c r="S129" s="60" t="str">
        <f>IF($A129="","",IF(S$6="NÃO",0,IF($A129=0,DATEDIF(ESTRUTURA!$F$3,ESTRUTURA!$F$4,"m")*Tabela!$H$17,Tabela!$H$17)))</f>
        <v/>
      </c>
      <c r="T129" s="30" t="str">
        <f>IF($A129="","",IF(T$6="NÃO",0,IF($A129=0,DATEDIF(ESTRUTURA!$F$3,ESTRUTURA!$F$4,"m")*Tabela!$H$18,Tabela!$H$18)))</f>
        <v/>
      </c>
      <c r="U129" s="60" t="str">
        <f t="shared" si="28"/>
        <v/>
      </c>
      <c r="V129" s="30" t="str">
        <f>IF($A129="","",IF(V$6="NÃO",0,IF($A129=0,DATEDIF(ESTRUTURA!$F$3,ESTRUTURA!$F$4,"m")*Tabela!$H$20,Tabela!$H$20)))</f>
        <v/>
      </c>
      <c r="W129" s="60" t="str">
        <f t="shared" si="28"/>
        <v/>
      </c>
      <c r="X129" s="30" t="str">
        <f t="shared" si="28"/>
        <v/>
      </c>
      <c r="Y129" s="60" t="str">
        <f>IF($A129="","",IF(Y$6="NÃO",0,IF(A129=0,Tabela!$H$23,IF(Y$7="mensal",Tabela!$H$23,IF(AND(MONTH(ESTRUTURA!C129)=MONTH(ESTRUTURA!$F$3),A129&gt;0),Tabela!$H$23,0)))))</f>
        <v/>
      </c>
      <c r="Z129" s="30" t="str">
        <f t="shared" si="28"/>
        <v/>
      </c>
      <c r="AA129" s="60" t="str">
        <f>IF($A129="","",IF(AA$6="NÃO",0,Tabela!$H$25*nm_séries))</f>
        <v/>
      </c>
      <c r="AB129" s="30" t="str">
        <f t="shared" si="28"/>
        <v/>
      </c>
      <c r="AC129" s="60" t="str">
        <f>IF($A129="","",IF(AC$6="NÃO",0,IF(A129=0,Tabela!$H$27,IF(MOD(A129,3)=0,Tabela!$H$27,0))))</f>
        <v/>
      </c>
      <c r="AD129" s="30" t="str">
        <f t="shared" si="28"/>
        <v/>
      </c>
      <c r="AE129" s="60" t="str">
        <f t="shared" si="28"/>
        <v/>
      </c>
      <c r="AF129" s="30" t="str">
        <f>IF($A129="","",IF(AF$6="NÃO",0,IF(AND(MONTH(ESTRUTURA!C129)=MONTH(ESTRUTURA!$F$3),A129&gt;0),Tabela!$H$30,0)))</f>
        <v/>
      </c>
      <c r="AG129" s="60" t="str">
        <f t="shared" si="28"/>
        <v/>
      </c>
      <c r="AH129" s="30" t="str">
        <f t="shared" si="28"/>
        <v/>
      </c>
      <c r="AI129" s="60" t="str">
        <f>IF($A129="","",IF(AI$6="NÃO",0,IF($A129=0,DATEDIF(ESTRUTURA!$F$3,ESTRUTURA!$F$4,"m")*Tabela!$H$33,Tabela!$H$33)))</f>
        <v/>
      </c>
      <c r="AJ129" s="30" t="str">
        <f t="shared" si="26"/>
        <v/>
      </c>
    </row>
    <row r="130" spans="1:36" x14ac:dyDescent="0.2">
      <c r="A130" s="66" t="str">
        <f>ESTRUTURA!A130</f>
        <v/>
      </c>
      <c r="B130" s="58">
        <f t="shared" si="20"/>
        <v>0</v>
      </c>
      <c r="C130" s="60" t="str">
        <f t="shared" si="29"/>
        <v/>
      </c>
      <c r="D130" s="30" t="str">
        <f t="shared" si="29"/>
        <v/>
      </c>
      <c r="E130" s="60" t="str">
        <f t="shared" si="29"/>
        <v/>
      </c>
      <c r="F130" s="30" t="str">
        <f>IF($A130="","",IF(F$6="NÃO",0,Tabela!$H$34*ESTRUTURA!$I$4))</f>
        <v/>
      </c>
      <c r="G130" s="60" t="str">
        <f t="shared" si="29"/>
        <v/>
      </c>
      <c r="H130" s="30" t="str">
        <f>IF($A130="","",IF(H$6="NÃO",0,IF($A130=0,DATEDIF(ESTRUTURA!$F$3,ESTRUTURA!$F$4,"m")*Tabela!$H$6,Tabela!$H$6)))</f>
        <v/>
      </c>
      <c r="I130" s="60" t="str">
        <f t="shared" si="29"/>
        <v/>
      </c>
      <c r="J130" s="30" t="str">
        <f>IF($A130="","",IF(J$6="NÃO",0,IF($A130=0,DATEDIF(ESTRUTURA!$F$3,ESTRUTURA!$F$4,"m")*Tabela!$H$8,IF(J$6="NÃO",0,Tabela!$H$8))))</f>
        <v/>
      </c>
      <c r="K130" s="60" t="str">
        <f t="shared" si="29"/>
        <v/>
      </c>
      <c r="L130" s="30" t="str">
        <f t="shared" si="29"/>
        <v/>
      </c>
      <c r="M130" s="60" t="str">
        <f t="shared" si="29"/>
        <v/>
      </c>
      <c r="N130" s="30" t="str">
        <f t="shared" si="29"/>
        <v/>
      </c>
      <c r="O130" s="60" t="str">
        <f t="shared" si="29"/>
        <v/>
      </c>
      <c r="P130" s="30" t="str">
        <f t="shared" si="27"/>
        <v/>
      </c>
      <c r="Q130" s="60" t="str">
        <f t="shared" si="29"/>
        <v/>
      </c>
      <c r="R130" s="30" t="str">
        <f t="shared" si="29"/>
        <v/>
      </c>
      <c r="S130" s="60" t="str">
        <f>IF($A130="","",IF(S$6="NÃO",0,IF($A130=0,DATEDIF(ESTRUTURA!$F$3,ESTRUTURA!$F$4,"m")*Tabela!$H$17,Tabela!$H$17)))</f>
        <v/>
      </c>
      <c r="T130" s="30" t="str">
        <f>IF($A130="","",IF(T$6="NÃO",0,IF($A130=0,DATEDIF(ESTRUTURA!$F$3,ESTRUTURA!$F$4,"m")*Tabela!$H$18,Tabela!$H$18)))</f>
        <v/>
      </c>
      <c r="U130" s="60" t="str">
        <f t="shared" si="28"/>
        <v/>
      </c>
      <c r="V130" s="30" t="str">
        <f>IF($A130="","",IF(V$6="NÃO",0,IF($A130=0,DATEDIF(ESTRUTURA!$F$3,ESTRUTURA!$F$4,"m")*Tabela!$H$20,Tabela!$H$20)))</f>
        <v/>
      </c>
      <c r="W130" s="60" t="str">
        <f t="shared" si="28"/>
        <v/>
      </c>
      <c r="X130" s="30" t="str">
        <f t="shared" si="28"/>
        <v/>
      </c>
      <c r="Y130" s="60" t="str">
        <f>IF($A130="","",IF(Y$6="NÃO",0,IF(A130=0,Tabela!$H$23,IF(Y$7="mensal",Tabela!$H$23,IF(AND(MONTH(ESTRUTURA!C130)=MONTH(ESTRUTURA!$F$3),A130&gt;0),Tabela!$H$23,0)))))</f>
        <v/>
      </c>
      <c r="Z130" s="30" t="str">
        <f t="shared" si="28"/>
        <v/>
      </c>
      <c r="AA130" s="60" t="str">
        <f>IF($A130="","",IF(AA$6="NÃO",0,Tabela!$H$25*nm_séries))</f>
        <v/>
      </c>
      <c r="AB130" s="30" t="str">
        <f t="shared" si="28"/>
        <v/>
      </c>
      <c r="AC130" s="60" t="str">
        <f>IF($A130="","",IF(AC$6="NÃO",0,IF(A130=0,Tabela!$H$27,IF(MOD(A130,3)=0,Tabela!$H$27,0))))</f>
        <v/>
      </c>
      <c r="AD130" s="30" t="str">
        <f t="shared" si="28"/>
        <v/>
      </c>
      <c r="AE130" s="60" t="str">
        <f t="shared" si="28"/>
        <v/>
      </c>
      <c r="AF130" s="30" t="str">
        <f>IF($A130="","",IF(AF$6="NÃO",0,IF(AND(MONTH(ESTRUTURA!C130)=MONTH(ESTRUTURA!$F$3),A130&gt;0),Tabela!$H$30,0)))</f>
        <v/>
      </c>
      <c r="AG130" s="60" t="str">
        <f t="shared" si="28"/>
        <v/>
      </c>
      <c r="AH130" s="30" t="str">
        <f t="shared" si="28"/>
        <v/>
      </c>
      <c r="AI130" s="60" t="str">
        <f>IF($A130="","",IF(AI$6="NÃO",0,IF($A130=0,DATEDIF(ESTRUTURA!$F$3,ESTRUTURA!$F$4,"m")*Tabela!$H$33,Tabela!$H$33)))</f>
        <v/>
      </c>
      <c r="AJ130" s="30" t="str">
        <f t="shared" si="26"/>
        <v/>
      </c>
    </row>
    <row r="131" spans="1:36" x14ac:dyDescent="0.2">
      <c r="A131" s="66" t="str">
        <f>ESTRUTURA!A131</f>
        <v/>
      </c>
      <c r="B131" s="58">
        <f t="shared" si="20"/>
        <v>0</v>
      </c>
      <c r="C131" s="60" t="str">
        <f t="shared" si="29"/>
        <v/>
      </c>
      <c r="D131" s="30" t="str">
        <f t="shared" si="29"/>
        <v/>
      </c>
      <c r="E131" s="60" t="str">
        <f t="shared" si="29"/>
        <v/>
      </c>
      <c r="F131" s="30" t="str">
        <f>IF($A131="","",IF(F$6="NÃO",0,Tabela!$H$34*ESTRUTURA!$I$4))</f>
        <v/>
      </c>
      <c r="G131" s="60" t="str">
        <f t="shared" si="29"/>
        <v/>
      </c>
      <c r="H131" s="30" t="str">
        <f>IF($A131="","",IF(H$6="NÃO",0,IF($A131=0,DATEDIF(ESTRUTURA!$F$3,ESTRUTURA!$F$4,"m")*Tabela!$H$6,Tabela!$H$6)))</f>
        <v/>
      </c>
      <c r="I131" s="60" t="str">
        <f t="shared" si="29"/>
        <v/>
      </c>
      <c r="J131" s="30" t="str">
        <f>IF($A131="","",IF(J$6="NÃO",0,IF($A131=0,DATEDIF(ESTRUTURA!$F$3,ESTRUTURA!$F$4,"m")*Tabela!$H$8,IF(J$6="NÃO",0,Tabela!$H$8))))</f>
        <v/>
      </c>
      <c r="K131" s="60" t="str">
        <f t="shared" si="29"/>
        <v/>
      </c>
      <c r="L131" s="30" t="str">
        <f t="shared" si="29"/>
        <v/>
      </c>
      <c r="M131" s="60" t="str">
        <f t="shared" si="29"/>
        <v/>
      </c>
      <c r="N131" s="30" t="str">
        <f t="shared" si="29"/>
        <v/>
      </c>
      <c r="O131" s="60" t="str">
        <f t="shared" si="29"/>
        <v/>
      </c>
      <c r="P131" s="30" t="str">
        <f t="shared" si="27"/>
        <v/>
      </c>
      <c r="Q131" s="60" t="str">
        <f t="shared" si="29"/>
        <v/>
      </c>
      <c r="R131" s="30" t="str">
        <f t="shared" si="29"/>
        <v/>
      </c>
      <c r="S131" s="60" t="str">
        <f>IF($A131="","",IF(S$6="NÃO",0,IF($A131=0,DATEDIF(ESTRUTURA!$F$3,ESTRUTURA!$F$4,"m")*Tabela!$H$17,Tabela!$H$17)))</f>
        <v/>
      </c>
      <c r="T131" s="30" t="str">
        <f>IF($A131="","",IF(T$6="NÃO",0,IF($A131=0,DATEDIF(ESTRUTURA!$F$3,ESTRUTURA!$F$4,"m")*Tabela!$H$18,Tabela!$H$18)))</f>
        <v/>
      </c>
      <c r="U131" s="60" t="str">
        <f t="shared" si="28"/>
        <v/>
      </c>
      <c r="V131" s="30" t="str">
        <f>IF($A131="","",IF(V$6="NÃO",0,IF($A131=0,DATEDIF(ESTRUTURA!$F$3,ESTRUTURA!$F$4,"m")*Tabela!$H$20,Tabela!$H$20)))</f>
        <v/>
      </c>
      <c r="W131" s="60" t="str">
        <f t="shared" si="28"/>
        <v/>
      </c>
      <c r="X131" s="30" t="str">
        <f t="shared" si="28"/>
        <v/>
      </c>
      <c r="Y131" s="60" t="str">
        <f>IF($A131="","",IF(Y$6="NÃO",0,IF(A131=0,Tabela!$H$23,IF(Y$7="mensal",Tabela!$H$23,IF(AND(MONTH(ESTRUTURA!C131)=MONTH(ESTRUTURA!$F$3),A131&gt;0),Tabela!$H$23,0)))))</f>
        <v/>
      </c>
      <c r="Z131" s="30" t="str">
        <f t="shared" si="28"/>
        <v/>
      </c>
      <c r="AA131" s="60" t="str">
        <f>IF($A131="","",IF(AA$6="NÃO",0,Tabela!$H$25*nm_séries))</f>
        <v/>
      </c>
      <c r="AB131" s="30" t="str">
        <f t="shared" si="28"/>
        <v/>
      </c>
      <c r="AC131" s="60" t="str">
        <f>IF($A131="","",IF(AC$6="NÃO",0,IF(A131=0,Tabela!$H$27,IF(MOD(A131,3)=0,Tabela!$H$27,0))))</f>
        <v/>
      </c>
      <c r="AD131" s="30" t="str">
        <f t="shared" si="28"/>
        <v/>
      </c>
      <c r="AE131" s="60" t="str">
        <f t="shared" si="28"/>
        <v/>
      </c>
      <c r="AF131" s="30" t="str">
        <f>IF($A131="","",IF(AF$6="NÃO",0,IF(AND(MONTH(ESTRUTURA!C131)=MONTH(ESTRUTURA!$F$3),A131&gt;0),Tabela!$H$30,0)))</f>
        <v/>
      </c>
      <c r="AG131" s="60" t="str">
        <f t="shared" si="28"/>
        <v/>
      </c>
      <c r="AH131" s="30" t="str">
        <f t="shared" si="28"/>
        <v/>
      </c>
      <c r="AI131" s="60" t="str">
        <f>IF($A131="","",IF(AI$6="NÃO",0,IF($A131=0,DATEDIF(ESTRUTURA!$F$3,ESTRUTURA!$F$4,"m")*Tabela!$H$33,Tabela!$H$33)))</f>
        <v/>
      </c>
      <c r="AJ131" s="30" t="str">
        <f t="shared" si="26"/>
        <v/>
      </c>
    </row>
    <row r="132" spans="1:36" x14ac:dyDescent="0.2">
      <c r="A132" s="66" t="str">
        <f>ESTRUTURA!A132</f>
        <v/>
      </c>
      <c r="B132" s="58">
        <f t="shared" si="20"/>
        <v>0</v>
      </c>
      <c r="C132" s="60" t="str">
        <f t="shared" si="29"/>
        <v/>
      </c>
      <c r="D132" s="30" t="str">
        <f t="shared" si="29"/>
        <v/>
      </c>
      <c r="E132" s="60" t="str">
        <f t="shared" si="29"/>
        <v/>
      </c>
      <c r="F132" s="30" t="str">
        <f>IF($A132="","",IF(F$6="NÃO",0,Tabela!$H$34*ESTRUTURA!$I$4))</f>
        <v/>
      </c>
      <c r="G132" s="60" t="str">
        <f t="shared" si="29"/>
        <v/>
      </c>
      <c r="H132" s="30" t="str">
        <f>IF($A132="","",IF(H$6="NÃO",0,IF($A132=0,DATEDIF(ESTRUTURA!$F$3,ESTRUTURA!$F$4,"m")*Tabela!$H$6,Tabela!$H$6)))</f>
        <v/>
      </c>
      <c r="I132" s="60" t="str">
        <f t="shared" si="29"/>
        <v/>
      </c>
      <c r="J132" s="30" t="str">
        <f>IF($A132="","",IF(J$6="NÃO",0,IF($A132=0,DATEDIF(ESTRUTURA!$F$3,ESTRUTURA!$F$4,"m")*Tabela!$H$8,IF(J$6="NÃO",0,Tabela!$H$8))))</f>
        <v/>
      </c>
      <c r="K132" s="60" t="str">
        <f t="shared" si="29"/>
        <v/>
      </c>
      <c r="L132" s="30" t="str">
        <f t="shared" si="29"/>
        <v/>
      </c>
      <c r="M132" s="60" t="str">
        <f t="shared" si="29"/>
        <v/>
      </c>
      <c r="N132" s="30" t="str">
        <f t="shared" si="29"/>
        <v/>
      </c>
      <c r="O132" s="60" t="str">
        <f t="shared" si="29"/>
        <v/>
      </c>
      <c r="P132" s="30" t="str">
        <f t="shared" si="27"/>
        <v/>
      </c>
      <c r="Q132" s="60" t="str">
        <f t="shared" si="29"/>
        <v/>
      </c>
      <c r="R132" s="30" t="str">
        <f t="shared" si="29"/>
        <v/>
      </c>
      <c r="S132" s="60" t="str">
        <f>IF($A132="","",IF(S$6="NÃO",0,IF($A132=0,DATEDIF(ESTRUTURA!$F$3,ESTRUTURA!$F$4,"m")*Tabela!$H$17,Tabela!$H$17)))</f>
        <v/>
      </c>
      <c r="T132" s="30" t="str">
        <f>IF($A132="","",IF(T$6="NÃO",0,IF($A132=0,DATEDIF(ESTRUTURA!$F$3,ESTRUTURA!$F$4,"m")*Tabela!$H$18,Tabela!$H$18)))</f>
        <v/>
      </c>
      <c r="U132" s="60" t="str">
        <f t="shared" si="28"/>
        <v/>
      </c>
      <c r="V132" s="30" t="str">
        <f>IF($A132="","",IF(V$6="NÃO",0,IF($A132=0,DATEDIF(ESTRUTURA!$F$3,ESTRUTURA!$F$4,"m")*Tabela!$H$20,Tabela!$H$20)))</f>
        <v/>
      </c>
      <c r="W132" s="60" t="str">
        <f t="shared" si="28"/>
        <v/>
      </c>
      <c r="X132" s="30" t="str">
        <f t="shared" si="28"/>
        <v/>
      </c>
      <c r="Y132" s="60" t="str">
        <f>IF($A132="","",IF(Y$6="NÃO",0,IF(A132=0,Tabela!$H$23,IF(Y$7="mensal",Tabela!$H$23,IF(AND(MONTH(ESTRUTURA!C132)=MONTH(ESTRUTURA!$F$3),A132&gt;0),Tabela!$H$23,0)))))</f>
        <v/>
      </c>
      <c r="Z132" s="30" t="str">
        <f t="shared" si="28"/>
        <v/>
      </c>
      <c r="AA132" s="60" t="str">
        <f>IF($A132="","",IF(AA$6="NÃO",0,Tabela!$H$25*nm_séries))</f>
        <v/>
      </c>
      <c r="AB132" s="30" t="str">
        <f t="shared" si="28"/>
        <v/>
      </c>
      <c r="AC132" s="60" t="str">
        <f>IF($A132="","",IF(AC$6="NÃO",0,IF(A132=0,Tabela!$H$27,IF(MOD(A132,3)=0,Tabela!$H$27,0))))</f>
        <v/>
      </c>
      <c r="AD132" s="30" t="str">
        <f t="shared" si="28"/>
        <v/>
      </c>
      <c r="AE132" s="60" t="str">
        <f t="shared" si="28"/>
        <v/>
      </c>
      <c r="AF132" s="30" t="str">
        <f>IF($A132="","",IF(AF$6="NÃO",0,IF(AND(MONTH(ESTRUTURA!C132)=MONTH(ESTRUTURA!$F$3),A132&gt;0),Tabela!$H$30,0)))</f>
        <v/>
      </c>
      <c r="AG132" s="60" t="str">
        <f t="shared" si="28"/>
        <v/>
      </c>
      <c r="AH132" s="30" t="str">
        <f t="shared" si="28"/>
        <v/>
      </c>
      <c r="AI132" s="60" t="str">
        <f>IF($A132="","",IF(AI$6="NÃO",0,IF($A132=0,DATEDIF(ESTRUTURA!$F$3,ESTRUTURA!$F$4,"m")*Tabela!$H$33,Tabela!$H$33)))</f>
        <v/>
      </c>
      <c r="AJ132" s="30" t="str">
        <f t="shared" si="26"/>
        <v/>
      </c>
    </row>
    <row r="133" spans="1:36" x14ac:dyDescent="0.2">
      <c r="A133" s="66" t="str">
        <f>ESTRUTURA!A133</f>
        <v/>
      </c>
      <c r="B133" s="58">
        <f t="shared" si="20"/>
        <v>0</v>
      </c>
      <c r="C133" s="60" t="str">
        <f t="shared" si="29"/>
        <v/>
      </c>
      <c r="D133" s="30" t="str">
        <f t="shared" si="29"/>
        <v/>
      </c>
      <c r="E133" s="60" t="str">
        <f t="shared" si="29"/>
        <v/>
      </c>
      <c r="F133" s="30" t="str">
        <f>IF($A133="","",IF(F$6="NÃO",0,Tabela!$H$34*ESTRUTURA!$I$4))</f>
        <v/>
      </c>
      <c r="G133" s="60" t="str">
        <f t="shared" si="29"/>
        <v/>
      </c>
      <c r="H133" s="30" t="str">
        <f>IF($A133="","",IF(H$6="NÃO",0,IF($A133=0,DATEDIF(ESTRUTURA!$F$3,ESTRUTURA!$F$4,"m")*Tabela!$H$6,Tabela!$H$6)))</f>
        <v/>
      </c>
      <c r="I133" s="60" t="str">
        <f t="shared" si="29"/>
        <v/>
      </c>
      <c r="J133" s="30" t="str">
        <f>IF($A133="","",IF(J$6="NÃO",0,IF($A133=0,DATEDIF(ESTRUTURA!$F$3,ESTRUTURA!$F$4,"m")*Tabela!$H$8,IF(J$6="NÃO",0,Tabela!$H$8))))</f>
        <v/>
      </c>
      <c r="K133" s="60" t="str">
        <f t="shared" si="29"/>
        <v/>
      </c>
      <c r="L133" s="30" t="str">
        <f t="shared" si="29"/>
        <v/>
      </c>
      <c r="M133" s="60" t="str">
        <f t="shared" si="29"/>
        <v/>
      </c>
      <c r="N133" s="30" t="str">
        <f t="shared" si="29"/>
        <v/>
      </c>
      <c r="O133" s="60" t="str">
        <f t="shared" si="29"/>
        <v/>
      </c>
      <c r="P133" s="30" t="str">
        <f t="shared" si="27"/>
        <v/>
      </c>
      <c r="Q133" s="60" t="str">
        <f t="shared" si="29"/>
        <v/>
      </c>
      <c r="R133" s="30" t="str">
        <f t="shared" si="29"/>
        <v/>
      </c>
      <c r="S133" s="60" t="str">
        <f>IF($A133="","",IF(S$6="NÃO",0,IF($A133=0,DATEDIF(ESTRUTURA!$F$3,ESTRUTURA!$F$4,"m")*Tabela!$H$17,Tabela!$H$17)))</f>
        <v/>
      </c>
      <c r="T133" s="30" t="str">
        <f>IF($A133="","",IF(T$6="NÃO",0,IF($A133=0,DATEDIF(ESTRUTURA!$F$3,ESTRUTURA!$F$4,"m")*Tabela!$H$18,Tabela!$H$18)))</f>
        <v/>
      </c>
      <c r="U133" s="60" t="str">
        <f t="shared" si="28"/>
        <v/>
      </c>
      <c r="V133" s="30" t="str">
        <f>IF($A133="","",IF(V$6="NÃO",0,IF($A133=0,DATEDIF(ESTRUTURA!$F$3,ESTRUTURA!$F$4,"m")*Tabela!$H$20,Tabela!$H$20)))</f>
        <v/>
      </c>
      <c r="W133" s="60" t="str">
        <f t="shared" si="28"/>
        <v/>
      </c>
      <c r="X133" s="30" t="str">
        <f t="shared" si="28"/>
        <v/>
      </c>
      <c r="Y133" s="60" t="str">
        <f>IF($A133="","",IF(Y$6="NÃO",0,IF(A133=0,Tabela!$H$23,IF(Y$7="mensal",Tabela!$H$23,IF(AND(MONTH(ESTRUTURA!C133)=MONTH(ESTRUTURA!$F$3),A133&gt;0),Tabela!$H$23,0)))))</f>
        <v/>
      </c>
      <c r="Z133" s="30" t="str">
        <f t="shared" si="28"/>
        <v/>
      </c>
      <c r="AA133" s="60" t="str">
        <f>IF($A133="","",IF(AA$6="NÃO",0,Tabela!$H$25*nm_séries))</f>
        <v/>
      </c>
      <c r="AB133" s="30" t="str">
        <f t="shared" si="28"/>
        <v/>
      </c>
      <c r="AC133" s="60" t="str">
        <f>IF($A133="","",IF(AC$6="NÃO",0,IF(A133=0,Tabela!$H$27,IF(MOD(A133,3)=0,Tabela!$H$27,0))))</f>
        <v/>
      </c>
      <c r="AD133" s="30" t="str">
        <f t="shared" si="28"/>
        <v/>
      </c>
      <c r="AE133" s="60" t="str">
        <f t="shared" si="28"/>
        <v/>
      </c>
      <c r="AF133" s="30" t="str">
        <f>IF($A133="","",IF(AF$6="NÃO",0,IF(AND(MONTH(ESTRUTURA!C133)=MONTH(ESTRUTURA!$F$3),A133&gt;0),Tabela!$H$30,0)))</f>
        <v/>
      </c>
      <c r="AG133" s="60" t="str">
        <f t="shared" si="28"/>
        <v/>
      </c>
      <c r="AH133" s="30" t="str">
        <f t="shared" si="28"/>
        <v/>
      </c>
      <c r="AI133" s="60" t="str">
        <f>IF($A133="","",IF(AI$6="NÃO",0,IF($A133=0,DATEDIF(ESTRUTURA!$F$3,ESTRUTURA!$F$4,"m")*Tabela!$H$33,Tabela!$H$33)))</f>
        <v/>
      </c>
      <c r="AJ133" s="30" t="str">
        <f t="shared" si="26"/>
        <v/>
      </c>
    </row>
    <row r="134" spans="1:36" x14ac:dyDescent="0.2">
      <c r="A134" s="66" t="str">
        <f>ESTRUTURA!A134</f>
        <v/>
      </c>
      <c r="B134" s="58">
        <f t="shared" si="20"/>
        <v>0</v>
      </c>
      <c r="C134" s="60" t="str">
        <f t="shared" si="29"/>
        <v/>
      </c>
      <c r="D134" s="30" t="str">
        <f t="shared" si="29"/>
        <v/>
      </c>
      <c r="E134" s="60" t="str">
        <f t="shared" si="29"/>
        <v/>
      </c>
      <c r="F134" s="30" t="str">
        <f>IF($A134="","",IF(F$6="NÃO",0,Tabela!$H$34*ESTRUTURA!$I$4))</f>
        <v/>
      </c>
      <c r="G134" s="60" t="str">
        <f t="shared" si="29"/>
        <v/>
      </c>
      <c r="H134" s="30" t="str">
        <f>IF($A134="","",IF(H$6="NÃO",0,IF($A134=0,DATEDIF(ESTRUTURA!$F$3,ESTRUTURA!$F$4,"m")*Tabela!$H$6,Tabela!$H$6)))</f>
        <v/>
      </c>
      <c r="I134" s="60" t="str">
        <f t="shared" si="29"/>
        <v/>
      </c>
      <c r="J134" s="30" t="str">
        <f>IF($A134="","",IF(J$6="NÃO",0,IF($A134=0,DATEDIF(ESTRUTURA!$F$3,ESTRUTURA!$F$4,"m")*Tabela!$H$8,IF(J$6="NÃO",0,Tabela!$H$8))))</f>
        <v/>
      </c>
      <c r="K134" s="60" t="str">
        <f t="shared" si="29"/>
        <v/>
      </c>
      <c r="L134" s="30" t="str">
        <f t="shared" si="29"/>
        <v/>
      </c>
      <c r="M134" s="60" t="str">
        <f t="shared" si="29"/>
        <v/>
      </c>
      <c r="N134" s="30" t="str">
        <f t="shared" si="29"/>
        <v/>
      </c>
      <c r="O134" s="60" t="str">
        <f t="shared" si="29"/>
        <v/>
      </c>
      <c r="P134" s="30" t="str">
        <f t="shared" si="27"/>
        <v/>
      </c>
      <c r="Q134" s="60" t="str">
        <f t="shared" si="29"/>
        <v/>
      </c>
      <c r="R134" s="30" t="str">
        <f t="shared" si="29"/>
        <v/>
      </c>
      <c r="S134" s="60" t="str">
        <f>IF($A134="","",IF(S$6="NÃO",0,IF($A134=0,DATEDIF(ESTRUTURA!$F$3,ESTRUTURA!$F$4,"m")*Tabela!$H$17,Tabela!$H$17)))</f>
        <v/>
      </c>
      <c r="T134" s="30" t="str">
        <f>IF($A134="","",IF(T$6="NÃO",0,IF($A134=0,DATEDIF(ESTRUTURA!$F$3,ESTRUTURA!$F$4,"m")*Tabela!$H$18,Tabela!$H$18)))</f>
        <v/>
      </c>
      <c r="U134" s="60" t="str">
        <f t="shared" si="28"/>
        <v/>
      </c>
      <c r="V134" s="30" t="str">
        <f>IF($A134="","",IF(V$6="NÃO",0,IF($A134=0,DATEDIF(ESTRUTURA!$F$3,ESTRUTURA!$F$4,"m")*Tabela!$H$20,Tabela!$H$20)))</f>
        <v/>
      </c>
      <c r="W134" s="60" t="str">
        <f t="shared" si="28"/>
        <v/>
      </c>
      <c r="X134" s="30" t="str">
        <f t="shared" si="28"/>
        <v/>
      </c>
      <c r="Y134" s="60" t="str">
        <f>IF($A134="","",IF(Y$6="NÃO",0,IF(A134=0,Tabela!$H$23,IF(Y$7="mensal",Tabela!$H$23,IF(AND(MONTH(ESTRUTURA!C134)=MONTH(ESTRUTURA!$F$3),A134&gt;0),Tabela!$H$23,0)))))</f>
        <v/>
      </c>
      <c r="Z134" s="30" t="str">
        <f t="shared" si="28"/>
        <v/>
      </c>
      <c r="AA134" s="60" t="str">
        <f>IF($A134="","",IF(AA$6="NÃO",0,Tabela!$H$25*nm_séries))</f>
        <v/>
      </c>
      <c r="AB134" s="30" t="str">
        <f t="shared" si="28"/>
        <v/>
      </c>
      <c r="AC134" s="60" t="str">
        <f>IF($A134="","",IF(AC$6="NÃO",0,IF(A134=0,Tabela!$H$27,IF(MOD(A134,3)=0,Tabela!$H$27,0))))</f>
        <v/>
      </c>
      <c r="AD134" s="30" t="str">
        <f t="shared" si="28"/>
        <v/>
      </c>
      <c r="AE134" s="60" t="str">
        <f t="shared" si="28"/>
        <v/>
      </c>
      <c r="AF134" s="30" t="str">
        <f>IF($A134="","",IF(AF$6="NÃO",0,IF(AND(MONTH(ESTRUTURA!C134)=MONTH(ESTRUTURA!$F$3),A134&gt;0),Tabela!$H$30,0)))</f>
        <v/>
      </c>
      <c r="AG134" s="60" t="str">
        <f t="shared" si="28"/>
        <v/>
      </c>
      <c r="AH134" s="30" t="str">
        <f t="shared" si="28"/>
        <v/>
      </c>
      <c r="AI134" s="60" t="str">
        <f>IF($A134="","",IF(AI$6="NÃO",0,IF($A134=0,DATEDIF(ESTRUTURA!$F$3,ESTRUTURA!$F$4,"m")*Tabela!$H$33,Tabela!$H$33)))</f>
        <v/>
      </c>
      <c r="AJ134" s="30" t="str">
        <f t="shared" si="26"/>
        <v/>
      </c>
    </row>
    <row r="135" spans="1:36" x14ac:dyDescent="0.2">
      <c r="A135" s="66" t="str">
        <f>ESTRUTURA!A135</f>
        <v/>
      </c>
      <c r="B135" s="58">
        <f t="shared" si="20"/>
        <v>0</v>
      </c>
      <c r="C135" s="60" t="str">
        <f t="shared" si="29"/>
        <v/>
      </c>
      <c r="D135" s="30" t="str">
        <f t="shared" si="29"/>
        <v/>
      </c>
      <c r="E135" s="60" t="str">
        <f t="shared" si="29"/>
        <v/>
      </c>
      <c r="F135" s="30" t="str">
        <f>IF($A135="","",IF(F$6="NÃO",0,Tabela!$H$34*ESTRUTURA!$I$4))</f>
        <v/>
      </c>
      <c r="G135" s="60" t="str">
        <f t="shared" si="29"/>
        <v/>
      </c>
      <c r="H135" s="30" t="str">
        <f>IF($A135="","",IF(H$6="NÃO",0,IF($A135=0,DATEDIF(ESTRUTURA!$F$3,ESTRUTURA!$F$4,"m")*Tabela!$H$6,Tabela!$H$6)))</f>
        <v/>
      </c>
      <c r="I135" s="60" t="str">
        <f t="shared" si="29"/>
        <v/>
      </c>
      <c r="J135" s="30" t="str">
        <f>IF($A135="","",IF(J$6="NÃO",0,IF($A135=0,DATEDIF(ESTRUTURA!$F$3,ESTRUTURA!$F$4,"m")*Tabela!$H$8,IF(J$6="NÃO",0,Tabela!$H$8))))</f>
        <v/>
      </c>
      <c r="K135" s="60" t="str">
        <f t="shared" si="29"/>
        <v/>
      </c>
      <c r="L135" s="30" t="str">
        <f t="shared" si="29"/>
        <v/>
      </c>
      <c r="M135" s="60" t="str">
        <f t="shared" si="29"/>
        <v/>
      </c>
      <c r="N135" s="30" t="str">
        <f t="shared" si="29"/>
        <v/>
      </c>
      <c r="O135" s="60" t="str">
        <f t="shared" si="29"/>
        <v/>
      </c>
      <c r="P135" s="30" t="str">
        <f t="shared" si="27"/>
        <v/>
      </c>
      <c r="Q135" s="60" t="str">
        <f t="shared" si="29"/>
        <v/>
      </c>
      <c r="R135" s="30" t="str">
        <f t="shared" si="29"/>
        <v/>
      </c>
      <c r="S135" s="60" t="str">
        <f>IF($A135="","",IF(S$6="NÃO",0,IF($A135=0,DATEDIF(ESTRUTURA!$F$3,ESTRUTURA!$F$4,"m")*Tabela!$H$17,Tabela!$H$17)))</f>
        <v/>
      </c>
      <c r="T135" s="30" t="str">
        <f>IF($A135="","",IF(T$6="NÃO",0,IF($A135=0,DATEDIF(ESTRUTURA!$F$3,ESTRUTURA!$F$4,"m")*Tabela!$H$18,Tabela!$H$18)))</f>
        <v/>
      </c>
      <c r="U135" s="60" t="str">
        <f t="shared" si="28"/>
        <v/>
      </c>
      <c r="V135" s="30" t="str">
        <f>IF($A135="","",IF(V$6="NÃO",0,IF($A135=0,DATEDIF(ESTRUTURA!$F$3,ESTRUTURA!$F$4,"m")*Tabela!$H$20,Tabela!$H$20)))</f>
        <v/>
      </c>
      <c r="W135" s="60" t="str">
        <f t="shared" si="28"/>
        <v/>
      </c>
      <c r="X135" s="30" t="str">
        <f t="shared" si="28"/>
        <v/>
      </c>
      <c r="Y135" s="60" t="str">
        <f>IF($A135="","",IF(Y$6="NÃO",0,IF(A135=0,Tabela!$H$23,IF(Y$7="mensal",Tabela!$H$23,IF(AND(MONTH(ESTRUTURA!C135)=MONTH(ESTRUTURA!$F$3),A135&gt;0),Tabela!$H$23,0)))))</f>
        <v/>
      </c>
      <c r="Z135" s="30" t="str">
        <f t="shared" si="28"/>
        <v/>
      </c>
      <c r="AA135" s="60" t="str">
        <f>IF($A135="","",IF(AA$6="NÃO",0,Tabela!$H$25*nm_séries))</f>
        <v/>
      </c>
      <c r="AB135" s="30" t="str">
        <f t="shared" si="28"/>
        <v/>
      </c>
      <c r="AC135" s="60" t="str">
        <f>IF($A135="","",IF(AC$6="NÃO",0,IF(A135=0,Tabela!$H$27,IF(MOD(A135,3)=0,Tabela!$H$27,0))))</f>
        <v/>
      </c>
      <c r="AD135" s="30" t="str">
        <f t="shared" si="28"/>
        <v/>
      </c>
      <c r="AE135" s="60" t="str">
        <f t="shared" si="28"/>
        <v/>
      </c>
      <c r="AF135" s="30" t="str">
        <f>IF($A135="","",IF(AF$6="NÃO",0,IF(AND(MONTH(ESTRUTURA!C135)=MONTH(ESTRUTURA!$F$3),A135&gt;0),Tabela!$H$30,0)))</f>
        <v/>
      </c>
      <c r="AG135" s="60" t="str">
        <f t="shared" si="28"/>
        <v/>
      </c>
      <c r="AH135" s="30" t="str">
        <f t="shared" si="28"/>
        <v/>
      </c>
      <c r="AI135" s="60" t="str">
        <f>IF($A135="","",IF(AI$6="NÃO",0,IF($A135=0,DATEDIF(ESTRUTURA!$F$3,ESTRUTURA!$F$4,"m")*Tabela!$H$33,Tabela!$H$33)))</f>
        <v/>
      </c>
      <c r="AJ135" s="30" t="str">
        <f t="shared" si="26"/>
        <v/>
      </c>
    </row>
    <row r="136" spans="1:36" x14ac:dyDescent="0.2">
      <c r="A136" s="66" t="str">
        <f>ESTRUTURA!A136</f>
        <v/>
      </c>
      <c r="B136" s="58">
        <f t="shared" si="20"/>
        <v>0</v>
      </c>
      <c r="C136" s="60" t="str">
        <f t="shared" si="29"/>
        <v/>
      </c>
      <c r="D136" s="30" t="str">
        <f t="shared" si="29"/>
        <v/>
      </c>
      <c r="E136" s="60" t="str">
        <f t="shared" si="29"/>
        <v/>
      </c>
      <c r="F136" s="30" t="str">
        <f>IF($A136="","",IF(F$6="NÃO",0,Tabela!$H$34*ESTRUTURA!$I$4))</f>
        <v/>
      </c>
      <c r="G136" s="60" t="str">
        <f t="shared" si="29"/>
        <v/>
      </c>
      <c r="H136" s="30" t="str">
        <f>IF($A136="","",IF(H$6="NÃO",0,IF($A136=0,DATEDIF(ESTRUTURA!$F$3,ESTRUTURA!$F$4,"m")*Tabela!$H$6,Tabela!$H$6)))</f>
        <v/>
      </c>
      <c r="I136" s="60" t="str">
        <f t="shared" si="29"/>
        <v/>
      </c>
      <c r="J136" s="30" t="str">
        <f>IF($A136="","",IF(J$6="NÃO",0,IF($A136=0,DATEDIF(ESTRUTURA!$F$3,ESTRUTURA!$F$4,"m")*Tabela!$H$8,IF(J$6="NÃO",0,Tabela!$H$8))))</f>
        <v/>
      </c>
      <c r="K136" s="60" t="str">
        <f t="shared" si="29"/>
        <v/>
      </c>
      <c r="L136" s="30" t="str">
        <f t="shared" si="29"/>
        <v/>
      </c>
      <c r="M136" s="60" t="str">
        <f t="shared" si="29"/>
        <v/>
      </c>
      <c r="N136" s="30" t="str">
        <f t="shared" si="29"/>
        <v/>
      </c>
      <c r="O136" s="60" t="str">
        <f t="shared" si="29"/>
        <v/>
      </c>
      <c r="P136" s="30" t="str">
        <f t="shared" si="27"/>
        <v/>
      </c>
      <c r="Q136" s="60" t="str">
        <f t="shared" si="29"/>
        <v/>
      </c>
      <c r="R136" s="30" t="str">
        <f t="shared" si="29"/>
        <v/>
      </c>
      <c r="S136" s="60" t="str">
        <f>IF($A136="","",IF(S$6="NÃO",0,IF($A136=0,DATEDIF(ESTRUTURA!$F$3,ESTRUTURA!$F$4,"m")*Tabela!$H$17,Tabela!$H$17)))</f>
        <v/>
      </c>
      <c r="T136" s="30" t="str">
        <f>IF($A136="","",IF(T$6="NÃO",0,IF($A136=0,DATEDIF(ESTRUTURA!$F$3,ESTRUTURA!$F$4,"m")*Tabela!$H$18,Tabela!$H$18)))</f>
        <v/>
      </c>
      <c r="U136" s="60" t="str">
        <f t="shared" si="28"/>
        <v/>
      </c>
      <c r="V136" s="30" t="str">
        <f>IF($A136="","",IF(V$6="NÃO",0,IF($A136=0,DATEDIF(ESTRUTURA!$F$3,ESTRUTURA!$F$4,"m")*Tabela!$H$20,Tabela!$H$20)))</f>
        <v/>
      </c>
      <c r="W136" s="60" t="str">
        <f t="shared" si="28"/>
        <v/>
      </c>
      <c r="X136" s="30" t="str">
        <f t="shared" si="28"/>
        <v/>
      </c>
      <c r="Y136" s="60" t="str">
        <f>IF($A136="","",IF(Y$6="NÃO",0,IF(A136=0,Tabela!$H$23,IF(Y$7="mensal",Tabela!$H$23,IF(AND(MONTH(ESTRUTURA!C136)=MONTH(ESTRUTURA!$F$3),A136&gt;0),Tabela!$H$23,0)))))</f>
        <v/>
      </c>
      <c r="Z136" s="30" t="str">
        <f t="shared" si="28"/>
        <v/>
      </c>
      <c r="AA136" s="60" t="str">
        <f>IF($A136="","",IF(AA$6="NÃO",0,Tabela!$H$25*nm_séries))</f>
        <v/>
      </c>
      <c r="AB136" s="30" t="str">
        <f t="shared" si="28"/>
        <v/>
      </c>
      <c r="AC136" s="60" t="str">
        <f>IF($A136="","",IF(AC$6="NÃO",0,IF(A136=0,Tabela!$H$27,IF(MOD(A136,3)=0,Tabela!$H$27,0))))</f>
        <v/>
      </c>
      <c r="AD136" s="30" t="str">
        <f t="shared" si="28"/>
        <v/>
      </c>
      <c r="AE136" s="60" t="str">
        <f t="shared" si="28"/>
        <v/>
      </c>
      <c r="AF136" s="30" t="str">
        <f>IF($A136="","",IF(AF$6="NÃO",0,IF(AND(MONTH(ESTRUTURA!C136)=MONTH(ESTRUTURA!$F$3),A136&gt;0),Tabela!$H$30,0)))</f>
        <v/>
      </c>
      <c r="AG136" s="60" t="str">
        <f t="shared" si="28"/>
        <v/>
      </c>
      <c r="AH136" s="30" t="str">
        <f t="shared" si="28"/>
        <v/>
      </c>
      <c r="AI136" s="60" t="str">
        <f>IF($A136="","",IF(AI$6="NÃO",0,IF($A136=0,DATEDIF(ESTRUTURA!$F$3,ESTRUTURA!$F$4,"m")*Tabela!$H$33,Tabela!$H$33)))</f>
        <v/>
      </c>
      <c r="AJ136" s="30" t="str">
        <f t="shared" si="26"/>
        <v/>
      </c>
    </row>
    <row r="137" spans="1:36" x14ac:dyDescent="0.2">
      <c r="A137" s="66" t="str">
        <f>ESTRUTURA!A137</f>
        <v/>
      </c>
      <c r="B137" s="58">
        <f t="shared" si="20"/>
        <v>0</v>
      </c>
      <c r="C137" s="60" t="str">
        <f t="shared" si="29"/>
        <v/>
      </c>
      <c r="D137" s="30" t="str">
        <f t="shared" si="29"/>
        <v/>
      </c>
      <c r="E137" s="60" t="str">
        <f t="shared" si="29"/>
        <v/>
      </c>
      <c r="F137" s="30" t="str">
        <f>IF($A137="","",IF(F$6="NÃO",0,Tabela!$H$34*ESTRUTURA!$I$4))</f>
        <v/>
      </c>
      <c r="G137" s="60" t="str">
        <f t="shared" si="29"/>
        <v/>
      </c>
      <c r="H137" s="30" t="str">
        <f>IF($A137="","",IF(H$6="NÃO",0,IF($A137=0,DATEDIF(ESTRUTURA!$F$3,ESTRUTURA!$F$4,"m")*Tabela!$H$6,Tabela!$H$6)))</f>
        <v/>
      </c>
      <c r="I137" s="60" t="str">
        <f t="shared" si="29"/>
        <v/>
      </c>
      <c r="J137" s="30" t="str">
        <f>IF($A137="","",IF(J$6="NÃO",0,IF($A137=0,DATEDIF(ESTRUTURA!$F$3,ESTRUTURA!$F$4,"m")*Tabela!$H$8,IF(J$6="NÃO",0,Tabela!$H$8))))</f>
        <v/>
      </c>
      <c r="K137" s="60" t="str">
        <f t="shared" si="29"/>
        <v/>
      </c>
      <c r="L137" s="30" t="str">
        <f t="shared" si="29"/>
        <v/>
      </c>
      <c r="M137" s="60" t="str">
        <f t="shared" si="29"/>
        <v/>
      </c>
      <c r="N137" s="30" t="str">
        <f t="shared" si="29"/>
        <v/>
      </c>
      <c r="O137" s="60" t="str">
        <f t="shared" si="29"/>
        <v/>
      </c>
      <c r="P137" s="30" t="str">
        <f t="shared" si="27"/>
        <v/>
      </c>
      <c r="Q137" s="60" t="str">
        <f t="shared" si="29"/>
        <v/>
      </c>
      <c r="R137" s="30" t="str">
        <f t="shared" si="29"/>
        <v/>
      </c>
      <c r="S137" s="60" t="str">
        <f>IF($A137="","",IF(S$6="NÃO",0,IF($A137=0,DATEDIF(ESTRUTURA!$F$3,ESTRUTURA!$F$4,"m")*Tabela!$H$17,Tabela!$H$17)))</f>
        <v/>
      </c>
      <c r="T137" s="30" t="str">
        <f>IF($A137="","",IF(T$6="NÃO",0,IF($A137=0,DATEDIF(ESTRUTURA!$F$3,ESTRUTURA!$F$4,"m")*Tabela!$H$18,Tabela!$H$18)))</f>
        <v/>
      </c>
      <c r="U137" s="60" t="str">
        <f t="shared" si="28"/>
        <v/>
      </c>
      <c r="V137" s="30" t="str">
        <f>IF($A137="","",IF(V$6="NÃO",0,IF($A137=0,DATEDIF(ESTRUTURA!$F$3,ESTRUTURA!$F$4,"m")*Tabela!$H$20,Tabela!$H$20)))</f>
        <v/>
      </c>
      <c r="W137" s="60" t="str">
        <f t="shared" si="28"/>
        <v/>
      </c>
      <c r="X137" s="30" t="str">
        <f t="shared" si="28"/>
        <v/>
      </c>
      <c r="Y137" s="60" t="str">
        <f>IF($A137="","",IF(Y$6="NÃO",0,IF(A137=0,Tabela!$H$23,IF(Y$7="mensal",Tabela!$H$23,IF(AND(MONTH(ESTRUTURA!C137)=MONTH(ESTRUTURA!$F$3),A137&gt;0),Tabela!$H$23,0)))))</f>
        <v/>
      </c>
      <c r="Z137" s="30" t="str">
        <f t="shared" si="28"/>
        <v/>
      </c>
      <c r="AA137" s="60" t="str">
        <f>IF($A137="","",IF(AA$6="NÃO",0,Tabela!$H$25*nm_séries))</f>
        <v/>
      </c>
      <c r="AB137" s="30" t="str">
        <f t="shared" si="28"/>
        <v/>
      </c>
      <c r="AC137" s="60" t="str">
        <f>IF($A137="","",IF(AC$6="NÃO",0,IF(A137=0,Tabela!$H$27,IF(MOD(A137,3)=0,Tabela!$H$27,0))))</f>
        <v/>
      </c>
      <c r="AD137" s="30" t="str">
        <f t="shared" si="28"/>
        <v/>
      </c>
      <c r="AE137" s="60" t="str">
        <f t="shared" si="28"/>
        <v/>
      </c>
      <c r="AF137" s="30" t="str">
        <f>IF($A137="","",IF(AF$6="NÃO",0,IF(AND(MONTH(ESTRUTURA!C137)=MONTH(ESTRUTURA!$F$3),A137&gt;0),Tabela!$H$30,0)))</f>
        <v/>
      </c>
      <c r="AG137" s="60" t="str">
        <f t="shared" si="28"/>
        <v/>
      </c>
      <c r="AH137" s="30" t="str">
        <f t="shared" si="28"/>
        <v/>
      </c>
      <c r="AI137" s="60" t="str">
        <f>IF($A137="","",IF(AI$6="NÃO",0,IF($A137=0,DATEDIF(ESTRUTURA!$F$3,ESTRUTURA!$F$4,"m")*Tabela!$H$33,Tabela!$H$33)))</f>
        <v/>
      </c>
      <c r="AJ137" s="30" t="str">
        <f t="shared" si="26"/>
        <v/>
      </c>
    </row>
    <row r="138" spans="1:36" x14ac:dyDescent="0.2">
      <c r="A138" s="66" t="str">
        <f>ESTRUTURA!A138</f>
        <v/>
      </c>
      <c r="B138" s="58">
        <f t="shared" si="20"/>
        <v>0</v>
      </c>
      <c r="C138" s="60" t="str">
        <f t="shared" si="29"/>
        <v/>
      </c>
      <c r="D138" s="30" t="str">
        <f t="shared" si="29"/>
        <v/>
      </c>
      <c r="E138" s="60" t="str">
        <f t="shared" si="29"/>
        <v/>
      </c>
      <c r="F138" s="30" t="str">
        <f>IF($A138="","",IF(F$6="NÃO",0,Tabela!$H$34*ESTRUTURA!$I$4))</f>
        <v/>
      </c>
      <c r="G138" s="60" t="str">
        <f t="shared" si="29"/>
        <v/>
      </c>
      <c r="H138" s="30" t="str">
        <f>IF($A138="","",IF(H$6="NÃO",0,IF($A138=0,DATEDIF(ESTRUTURA!$F$3,ESTRUTURA!$F$4,"m")*Tabela!$H$6,Tabela!$H$6)))</f>
        <v/>
      </c>
      <c r="I138" s="60" t="str">
        <f t="shared" si="29"/>
        <v/>
      </c>
      <c r="J138" s="30" t="str">
        <f>IF($A138="","",IF(J$6="NÃO",0,IF($A138=0,DATEDIF(ESTRUTURA!$F$3,ESTRUTURA!$F$4,"m")*Tabela!$H$8,IF(J$6="NÃO",0,Tabela!$H$8))))</f>
        <v/>
      </c>
      <c r="K138" s="60" t="str">
        <f t="shared" si="29"/>
        <v/>
      </c>
      <c r="L138" s="30" t="str">
        <f t="shared" si="29"/>
        <v/>
      </c>
      <c r="M138" s="60" t="str">
        <f t="shared" si="29"/>
        <v/>
      </c>
      <c r="N138" s="30" t="str">
        <f t="shared" si="29"/>
        <v/>
      </c>
      <c r="O138" s="60" t="str">
        <f t="shared" si="29"/>
        <v/>
      </c>
      <c r="P138" s="30" t="str">
        <f t="shared" si="27"/>
        <v/>
      </c>
      <c r="Q138" s="60" t="str">
        <f t="shared" si="29"/>
        <v/>
      </c>
      <c r="R138" s="30" t="str">
        <f t="shared" si="29"/>
        <v/>
      </c>
      <c r="S138" s="60" t="str">
        <f>IF($A138="","",IF(S$6="NÃO",0,IF($A138=0,DATEDIF(ESTRUTURA!$F$3,ESTRUTURA!$F$4,"m")*Tabela!$H$17,Tabela!$H$17)))</f>
        <v/>
      </c>
      <c r="T138" s="30" t="str">
        <f>IF($A138="","",IF(T$6="NÃO",0,IF($A138=0,DATEDIF(ESTRUTURA!$F$3,ESTRUTURA!$F$4,"m")*Tabela!$H$18,Tabela!$H$18)))</f>
        <v/>
      </c>
      <c r="U138" s="60" t="str">
        <f t="shared" si="28"/>
        <v/>
      </c>
      <c r="V138" s="30" t="str">
        <f>IF($A138="","",IF(V$6="NÃO",0,IF($A138=0,DATEDIF(ESTRUTURA!$F$3,ESTRUTURA!$F$4,"m")*Tabela!$H$20,Tabela!$H$20)))</f>
        <v/>
      </c>
      <c r="W138" s="60" t="str">
        <f t="shared" si="28"/>
        <v/>
      </c>
      <c r="X138" s="30" t="str">
        <f t="shared" si="28"/>
        <v/>
      </c>
      <c r="Y138" s="60" t="str">
        <f>IF($A138="","",IF(Y$6="NÃO",0,IF(A138=0,Tabela!$H$23,IF(Y$7="mensal",Tabela!$H$23,IF(AND(MONTH(ESTRUTURA!C138)=MONTH(ESTRUTURA!$F$3),A138&gt;0),Tabela!$H$23,0)))))</f>
        <v/>
      </c>
      <c r="Z138" s="30" t="str">
        <f t="shared" si="28"/>
        <v/>
      </c>
      <c r="AA138" s="60" t="str">
        <f>IF($A138="","",IF(AA$6="NÃO",0,Tabela!$H$25*nm_séries))</f>
        <v/>
      </c>
      <c r="AB138" s="30" t="str">
        <f t="shared" si="28"/>
        <v/>
      </c>
      <c r="AC138" s="60" t="str">
        <f>IF($A138="","",IF(AC$6="NÃO",0,IF(A138=0,Tabela!$H$27,IF(MOD(A138,3)=0,Tabela!$H$27,0))))</f>
        <v/>
      </c>
      <c r="AD138" s="30" t="str">
        <f t="shared" si="28"/>
        <v/>
      </c>
      <c r="AE138" s="60" t="str">
        <f t="shared" si="28"/>
        <v/>
      </c>
      <c r="AF138" s="30" t="str">
        <f>IF($A138="","",IF(AF$6="NÃO",0,IF(AND(MONTH(ESTRUTURA!C138)=MONTH(ESTRUTURA!$F$3),A138&gt;0),Tabela!$H$30,0)))</f>
        <v/>
      </c>
      <c r="AG138" s="60" t="str">
        <f t="shared" si="28"/>
        <v/>
      </c>
      <c r="AH138" s="30" t="str">
        <f t="shared" si="28"/>
        <v/>
      </c>
      <c r="AI138" s="60" t="str">
        <f>IF($A138="","",IF(AI$6="NÃO",0,IF($A138=0,DATEDIF(ESTRUTURA!$F$3,ESTRUTURA!$F$4,"m")*Tabela!$H$33,Tabela!$H$33)))</f>
        <v/>
      </c>
      <c r="AJ138" s="30" t="str">
        <f t="shared" si="26"/>
        <v/>
      </c>
    </row>
    <row r="139" spans="1:36" x14ac:dyDescent="0.2">
      <c r="A139" s="66" t="str">
        <f>ESTRUTURA!A139</f>
        <v/>
      </c>
      <c r="B139" s="58">
        <f t="shared" si="20"/>
        <v>0</v>
      </c>
      <c r="C139" s="60" t="str">
        <f t="shared" si="29"/>
        <v/>
      </c>
      <c r="D139" s="30" t="str">
        <f t="shared" si="29"/>
        <v/>
      </c>
      <c r="E139" s="60" t="str">
        <f t="shared" si="29"/>
        <v/>
      </c>
      <c r="F139" s="30" t="str">
        <f>IF($A139="","",IF(F$6="NÃO",0,Tabela!$H$34*ESTRUTURA!$I$4))</f>
        <v/>
      </c>
      <c r="G139" s="60" t="str">
        <f t="shared" si="29"/>
        <v/>
      </c>
      <c r="H139" s="30" t="str">
        <f>IF($A139="","",IF(H$6="NÃO",0,IF($A139=0,DATEDIF(ESTRUTURA!$F$3,ESTRUTURA!$F$4,"m")*Tabela!$H$6,Tabela!$H$6)))</f>
        <v/>
      </c>
      <c r="I139" s="60" t="str">
        <f t="shared" si="29"/>
        <v/>
      </c>
      <c r="J139" s="30" t="str">
        <f>IF($A139="","",IF(J$6="NÃO",0,IF($A139=0,DATEDIF(ESTRUTURA!$F$3,ESTRUTURA!$F$4,"m")*Tabela!$H$8,IF(J$6="NÃO",0,Tabela!$H$8))))</f>
        <v/>
      </c>
      <c r="K139" s="60" t="str">
        <f t="shared" si="29"/>
        <v/>
      </c>
      <c r="L139" s="30" t="str">
        <f t="shared" si="29"/>
        <v/>
      </c>
      <c r="M139" s="60" t="str">
        <f t="shared" si="29"/>
        <v/>
      </c>
      <c r="N139" s="30" t="str">
        <f t="shared" si="29"/>
        <v/>
      </c>
      <c r="O139" s="60" t="str">
        <f t="shared" si="29"/>
        <v/>
      </c>
      <c r="P139" s="30" t="str">
        <f t="shared" si="27"/>
        <v/>
      </c>
      <c r="Q139" s="60" t="str">
        <f t="shared" si="29"/>
        <v/>
      </c>
      <c r="R139" s="30" t="str">
        <f t="shared" si="29"/>
        <v/>
      </c>
      <c r="S139" s="60" t="str">
        <f>IF($A139="","",IF(S$6="NÃO",0,IF($A139=0,DATEDIF(ESTRUTURA!$F$3,ESTRUTURA!$F$4,"m")*Tabela!$H$17,Tabela!$H$17)))</f>
        <v/>
      </c>
      <c r="T139" s="30" t="str">
        <f>IF($A139="","",IF(T$6="NÃO",0,IF($A139=0,DATEDIF(ESTRUTURA!$F$3,ESTRUTURA!$F$4,"m")*Tabela!$H$18,Tabela!$H$18)))</f>
        <v/>
      </c>
      <c r="U139" s="60" t="str">
        <f t="shared" ref="U139:AH154" si="30">IF($A139="","",IF(U$6="NÃO",0,0))</f>
        <v/>
      </c>
      <c r="V139" s="30" t="str">
        <f>IF($A139="","",IF(V$6="NÃO",0,IF($A139=0,DATEDIF(ESTRUTURA!$F$3,ESTRUTURA!$F$4,"m")*Tabela!$H$20,Tabela!$H$20)))</f>
        <v/>
      </c>
      <c r="W139" s="60" t="str">
        <f t="shared" si="30"/>
        <v/>
      </c>
      <c r="X139" s="30" t="str">
        <f t="shared" si="30"/>
        <v/>
      </c>
      <c r="Y139" s="60" t="str">
        <f>IF($A139="","",IF(Y$6="NÃO",0,IF(A139=0,Tabela!$H$23,IF(Y$7="mensal",Tabela!$H$23,IF(AND(MONTH(ESTRUTURA!C139)=MONTH(ESTRUTURA!$F$3),A139&gt;0),Tabela!$H$23,0)))))</f>
        <v/>
      </c>
      <c r="Z139" s="30" t="str">
        <f t="shared" si="30"/>
        <v/>
      </c>
      <c r="AA139" s="60" t="str">
        <f>IF($A139="","",IF(AA$6="NÃO",0,Tabela!$H$25*nm_séries))</f>
        <v/>
      </c>
      <c r="AB139" s="30" t="str">
        <f t="shared" si="30"/>
        <v/>
      </c>
      <c r="AC139" s="60" t="str">
        <f>IF($A139="","",IF(AC$6="NÃO",0,IF(A139=0,Tabela!$H$27,IF(MOD(A139,3)=0,Tabela!$H$27,0))))</f>
        <v/>
      </c>
      <c r="AD139" s="30" t="str">
        <f t="shared" si="30"/>
        <v/>
      </c>
      <c r="AE139" s="60" t="str">
        <f t="shared" si="30"/>
        <v/>
      </c>
      <c r="AF139" s="30" t="str">
        <f>IF($A139="","",IF(AF$6="NÃO",0,IF(AND(MONTH(ESTRUTURA!C139)=MONTH(ESTRUTURA!$F$3),A139&gt;0),Tabela!$H$30,0)))</f>
        <v/>
      </c>
      <c r="AG139" s="60" t="str">
        <f t="shared" si="30"/>
        <v/>
      </c>
      <c r="AH139" s="30" t="str">
        <f t="shared" si="30"/>
        <v/>
      </c>
      <c r="AI139" s="60" t="str">
        <f>IF($A139="","",IF(AI$6="NÃO",0,IF($A139=0,DATEDIF(ESTRUTURA!$F$3,ESTRUTURA!$F$4,"m")*Tabela!$H$33,Tabela!$H$33)))</f>
        <v/>
      </c>
      <c r="AJ139" s="30" t="str">
        <f t="shared" si="26"/>
        <v/>
      </c>
    </row>
    <row r="140" spans="1:36" x14ac:dyDescent="0.2">
      <c r="A140" s="66" t="str">
        <f>ESTRUTURA!A140</f>
        <v/>
      </c>
      <c r="B140" s="58">
        <f t="shared" si="20"/>
        <v>0</v>
      </c>
      <c r="C140" s="60" t="str">
        <f t="shared" ref="C140:R155" si="31">IF($A140="","",IF(C$6="NÃO",0,0))</f>
        <v/>
      </c>
      <c r="D140" s="30" t="str">
        <f t="shared" si="31"/>
        <v/>
      </c>
      <c r="E140" s="60" t="str">
        <f t="shared" si="31"/>
        <v/>
      </c>
      <c r="F140" s="30" t="str">
        <f>IF($A140="","",IF(F$6="NÃO",0,Tabela!$H$34*ESTRUTURA!$I$4))</f>
        <v/>
      </c>
      <c r="G140" s="60" t="str">
        <f t="shared" si="31"/>
        <v/>
      </c>
      <c r="H140" s="30" t="str">
        <f>IF($A140="","",IF(H$6="NÃO",0,IF($A140=0,DATEDIF(ESTRUTURA!$F$3,ESTRUTURA!$F$4,"m")*Tabela!$H$6,Tabela!$H$6)))</f>
        <v/>
      </c>
      <c r="I140" s="60" t="str">
        <f t="shared" si="31"/>
        <v/>
      </c>
      <c r="J140" s="30" t="str">
        <f>IF($A140="","",IF(J$6="NÃO",0,IF($A140=0,DATEDIF(ESTRUTURA!$F$3,ESTRUTURA!$F$4,"m")*Tabela!$H$8,IF(J$6="NÃO",0,Tabela!$H$8))))</f>
        <v/>
      </c>
      <c r="K140" s="60" t="str">
        <f t="shared" si="31"/>
        <v/>
      </c>
      <c r="L140" s="30" t="str">
        <f t="shared" si="31"/>
        <v/>
      </c>
      <c r="M140" s="60" t="str">
        <f t="shared" si="31"/>
        <v/>
      </c>
      <c r="N140" s="30" t="str">
        <f t="shared" si="31"/>
        <v/>
      </c>
      <c r="O140" s="60" t="str">
        <f t="shared" si="31"/>
        <v/>
      </c>
      <c r="P140" s="30" t="str">
        <f t="shared" si="31"/>
        <v/>
      </c>
      <c r="Q140" s="60" t="str">
        <f t="shared" si="31"/>
        <v/>
      </c>
      <c r="R140" s="30" t="str">
        <f t="shared" si="31"/>
        <v/>
      </c>
      <c r="S140" s="60" t="str">
        <f>IF($A140="","",IF(S$6="NÃO",0,IF($A140=0,DATEDIF(ESTRUTURA!$F$3,ESTRUTURA!$F$4,"m")*Tabela!$H$17,Tabela!$H$17)))</f>
        <v/>
      </c>
      <c r="T140" s="30" t="str">
        <f>IF($A140="","",IF(T$6="NÃO",0,IF($A140=0,DATEDIF(ESTRUTURA!$F$3,ESTRUTURA!$F$4,"m")*Tabela!$H$18,Tabela!$H$18)))</f>
        <v/>
      </c>
      <c r="U140" s="60" t="str">
        <f t="shared" si="30"/>
        <v/>
      </c>
      <c r="V140" s="30" t="str">
        <f>IF($A140="","",IF(V$6="NÃO",0,IF($A140=0,DATEDIF(ESTRUTURA!$F$3,ESTRUTURA!$F$4,"m")*Tabela!$H$20,Tabela!$H$20)))</f>
        <v/>
      </c>
      <c r="W140" s="60" t="str">
        <f t="shared" si="30"/>
        <v/>
      </c>
      <c r="X140" s="30" t="str">
        <f t="shared" si="30"/>
        <v/>
      </c>
      <c r="Y140" s="60" t="str">
        <f>IF($A140="","",IF(Y$6="NÃO",0,IF(A140=0,Tabela!$H$23,IF(Y$7="mensal",Tabela!$H$23,IF(AND(MONTH(ESTRUTURA!C140)=MONTH(ESTRUTURA!$F$3),A140&gt;0),Tabela!$H$23,0)))))</f>
        <v/>
      </c>
      <c r="Z140" s="30" t="str">
        <f t="shared" si="30"/>
        <v/>
      </c>
      <c r="AA140" s="60" t="str">
        <f>IF($A140="","",IF(AA$6="NÃO",0,Tabela!$H$25*nm_séries))</f>
        <v/>
      </c>
      <c r="AB140" s="30" t="str">
        <f t="shared" si="30"/>
        <v/>
      </c>
      <c r="AC140" s="60" t="str">
        <f>IF($A140="","",IF(AC$6="NÃO",0,IF(A140=0,Tabela!$H$27,IF(MOD(A140,3)=0,Tabela!$H$27,0))))</f>
        <v/>
      </c>
      <c r="AD140" s="30" t="str">
        <f t="shared" si="30"/>
        <v/>
      </c>
      <c r="AE140" s="60" t="str">
        <f t="shared" si="30"/>
        <v/>
      </c>
      <c r="AF140" s="30" t="str">
        <f>IF($A140="","",IF(AF$6="NÃO",0,IF(AND(MONTH(ESTRUTURA!C140)=MONTH(ESTRUTURA!$F$3),A140&gt;0),Tabela!$H$30,0)))</f>
        <v/>
      </c>
      <c r="AG140" s="60" t="str">
        <f t="shared" si="30"/>
        <v/>
      </c>
      <c r="AH140" s="30" t="str">
        <f t="shared" si="30"/>
        <v/>
      </c>
      <c r="AI140" s="60" t="str">
        <f>IF($A140="","",IF(AI$6="NÃO",0,IF($A140=0,DATEDIF(ESTRUTURA!$F$3,ESTRUTURA!$F$4,"m")*Tabela!$H$33,Tabela!$H$33)))</f>
        <v/>
      </c>
      <c r="AJ140" s="30" t="str">
        <f t="shared" si="26"/>
        <v/>
      </c>
    </row>
    <row r="141" spans="1:36" x14ac:dyDescent="0.2">
      <c r="A141" s="66" t="str">
        <f>ESTRUTURA!A141</f>
        <v/>
      </c>
      <c r="B141" s="58">
        <f t="shared" ref="B141:B204" si="32">IF($C$2="SIM",0,-SUM(C141:AJ141))</f>
        <v>0</v>
      </c>
      <c r="C141" s="60" t="str">
        <f t="shared" si="31"/>
        <v/>
      </c>
      <c r="D141" s="30" t="str">
        <f t="shared" si="31"/>
        <v/>
      </c>
      <c r="E141" s="60" t="str">
        <f t="shared" si="31"/>
        <v/>
      </c>
      <c r="F141" s="30" t="str">
        <f>IF($A141="","",IF(F$6="NÃO",0,Tabela!$H$34*ESTRUTURA!$I$4))</f>
        <v/>
      </c>
      <c r="G141" s="60" t="str">
        <f t="shared" si="31"/>
        <v/>
      </c>
      <c r="H141" s="30" t="str">
        <f>IF($A141="","",IF(H$6="NÃO",0,IF($A141=0,DATEDIF(ESTRUTURA!$F$3,ESTRUTURA!$F$4,"m")*Tabela!$H$6,Tabela!$H$6)))</f>
        <v/>
      </c>
      <c r="I141" s="60" t="str">
        <f t="shared" si="31"/>
        <v/>
      </c>
      <c r="J141" s="30" t="str">
        <f>IF($A141="","",IF(J$6="NÃO",0,IF($A141=0,DATEDIF(ESTRUTURA!$F$3,ESTRUTURA!$F$4,"m")*Tabela!$H$8,IF(J$6="NÃO",0,Tabela!$H$8))))</f>
        <v/>
      </c>
      <c r="K141" s="60" t="str">
        <f t="shared" si="31"/>
        <v/>
      </c>
      <c r="L141" s="30" t="str">
        <f t="shared" si="31"/>
        <v/>
      </c>
      <c r="M141" s="60" t="str">
        <f t="shared" si="31"/>
        <v/>
      </c>
      <c r="N141" s="30" t="str">
        <f t="shared" si="31"/>
        <v/>
      </c>
      <c r="O141" s="60" t="str">
        <f t="shared" si="31"/>
        <v/>
      </c>
      <c r="P141" s="30" t="str">
        <f t="shared" si="31"/>
        <v/>
      </c>
      <c r="Q141" s="60" t="str">
        <f t="shared" si="31"/>
        <v/>
      </c>
      <c r="R141" s="30" t="str">
        <f t="shared" si="31"/>
        <v/>
      </c>
      <c r="S141" s="60" t="str">
        <f>IF($A141="","",IF(S$6="NÃO",0,IF($A141=0,DATEDIF(ESTRUTURA!$F$3,ESTRUTURA!$F$4,"m")*Tabela!$H$17,Tabela!$H$17)))</f>
        <v/>
      </c>
      <c r="T141" s="30" t="str">
        <f>IF($A141="","",IF(T$6="NÃO",0,IF($A141=0,DATEDIF(ESTRUTURA!$F$3,ESTRUTURA!$F$4,"m")*Tabela!$H$18,Tabela!$H$18)))</f>
        <v/>
      </c>
      <c r="U141" s="60" t="str">
        <f t="shared" si="30"/>
        <v/>
      </c>
      <c r="V141" s="30" t="str">
        <f>IF($A141="","",IF(V$6="NÃO",0,IF($A141=0,DATEDIF(ESTRUTURA!$F$3,ESTRUTURA!$F$4,"m")*Tabela!$H$20,Tabela!$H$20)))</f>
        <v/>
      </c>
      <c r="W141" s="60" t="str">
        <f t="shared" si="30"/>
        <v/>
      </c>
      <c r="X141" s="30" t="str">
        <f t="shared" si="30"/>
        <v/>
      </c>
      <c r="Y141" s="60" t="str">
        <f>IF($A141="","",IF(Y$6="NÃO",0,IF(A141=0,Tabela!$H$23,IF(Y$7="mensal",Tabela!$H$23,IF(AND(MONTH(ESTRUTURA!C141)=MONTH(ESTRUTURA!$F$3),A141&gt;0),Tabela!$H$23,0)))))</f>
        <v/>
      </c>
      <c r="Z141" s="30" t="str">
        <f t="shared" si="30"/>
        <v/>
      </c>
      <c r="AA141" s="60" t="str">
        <f>IF($A141="","",IF(AA$6="NÃO",0,Tabela!$H$25*nm_séries))</f>
        <v/>
      </c>
      <c r="AB141" s="30" t="str">
        <f t="shared" si="30"/>
        <v/>
      </c>
      <c r="AC141" s="60" t="str">
        <f>IF($A141="","",IF(AC$6="NÃO",0,IF(A141=0,Tabela!$H$27,IF(MOD(A141,3)=0,Tabela!$H$27,0))))</f>
        <v/>
      </c>
      <c r="AD141" s="30" t="str">
        <f t="shared" si="30"/>
        <v/>
      </c>
      <c r="AE141" s="60" t="str">
        <f t="shared" si="30"/>
        <v/>
      </c>
      <c r="AF141" s="30" t="str">
        <f>IF($A141="","",IF(AF$6="NÃO",0,IF(AND(MONTH(ESTRUTURA!C141)=MONTH(ESTRUTURA!$F$3),A141&gt;0),Tabela!$H$30,0)))</f>
        <v/>
      </c>
      <c r="AG141" s="60" t="str">
        <f t="shared" si="30"/>
        <v/>
      </c>
      <c r="AH141" s="30" t="str">
        <f t="shared" si="30"/>
        <v/>
      </c>
      <c r="AI141" s="60" t="str">
        <f>IF($A141="","",IF(AI$6="NÃO",0,IF($A141=0,DATEDIF(ESTRUTURA!$F$3,ESTRUTURA!$F$4,"m")*Tabela!$H$33,Tabela!$H$33)))</f>
        <v/>
      </c>
      <c r="AJ141" s="30" t="str">
        <f t="shared" si="26"/>
        <v/>
      </c>
    </row>
    <row r="142" spans="1:36" x14ac:dyDescent="0.2">
      <c r="A142" s="66" t="str">
        <f>ESTRUTURA!A142</f>
        <v/>
      </c>
      <c r="B142" s="58">
        <f t="shared" si="32"/>
        <v>0</v>
      </c>
      <c r="C142" s="60" t="str">
        <f t="shared" si="31"/>
        <v/>
      </c>
      <c r="D142" s="30" t="str">
        <f t="shared" si="31"/>
        <v/>
      </c>
      <c r="E142" s="60" t="str">
        <f t="shared" si="31"/>
        <v/>
      </c>
      <c r="F142" s="30" t="str">
        <f>IF($A142="","",IF(F$6="NÃO",0,Tabela!$H$34*ESTRUTURA!$I$4))</f>
        <v/>
      </c>
      <c r="G142" s="60" t="str">
        <f t="shared" si="31"/>
        <v/>
      </c>
      <c r="H142" s="30" t="str">
        <f>IF($A142="","",IF(H$6="NÃO",0,IF($A142=0,DATEDIF(ESTRUTURA!$F$3,ESTRUTURA!$F$4,"m")*Tabela!$H$6,Tabela!$H$6)))</f>
        <v/>
      </c>
      <c r="I142" s="60" t="str">
        <f t="shared" si="31"/>
        <v/>
      </c>
      <c r="J142" s="30" t="str">
        <f>IF($A142="","",IF(J$6="NÃO",0,IF($A142=0,DATEDIF(ESTRUTURA!$F$3,ESTRUTURA!$F$4,"m")*Tabela!$H$8,IF(J$6="NÃO",0,Tabela!$H$8))))</f>
        <v/>
      </c>
      <c r="K142" s="60" t="str">
        <f t="shared" si="31"/>
        <v/>
      </c>
      <c r="L142" s="30" t="str">
        <f t="shared" si="31"/>
        <v/>
      </c>
      <c r="M142" s="60" t="str">
        <f t="shared" si="31"/>
        <v/>
      </c>
      <c r="N142" s="30" t="str">
        <f t="shared" si="31"/>
        <v/>
      </c>
      <c r="O142" s="60" t="str">
        <f t="shared" si="31"/>
        <v/>
      </c>
      <c r="P142" s="30" t="str">
        <f t="shared" si="31"/>
        <v/>
      </c>
      <c r="Q142" s="60" t="str">
        <f t="shared" si="31"/>
        <v/>
      </c>
      <c r="R142" s="30" t="str">
        <f t="shared" si="31"/>
        <v/>
      </c>
      <c r="S142" s="60" t="str">
        <f>IF($A142="","",IF(S$6="NÃO",0,IF($A142=0,DATEDIF(ESTRUTURA!$F$3,ESTRUTURA!$F$4,"m")*Tabela!$H$17,Tabela!$H$17)))</f>
        <v/>
      </c>
      <c r="T142" s="30" t="str">
        <f>IF($A142="","",IF(T$6="NÃO",0,IF($A142=0,DATEDIF(ESTRUTURA!$F$3,ESTRUTURA!$F$4,"m")*Tabela!$H$18,Tabela!$H$18)))</f>
        <v/>
      </c>
      <c r="U142" s="60" t="str">
        <f t="shared" si="30"/>
        <v/>
      </c>
      <c r="V142" s="30" t="str">
        <f>IF($A142="","",IF(V$6="NÃO",0,IF($A142=0,DATEDIF(ESTRUTURA!$F$3,ESTRUTURA!$F$4,"m")*Tabela!$H$20,Tabela!$H$20)))</f>
        <v/>
      </c>
      <c r="W142" s="60" t="str">
        <f t="shared" si="30"/>
        <v/>
      </c>
      <c r="X142" s="30" t="str">
        <f t="shared" si="30"/>
        <v/>
      </c>
      <c r="Y142" s="60" t="str">
        <f>IF($A142="","",IF(Y$6="NÃO",0,IF(A142=0,Tabela!$H$23,IF(Y$7="mensal",Tabela!$H$23,IF(AND(MONTH(ESTRUTURA!C142)=MONTH(ESTRUTURA!$F$3),A142&gt;0),Tabela!$H$23,0)))))</f>
        <v/>
      </c>
      <c r="Z142" s="30" t="str">
        <f t="shared" si="30"/>
        <v/>
      </c>
      <c r="AA142" s="60" t="str">
        <f>IF($A142="","",IF(AA$6="NÃO",0,Tabela!$H$25*nm_séries))</f>
        <v/>
      </c>
      <c r="AB142" s="30" t="str">
        <f t="shared" si="30"/>
        <v/>
      </c>
      <c r="AC142" s="60" t="str">
        <f>IF($A142="","",IF(AC$6="NÃO",0,IF(A142=0,Tabela!$H$27,IF(MOD(A142,3)=0,Tabela!$H$27,0))))</f>
        <v/>
      </c>
      <c r="AD142" s="30" t="str">
        <f t="shared" si="30"/>
        <v/>
      </c>
      <c r="AE142" s="60" t="str">
        <f t="shared" si="30"/>
        <v/>
      </c>
      <c r="AF142" s="30" t="str">
        <f>IF($A142="","",IF(AF$6="NÃO",0,IF(AND(MONTH(ESTRUTURA!C142)=MONTH(ESTRUTURA!$F$3),A142&gt;0),Tabela!$H$30,0)))</f>
        <v/>
      </c>
      <c r="AG142" s="60" t="str">
        <f t="shared" si="30"/>
        <v/>
      </c>
      <c r="AH142" s="30" t="str">
        <f t="shared" si="30"/>
        <v/>
      </c>
      <c r="AI142" s="60" t="str">
        <f>IF($A142="","",IF(AI$6="NÃO",0,IF($A142=0,DATEDIF(ESTRUTURA!$F$3,ESTRUTURA!$F$4,"m")*Tabela!$H$33,Tabela!$H$33)))</f>
        <v/>
      </c>
      <c r="AJ142" s="30" t="str">
        <f t="shared" si="26"/>
        <v/>
      </c>
    </row>
    <row r="143" spans="1:36" x14ac:dyDescent="0.2">
      <c r="A143" s="66" t="str">
        <f>ESTRUTURA!A143</f>
        <v/>
      </c>
      <c r="B143" s="58">
        <f t="shared" si="32"/>
        <v>0</v>
      </c>
      <c r="C143" s="60" t="str">
        <f t="shared" si="31"/>
        <v/>
      </c>
      <c r="D143" s="30" t="str">
        <f t="shared" si="31"/>
        <v/>
      </c>
      <c r="E143" s="60" t="str">
        <f t="shared" si="31"/>
        <v/>
      </c>
      <c r="F143" s="30" t="str">
        <f>IF($A143="","",IF(F$6="NÃO",0,Tabela!$H$34*ESTRUTURA!$I$4))</f>
        <v/>
      </c>
      <c r="G143" s="60" t="str">
        <f t="shared" si="31"/>
        <v/>
      </c>
      <c r="H143" s="30" t="str">
        <f>IF($A143="","",IF(H$6="NÃO",0,IF($A143=0,DATEDIF(ESTRUTURA!$F$3,ESTRUTURA!$F$4,"m")*Tabela!$H$6,Tabela!$H$6)))</f>
        <v/>
      </c>
      <c r="I143" s="60" t="str">
        <f t="shared" si="31"/>
        <v/>
      </c>
      <c r="J143" s="30" t="str">
        <f>IF($A143="","",IF(J$6="NÃO",0,IF($A143=0,DATEDIF(ESTRUTURA!$F$3,ESTRUTURA!$F$4,"m")*Tabela!$H$8,IF(J$6="NÃO",0,Tabela!$H$8))))</f>
        <v/>
      </c>
      <c r="K143" s="60" t="str">
        <f t="shared" si="31"/>
        <v/>
      </c>
      <c r="L143" s="30" t="str">
        <f t="shared" si="31"/>
        <v/>
      </c>
      <c r="M143" s="60" t="str">
        <f t="shared" si="31"/>
        <v/>
      </c>
      <c r="N143" s="30" t="str">
        <f t="shared" si="31"/>
        <v/>
      </c>
      <c r="O143" s="60" t="str">
        <f t="shared" si="31"/>
        <v/>
      </c>
      <c r="P143" s="30" t="str">
        <f t="shared" si="31"/>
        <v/>
      </c>
      <c r="Q143" s="60" t="str">
        <f t="shared" si="31"/>
        <v/>
      </c>
      <c r="R143" s="30" t="str">
        <f t="shared" si="31"/>
        <v/>
      </c>
      <c r="S143" s="60" t="str">
        <f>IF($A143="","",IF(S$6="NÃO",0,IF($A143=0,DATEDIF(ESTRUTURA!$F$3,ESTRUTURA!$F$4,"m")*Tabela!$H$17,Tabela!$H$17)))</f>
        <v/>
      </c>
      <c r="T143" s="30" t="str">
        <f>IF($A143="","",IF(T$6="NÃO",0,IF($A143=0,DATEDIF(ESTRUTURA!$F$3,ESTRUTURA!$F$4,"m")*Tabela!$H$18,Tabela!$H$18)))</f>
        <v/>
      </c>
      <c r="U143" s="60" t="str">
        <f t="shared" si="30"/>
        <v/>
      </c>
      <c r="V143" s="30" t="str">
        <f>IF($A143="","",IF(V$6="NÃO",0,IF($A143=0,DATEDIF(ESTRUTURA!$F$3,ESTRUTURA!$F$4,"m")*Tabela!$H$20,Tabela!$H$20)))</f>
        <v/>
      </c>
      <c r="W143" s="60" t="str">
        <f t="shared" si="30"/>
        <v/>
      </c>
      <c r="X143" s="30" t="str">
        <f t="shared" si="30"/>
        <v/>
      </c>
      <c r="Y143" s="60" t="str">
        <f>IF($A143="","",IF(Y$6="NÃO",0,IF(A143=0,Tabela!$H$23,IF(Y$7="mensal",Tabela!$H$23,IF(AND(MONTH(ESTRUTURA!C143)=MONTH(ESTRUTURA!$F$3),A143&gt;0),Tabela!$H$23,0)))))</f>
        <v/>
      </c>
      <c r="Z143" s="30" t="str">
        <f t="shared" si="30"/>
        <v/>
      </c>
      <c r="AA143" s="60" t="str">
        <f>IF($A143="","",IF(AA$6="NÃO",0,Tabela!$H$25*nm_séries))</f>
        <v/>
      </c>
      <c r="AB143" s="30" t="str">
        <f t="shared" si="30"/>
        <v/>
      </c>
      <c r="AC143" s="60" t="str">
        <f>IF($A143="","",IF(AC$6="NÃO",0,IF(A143=0,Tabela!$H$27,IF(MOD(A143,3)=0,Tabela!$H$27,0))))</f>
        <v/>
      </c>
      <c r="AD143" s="30" t="str">
        <f t="shared" si="30"/>
        <v/>
      </c>
      <c r="AE143" s="60" t="str">
        <f t="shared" si="30"/>
        <v/>
      </c>
      <c r="AF143" s="30" t="str">
        <f>IF($A143="","",IF(AF$6="NÃO",0,IF(AND(MONTH(ESTRUTURA!C143)=MONTH(ESTRUTURA!$F$3),A143&gt;0),Tabela!$H$30,0)))</f>
        <v/>
      </c>
      <c r="AG143" s="60" t="str">
        <f t="shared" si="30"/>
        <v/>
      </c>
      <c r="AH143" s="30" t="str">
        <f t="shared" si="30"/>
        <v/>
      </c>
      <c r="AI143" s="60" t="str">
        <f>IF($A143="","",IF(AI$6="NÃO",0,IF($A143=0,DATEDIF(ESTRUTURA!$F$3,ESTRUTURA!$F$4,"m")*Tabela!$H$33,Tabela!$H$33)))</f>
        <v/>
      </c>
      <c r="AJ143" s="30" t="str">
        <f t="shared" si="26"/>
        <v/>
      </c>
    </row>
    <row r="144" spans="1:36" x14ac:dyDescent="0.2">
      <c r="A144" s="66" t="str">
        <f>ESTRUTURA!A144</f>
        <v/>
      </c>
      <c r="B144" s="58">
        <f t="shared" si="32"/>
        <v>0</v>
      </c>
      <c r="C144" s="60" t="str">
        <f t="shared" si="31"/>
        <v/>
      </c>
      <c r="D144" s="30" t="str">
        <f t="shared" si="31"/>
        <v/>
      </c>
      <c r="E144" s="60" t="str">
        <f t="shared" si="31"/>
        <v/>
      </c>
      <c r="F144" s="30" t="str">
        <f>IF($A144="","",IF(F$6="NÃO",0,Tabela!$H$34*ESTRUTURA!$I$4))</f>
        <v/>
      </c>
      <c r="G144" s="60" t="str">
        <f t="shared" si="31"/>
        <v/>
      </c>
      <c r="H144" s="30" t="str">
        <f>IF($A144="","",IF(H$6="NÃO",0,IF($A144=0,DATEDIF(ESTRUTURA!$F$3,ESTRUTURA!$F$4,"m")*Tabela!$H$6,Tabela!$H$6)))</f>
        <v/>
      </c>
      <c r="I144" s="60" t="str">
        <f t="shared" si="31"/>
        <v/>
      </c>
      <c r="J144" s="30" t="str">
        <f>IF($A144="","",IF(J$6="NÃO",0,IF($A144=0,DATEDIF(ESTRUTURA!$F$3,ESTRUTURA!$F$4,"m")*Tabela!$H$8,IF(J$6="NÃO",0,Tabela!$H$8))))</f>
        <v/>
      </c>
      <c r="K144" s="60" t="str">
        <f t="shared" si="31"/>
        <v/>
      </c>
      <c r="L144" s="30" t="str">
        <f t="shared" si="31"/>
        <v/>
      </c>
      <c r="M144" s="60" t="str">
        <f t="shared" si="31"/>
        <v/>
      </c>
      <c r="N144" s="30" t="str">
        <f t="shared" si="31"/>
        <v/>
      </c>
      <c r="O144" s="60" t="str">
        <f t="shared" si="31"/>
        <v/>
      </c>
      <c r="P144" s="30" t="str">
        <f t="shared" si="31"/>
        <v/>
      </c>
      <c r="Q144" s="60" t="str">
        <f t="shared" si="31"/>
        <v/>
      </c>
      <c r="R144" s="30" t="str">
        <f t="shared" si="31"/>
        <v/>
      </c>
      <c r="S144" s="60" t="str">
        <f>IF($A144="","",IF(S$6="NÃO",0,IF($A144=0,DATEDIF(ESTRUTURA!$F$3,ESTRUTURA!$F$4,"m")*Tabela!$H$17,Tabela!$H$17)))</f>
        <v/>
      </c>
      <c r="T144" s="30" t="str">
        <f>IF($A144="","",IF(T$6="NÃO",0,IF($A144=0,DATEDIF(ESTRUTURA!$F$3,ESTRUTURA!$F$4,"m")*Tabela!$H$18,Tabela!$H$18)))</f>
        <v/>
      </c>
      <c r="U144" s="60" t="str">
        <f t="shared" si="30"/>
        <v/>
      </c>
      <c r="V144" s="30" t="str">
        <f>IF($A144="","",IF(V$6="NÃO",0,IF($A144=0,DATEDIF(ESTRUTURA!$F$3,ESTRUTURA!$F$4,"m")*Tabela!$H$20,Tabela!$H$20)))</f>
        <v/>
      </c>
      <c r="W144" s="60" t="str">
        <f t="shared" si="30"/>
        <v/>
      </c>
      <c r="X144" s="30" t="str">
        <f t="shared" si="30"/>
        <v/>
      </c>
      <c r="Y144" s="60" t="str">
        <f>IF($A144="","",IF(Y$6="NÃO",0,IF(A144=0,Tabela!$H$23,IF(Y$7="mensal",Tabela!$H$23,IF(AND(MONTH(ESTRUTURA!C144)=MONTH(ESTRUTURA!$F$3),A144&gt;0),Tabela!$H$23,0)))))</f>
        <v/>
      </c>
      <c r="Z144" s="30" t="str">
        <f t="shared" si="30"/>
        <v/>
      </c>
      <c r="AA144" s="60" t="str">
        <f>IF($A144="","",IF(AA$6="NÃO",0,Tabela!$H$25*nm_séries))</f>
        <v/>
      </c>
      <c r="AB144" s="30" t="str">
        <f t="shared" si="30"/>
        <v/>
      </c>
      <c r="AC144" s="60" t="str">
        <f>IF($A144="","",IF(AC$6="NÃO",0,IF(A144=0,Tabela!$H$27,IF(MOD(A144,3)=0,Tabela!$H$27,0))))</f>
        <v/>
      </c>
      <c r="AD144" s="30" t="str">
        <f t="shared" si="30"/>
        <v/>
      </c>
      <c r="AE144" s="60" t="str">
        <f t="shared" si="30"/>
        <v/>
      </c>
      <c r="AF144" s="30" t="str">
        <f>IF($A144="","",IF(AF$6="NÃO",0,IF(AND(MONTH(ESTRUTURA!C144)=MONTH(ESTRUTURA!$F$3),A144&gt;0),Tabela!$H$30,0)))</f>
        <v/>
      </c>
      <c r="AG144" s="60" t="str">
        <f t="shared" si="30"/>
        <v/>
      </c>
      <c r="AH144" s="30" t="str">
        <f t="shared" si="30"/>
        <v/>
      </c>
      <c r="AI144" s="60" t="str">
        <f>IF($A144="","",IF(AI$6="NÃO",0,IF($A144=0,DATEDIF(ESTRUTURA!$F$3,ESTRUTURA!$F$4,"m")*Tabela!$H$33,Tabela!$H$33)))</f>
        <v/>
      </c>
      <c r="AJ144" s="30" t="str">
        <f t="shared" si="26"/>
        <v/>
      </c>
    </row>
    <row r="145" spans="1:36" x14ac:dyDescent="0.2">
      <c r="A145" s="66" t="str">
        <f>ESTRUTURA!A145</f>
        <v/>
      </c>
      <c r="B145" s="58">
        <f t="shared" si="32"/>
        <v>0</v>
      </c>
      <c r="C145" s="60" t="str">
        <f t="shared" si="31"/>
        <v/>
      </c>
      <c r="D145" s="30" t="str">
        <f t="shared" si="31"/>
        <v/>
      </c>
      <c r="E145" s="60" t="str">
        <f t="shared" si="31"/>
        <v/>
      </c>
      <c r="F145" s="30" t="str">
        <f>IF($A145="","",IF(F$6="NÃO",0,Tabela!$H$34*ESTRUTURA!$I$4))</f>
        <v/>
      </c>
      <c r="G145" s="60" t="str">
        <f t="shared" si="31"/>
        <v/>
      </c>
      <c r="H145" s="30" t="str">
        <f>IF($A145="","",IF(H$6="NÃO",0,IF($A145=0,DATEDIF(ESTRUTURA!$F$3,ESTRUTURA!$F$4,"m")*Tabela!$H$6,Tabela!$H$6)))</f>
        <v/>
      </c>
      <c r="I145" s="60" t="str">
        <f t="shared" si="31"/>
        <v/>
      </c>
      <c r="J145" s="30" t="str">
        <f>IF($A145="","",IF(J$6="NÃO",0,IF($A145=0,DATEDIF(ESTRUTURA!$F$3,ESTRUTURA!$F$4,"m")*Tabela!$H$8,IF(J$6="NÃO",0,Tabela!$H$8))))</f>
        <v/>
      </c>
      <c r="K145" s="60" t="str">
        <f t="shared" si="31"/>
        <v/>
      </c>
      <c r="L145" s="30" t="str">
        <f t="shared" si="31"/>
        <v/>
      </c>
      <c r="M145" s="60" t="str">
        <f t="shared" si="31"/>
        <v/>
      </c>
      <c r="N145" s="30" t="str">
        <f t="shared" si="31"/>
        <v/>
      </c>
      <c r="O145" s="60" t="str">
        <f t="shared" si="31"/>
        <v/>
      </c>
      <c r="P145" s="30" t="str">
        <f t="shared" si="31"/>
        <v/>
      </c>
      <c r="Q145" s="60" t="str">
        <f t="shared" si="31"/>
        <v/>
      </c>
      <c r="R145" s="30" t="str">
        <f t="shared" si="31"/>
        <v/>
      </c>
      <c r="S145" s="60" t="str">
        <f>IF($A145="","",IF(S$6="NÃO",0,IF($A145=0,DATEDIF(ESTRUTURA!$F$3,ESTRUTURA!$F$4,"m")*Tabela!$H$17,Tabela!$H$17)))</f>
        <v/>
      </c>
      <c r="T145" s="30" t="str">
        <f>IF($A145="","",IF(T$6="NÃO",0,IF($A145=0,DATEDIF(ESTRUTURA!$F$3,ESTRUTURA!$F$4,"m")*Tabela!$H$18,Tabela!$H$18)))</f>
        <v/>
      </c>
      <c r="U145" s="60" t="str">
        <f t="shared" si="30"/>
        <v/>
      </c>
      <c r="V145" s="30" t="str">
        <f>IF($A145="","",IF(V$6="NÃO",0,IF($A145=0,DATEDIF(ESTRUTURA!$F$3,ESTRUTURA!$F$4,"m")*Tabela!$H$20,Tabela!$H$20)))</f>
        <v/>
      </c>
      <c r="W145" s="60" t="str">
        <f t="shared" si="30"/>
        <v/>
      </c>
      <c r="X145" s="30" t="str">
        <f t="shared" si="30"/>
        <v/>
      </c>
      <c r="Y145" s="60" t="str">
        <f>IF($A145="","",IF(Y$6="NÃO",0,IF(A145=0,Tabela!$H$23,IF(Y$7="mensal",Tabela!$H$23,IF(AND(MONTH(ESTRUTURA!C145)=MONTH(ESTRUTURA!$F$3),A145&gt;0),Tabela!$H$23,0)))))</f>
        <v/>
      </c>
      <c r="Z145" s="30" t="str">
        <f t="shared" si="30"/>
        <v/>
      </c>
      <c r="AA145" s="60" t="str">
        <f>IF($A145="","",IF(AA$6="NÃO",0,Tabela!$H$25*nm_séries))</f>
        <v/>
      </c>
      <c r="AB145" s="30" t="str">
        <f t="shared" si="30"/>
        <v/>
      </c>
      <c r="AC145" s="60" t="str">
        <f>IF($A145="","",IF(AC$6="NÃO",0,IF(A145=0,Tabela!$H$27,IF(MOD(A145,3)=0,Tabela!$H$27,0))))</f>
        <v/>
      </c>
      <c r="AD145" s="30" t="str">
        <f t="shared" si="30"/>
        <v/>
      </c>
      <c r="AE145" s="60" t="str">
        <f t="shared" si="30"/>
        <v/>
      </c>
      <c r="AF145" s="30" t="str">
        <f>IF($A145="","",IF(AF$6="NÃO",0,IF(AND(MONTH(ESTRUTURA!C145)=MONTH(ESTRUTURA!$F$3),A145&gt;0),Tabela!$H$30,0)))</f>
        <v/>
      </c>
      <c r="AG145" s="60" t="str">
        <f t="shared" si="30"/>
        <v/>
      </c>
      <c r="AH145" s="30" t="str">
        <f t="shared" si="30"/>
        <v/>
      </c>
      <c r="AI145" s="60" t="str">
        <f>IF($A145="","",IF(AI$6="NÃO",0,IF($A145=0,DATEDIF(ESTRUTURA!$F$3,ESTRUTURA!$F$4,"m")*Tabela!$H$33,Tabela!$H$33)))</f>
        <v/>
      </c>
      <c r="AJ145" s="30" t="str">
        <f t="shared" si="26"/>
        <v/>
      </c>
    </row>
    <row r="146" spans="1:36" x14ac:dyDescent="0.2">
      <c r="A146" s="66" t="str">
        <f>ESTRUTURA!A146</f>
        <v/>
      </c>
      <c r="B146" s="58">
        <f t="shared" si="32"/>
        <v>0</v>
      </c>
      <c r="C146" s="60" t="str">
        <f t="shared" si="31"/>
        <v/>
      </c>
      <c r="D146" s="30" t="str">
        <f t="shared" si="31"/>
        <v/>
      </c>
      <c r="E146" s="60" t="str">
        <f t="shared" si="31"/>
        <v/>
      </c>
      <c r="F146" s="30" t="str">
        <f>IF($A146="","",IF(F$6="NÃO",0,Tabela!$H$34*ESTRUTURA!$I$4))</f>
        <v/>
      </c>
      <c r="G146" s="60" t="str">
        <f t="shared" si="31"/>
        <v/>
      </c>
      <c r="H146" s="30" t="str">
        <f>IF($A146="","",IF(H$6="NÃO",0,IF($A146=0,DATEDIF(ESTRUTURA!$F$3,ESTRUTURA!$F$4,"m")*Tabela!$H$6,Tabela!$H$6)))</f>
        <v/>
      </c>
      <c r="I146" s="60" t="str">
        <f t="shared" si="31"/>
        <v/>
      </c>
      <c r="J146" s="30" t="str">
        <f>IF($A146="","",IF(J$6="NÃO",0,IF($A146=0,DATEDIF(ESTRUTURA!$F$3,ESTRUTURA!$F$4,"m")*Tabela!$H$8,IF(J$6="NÃO",0,Tabela!$H$8))))</f>
        <v/>
      </c>
      <c r="K146" s="60" t="str">
        <f t="shared" si="31"/>
        <v/>
      </c>
      <c r="L146" s="30" t="str">
        <f t="shared" si="31"/>
        <v/>
      </c>
      <c r="M146" s="60" t="str">
        <f t="shared" si="31"/>
        <v/>
      </c>
      <c r="N146" s="30" t="str">
        <f t="shared" si="31"/>
        <v/>
      </c>
      <c r="O146" s="60" t="str">
        <f t="shared" si="31"/>
        <v/>
      </c>
      <c r="P146" s="30" t="str">
        <f t="shared" si="31"/>
        <v/>
      </c>
      <c r="Q146" s="60" t="str">
        <f t="shared" si="31"/>
        <v/>
      </c>
      <c r="R146" s="30" t="str">
        <f t="shared" si="31"/>
        <v/>
      </c>
      <c r="S146" s="60" t="str">
        <f>IF($A146="","",IF(S$6="NÃO",0,IF($A146=0,DATEDIF(ESTRUTURA!$F$3,ESTRUTURA!$F$4,"m")*Tabela!$H$17,Tabela!$H$17)))</f>
        <v/>
      </c>
      <c r="T146" s="30" t="str">
        <f>IF($A146="","",IF(T$6="NÃO",0,IF($A146=0,DATEDIF(ESTRUTURA!$F$3,ESTRUTURA!$F$4,"m")*Tabela!$H$18,Tabela!$H$18)))</f>
        <v/>
      </c>
      <c r="U146" s="60" t="str">
        <f t="shared" si="30"/>
        <v/>
      </c>
      <c r="V146" s="30" t="str">
        <f>IF($A146="","",IF(V$6="NÃO",0,IF($A146=0,DATEDIF(ESTRUTURA!$F$3,ESTRUTURA!$F$4,"m")*Tabela!$H$20,Tabela!$H$20)))</f>
        <v/>
      </c>
      <c r="W146" s="60" t="str">
        <f t="shared" si="30"/>
        <v/>
      </c>
      <c r="X146" s="30" t="str">
        <f t="shared" si="30"/>
        <v/>
      </c>
      <c r="Y146" s="60" t="str">
        <f>IF($A146="","",IF(Y$6="NÃO",0,IF(A146=0,Tabela!$H$23,IF(Y$7="mensal",Tabela!$H$23,IF(AND(MONTH(ESTRUTURA!C146)=MONTH(ESTRUTURA!$F$3),A146&gt;0),Tabela!$H$23,0)))))</f>
        <v/>
      </c>
      <c r="Z146" s="30" t="str">
        <f t="shared" si="30"/>
        <v/>
      </c>
      <c r="AA146" s="60" t="str">
        <f>IF($A146="","",IF(AA$6="NÃO",0,Tabela!$H$25*nm_séries))</f>
        <v/>
      </c>
      <c r="AB146" s="30" t="str">
        <f t="shared" si="30"/>
        <v/>
      </c>
      <c r="AC146" s="60" t="str">
        <f>IF($A146="","",IF(AC$6="NÃO",0,IF(A146=0,Tabela!$H$27,IF(MOD(A146,3)=0,Tabela!$H$27,0))))</f>
        <v/>
      </c>
      <c r="AD146" s="30" t="str">
        <f t="shared" si="30"/>
        <v/>
      </c>
      <c r="AE146" s="60" t="str">
        <f t="shared" si="30"/>
        <v/>
      </c>
      <c r="AF146" s="30" t="str">
        <f>IF($A146="","",IF(AF$6="NÃO",0,IF(AND(MONTH(ESTRUTURA!C146)=MONTH(ESTRUTURA!$F$3),A146&gt;0),Tabela!$H$30,0)))</f>
        <v/>
      </c>
      <c r="AG146" s="60" t="str">
        <f t="shared" si="30"/>
        <v/>
      </c>
      <c r="AH146" s="30" t="str">
        <f t="shared" si="30"/>
        <v/>
      </c>
      <c r="AI146" s="60" t="str">
        <f>IF($A146="","",IF(AI$6="NÃO",0,IF($A146=0,DATEDIF(ESTRUTURA!$F$3,ESTRUTURA!$F$4,"m")*Tabela!$H$33,Tabela!$H$33)))</f>
        <v/>
      </c>
      <c r="AJ146" s="30" t="str">
        <f t="shared" si="26"/>
        <v/>
      </c>
    </row>
    <row r="147" spans="1:36" x14ac:dyDescent="0.2">
      <c r="A147" s="66" t="str">
        <f>ESTRUTURA!A147</f>
        <v/>
      </c>
      <c r="B147" s="58">
        <f t="shared" si="32"/>
        <v>0</v>
      </c>
      <c r="C147" s="60" t="str">
        <f t="shared" si="31"/>
        <v/>
      </c>
      <c r="D147" s="30" t="str">
        <f t="shared" si="31"/>
        <v/>
      </c>
      <c r="E147" s="60" t="str">
        <f t="shared" si="31"/>
        <v/>
      </c>
      <c r="F147" s="30" t="str">
        <f>IF($A147="","",IF(F$6="NÃO",0,Tabela!$H$34*ESTRUTURA!$I$4))</f>
        <v/>
      </c>
      <c r="G147" s="60" t="str">
        <f t="shared" si="31"/>
        <v/>
      </c>
      <c r="H147" s="30" t="str">
        <f>IF($A147="","",IF(H$6="NÃO",0,IF($A147=0,DATEDIF(ESTRUTURA!$F$3,ESTRUTURA!$F$4,"m")*Tabela!$H$6,Tabela!$H$6)))</f>
        <v/>
      </c>
      <c r="I147" s="60" t="str">
        <f t="shared" si="31"/>
        <v/>
      </c>
      <c r="J147" s="30" t="str">
        <f>IF($A147="","",IF(J$6="NÃO",0,IF($A147=0,DATEDIF(ESTRUTURA!$F$3,ESTRUTURA!$F$4,"m")*Tabela!$H$8,IF(J$6="NÃO",0,Tabela!$H$8))))</f>
        <v/>
      </c>
      <c r="K147" s="60" t="str">
        <f t="shared" si="31"/>
        <v/>
      </c>
      <c r="L147" s="30" t="str">
        <f t="shared" si="31"/>
        <v/>
      </c>
      <c r="M147" s="60" t="str">
        <f t="shared" si="31"/>
        <v/>
      </c>
      <c r="N147" s="30" t="str">
        <f t="shared" si="31"/>
        <v/>
      </c>
      <c r="O147" s="60" t="str">
        <f t="shared" si="31"/>
        <v/>
      </c>
      <c r="P147" s="30" t="str">
        <f t="shared" si="31"/>
        <v/>
      </c>
      <c r="Q147" s="60" t="str">
        <f t="shared" si="31"/>
        <v/>
      </c>
      <c r="R147" s="30" t="str">
        <f t="shared" si="31"/>
        <v/>
      </c>
      <c r="S147" s="60" t="str">
        <f>IF($A147="","",IF(S$6="NÃO",0,IF($A147=0,DATEDIF(ESTRUTURA!$F$3,ESTRUTURA!$F$4,"m")*Tabela!$H$17,Tabela!$H$17)))</f>
        <v/>
      </c>
      <c r="T147" s="30" t="str">
        <f>IF($A147="","",IF(T$6="NÃO",0,IF($A147=0,DATEDIF(ESTRUTURA!$F$3,ESTRUTURA!$F$4,"m")*Tabela!$H$18,Tabela!$H$18)))</f>
        <v/>
      </c>
      <c r="U147" s="60" t="str">
        <f t="shared" si="30"/>
        <v/>
      </c>
      <c r="V147" s="30" t="str">
        <f>IF($A147="","",IF(V$6="NÃO",0,IF($A147=0,DATEDIF(ESTRUTURA!$F$3,ESTRUTURA!$F$4,"m")*Tabela!$H$20,Tabela!$H$20)))</f>
        <v/>
      </c>
      <c r="W147" s="60" t="str">
        <f t="shared" si="30"/>
        <v/>
      </c>
      <c r="X147" s="30" t="str">
        <f t="shared" si="30"/>
        <v/>
      </c>
      <c r="Y147" s="60" t="str">
        <f>IF($A147="","",IF(Y$6="NÃO",0,IF(A147=0,Tabela!$H$23,IF(Y$7="mensal",Tabela!$H$23,IF(AND(MONTH(ESTRUTURA!C147)=MONTH(ESTRUTURA!$F$3),A147&gt;0),Tabela!$H$23,0)))))</f>
        <v/>
      </c>
      <c r="Z147" s="30" t="str">
        <f t="shared" si="30"/>
        <v/>
      </c>
      <c r="AA147" s="60" t="str">
        <f>IF($A147="","",IF(AA$6="NÃO",0,Tabela!$H$25*nm_séries))</f>
        <v/>
      </c>
      <c r="AB147" s="30" t="str">
        <f t="shared" si="30"/>
        <v/>
      </c>
      <c r="AC147" s="60" t="str">
        <f>IF($A147="","",IF(AC$6="NÃO",0,IF(A147=0,Tabela!$H$27,IF(MOD(A147,3)=0,Tabela!$H$27,0))))</f>
        <v/>
      </c>
      <c r="AD147" s="30" t="str">
        <f t="shared" si="30"/>
        <v/>
      </c>
      <c r="AE147" s="60" t="str">
        <f t="shared" si="30"/>
        <v/>
      </c>
      <c r="AF147" s="30" t="str">
        <f>IF($A147="","",IF(AF$6="NÃO",0,IF(AND(MONTH(ESTRUTURA!C147)=MONTH(ESTRUTURA!$F$3),A147&gt;0),Tabela!$H$30,0)))</f>
        <v/>
      </c>
      <c r="AG147" s="60" t="str">
        <f t="shared" si="30"/>
        <v/>
      </c>
      <c r="AH147" s="30" t="str">
        <f t="shared" si="30"/>
        <v/>
      </c>
      <c r="AI147" s="60" t="str">
        <f>IF($A147="","",IF(AI$6="NÃO",0,IF($A147=0,DATEDIF(ESTRUTURA!$F$3,ESTRUTURA!$F$4,"m")*Tabela!$H$33,Tabela!$H$33)))</f>
        <v/>
      </c>
      <c r="AJ147" s="30" t="str">
        <f t="shared" si="26"/>
        <v/>
      </c>
    </row>
    <row r="148" spans="1:36" x14ac:dyDescent="0.2">
      <c r="A148" s="66" t="str">
        <f>ESTRUTURA!A148</f>
        <v/>
      </c>
      <c r="B148" s="58">
        <f t="shared" si="32"/>
        <v>0</v>
      </c>
      <c r="C148" s="60" t="str">
        <f t="shared" si="31"/>
        <v/>
      </c>
      <c r="D148" s="30" t="str">
        <f t="shared" si="31"/>
        <v/>
      </c>
      <c r="E148" s="60" t="str">
        <f t="shared" si="31"/>
        <v/>
      </c>
      <c r="F148" s="30" t="str">
        <f>IF($A148="","",IF(F$6="NÃO",0,Tabela!$H$34*ESTRUTURA!$I$4))</f>
        <v/>
      </c>
      <c r="G148" s="60" t="str">
        <f t="shared" si="31"/>
        <v/>
      </c>
      <c r="H148" s="30" t="str">
        <f>IF($A148="","",IF(H$6="NÃO",0,IF($A148=0,DATEDIF(ESTRUTURA!$F$3,ESTRUTURA!$F$4,"m")*Tabela!$H$6,Tabela!$H$6)))</f>
        <v/>
      </c>
      <c r="I148" s="60" t="str">
        <f t="shared" si="31"/>
        <v/>
      </c>
      <c r="J148" s="30" t="str">
        <f>IF($A148="","",IF(J$6="NÃO",0,IF($A148=0,DATEDIF(ESTRUTURA!$F$3,ESTRUTURA!$F$4,"m")*Tabela!$H$8,IF(J$6="NÃO",0,Tabela!$H$8))))</f>
        <v/>
      </c>
      <c r="K148" s="60" t="str">
        <f t="shared" si="31"/>
        <v/>
      </c>
      <c r="L148" s="30" t="str">
        <f t="shared" si="31"/>
        <v/>
      </c>
      <c r="M148" s="60" t="str">
        <f t="shared" si="31"/>
        <v/>
      </c>
      <c r="N148" s="30" t="str">
        <f t="shared" si="31"/>
        <v/>
      </c>
      <c r="O148" s="60" t="str">
        <f t="shared" si="31"/>
        <v/>
      </c>
      <c r="P148" s="30" t="str">
        <f t="shared" si="31"/>
        <v/>
      </c>
      <c r="Q148" s="60" t="str">
        <f t="shared" si="31"/>
        <v/>
      </c>
      <c r="R148" s="30" t="str">
        <f t="shared" si="31"/>
        <v/>
      </c>
      <c r="S148" s="60" t="str">
        <f>IF($A148="","",IF(S$6="NÃO",0,IF($A148=0,DATEDIF(ESTRUTURA!$F$3,ESTRUTURA!$F$4,"m")*Tabela!$H$17,Tabela!$H$17)))</f>
        <v/>
      </c>
      <c r="T148" s="30" t="str">
        <f>IF($A148="","",IF(T$6="NÃO",0,IF($A148=0,DATEDIF(ESTRUTURA!$F$3,ESTRUTURA!$F$4,"m")*Tabela!$H$18,Tabela!$H$18)))</f>
        <v/>
      </c>
      <c r="U148" s="60" t="str">
        <f t="shared" si="30"/>
        <v/>
      </c>
      <c r="V148" s="30" t="str">
        <f>IF($A148="","",IF(V$6="NÃO",0,IF($A148=0,DATEDIF(ESTRUTURA!$F$3,ESTRUTURA!$F$4,"m")*Tabela!$H$20,Tabela!$H$20)))</f>
        <v/>
      </c>
      <c r="W148" s="60" t="str">
        <f t="shared" si="30"/>
        <v/>
      </c>
      <c r="X148" s="30" t="str">
        <f t="shared" si="30"/>
        <v/>
      </c>
      <c r="Y148" s="60" t="str">
        <f>IF($A148="","",IF(Y$6="NÃO",0,IF(A148=0,Tabela!$H$23,IF(Y$7="mensal",Tabela!$H$23,IF(AND(MONTH(ESTRUTURA!C148)=MONTH(ESTRUTURA!$F$3),A148&gt;0),Tabela!$H$23,0)))))</f>
        <v/>
      </c>
      <c r="Z148" s="30" t="str">
        <f t="shared" si="30"/>
        <v/>
      </c>
      <c r="AA148" s="60" t="str">
        <f>IF($A148="","",IF(AA$6="NÃO",0,Tabela!$H$25*nm_séries))</f>
        <v/>
      </c>
      <c r="AB148" s="30" t="str">
        <f t="shared" si="30"/>
        <v/>
      </c>
      <c r="AC148" s="60" t="str">
        <f>IF($A148="","",IF(AC$6="NÃO",0,IF(A148=0,Tabela!$H$27,IF(MOD(A148,3)=0,Tabela!$H$27,0))))</f>
        <v/>
      </c>
      <c r="AD148" s="30" t="str">
        <f t="shared" si="30"/>
        <v/>
      </c>
      <c r="AE148" s="60" t="str">
        <f t="shared" si="30"/>
        <v/>
      </c>
      <c r="AF148" s="30" t="str">
        <f>IF($A148="","",IF(AF$6="NÃO",0,IF(AND(MONTH(ESTRUTURA!C148)=MONTH(ESTRUTURA!$F$3),A148&gt;0),Tabela!$H$30,0)))</f>
        <v/>
      </c>
      <c r="AG148" s="60" t="str">
        <f t="shared" si="30"/>
        <v/>
      </c>
      <c r="AH148" s="30" t="str">
        <f t="shared" si="30"/>
        <v/>
      </c>
      <c r="AI148" s="60" t="str">
        <f>IF($A148="","",IF(AI$6="NÃO",0,IF($A148=0,DATEDIF(ESTRUTURA!$F$3,ESTRUTURA!$F$4,"m")*Tabela!$H$33,Tabela!$H$33)))</f>
        <v/>
      </c>
      <c r="AJ148" s="30" t="str">
        <f t="shared" si="26"/>
        <v/>
      </c>
    </row>
    <row r="149" spans="1:36" x14ac:dyDescent="0.2">
      <c r="A149" s="66" t="str">
        <f>ESTRUTURA!A149</f>
        <v/>
      </c>
      <c r="B149" s="58">
        <f t="shared" si="32"/>
        <v>0</v>
      </c>
      <c r="C149" s="60" t="str">
        <f t="shared" si="31"/>
        <v/>
      </c>
      <c r="D149" s="30" t="str">
        <f t="shared" si="31"/>
        <v/>
      </c>
      <c r="E149" s="60" t="str">
        <f t="shared" si="31"/>
        <v/>
      </c>
      <c r="F149" s="30" t="str">
        <f>IF($A149="","",IF(F$6="NÃO",0,Tabela!$H$34*ESTRUTURA!$I$4))</f>
        <v/>
      </c>
      <c r="G149" s="60" t="str">
        <f t="shared" si="31"/>
        <v/>
      </c>
      <c r="H149" s="30" t="str">
        <f>IF($A149="","",IF(H$6="NÃO",0,IF($A149=0,DATEDIF(ESTRUTURA!$F$3,ESTRUTURA!$F$4,"m")*Tabela!$H$6,Tabela!$H$6)))</f>
        <v/>
      </c>
      <c r="I149" s="60" t="str">
        <f t="shared" si="31"/>
        <v/>
      </c>
      <c r="J149" s="30" t="str">
        <f>IF($A149="","",IF(J$6="NÃO",0,IF($A149=0,DATEDIF(ESTRUTURA!$F$3,ESTRUTURA!$F$4,"m")*Tabela!$H$8,IF(J$6="NÃO",0,Tabela!$H$8))))</f>
        <v/>
      </c>
      <c r="K149" s="60" t="str">
        <f t="shared" si="31"/>
        <v/>
      </c>
      <c r="L149" s="30" t="str">
        <f t="shared" si="31"/>
        <v/>
      </c>
      <c r="M149" s="60" t="str">
        <f t="shared" si="31"/>
        <v/>
      </c>
      <c r="N149" s="30" t="str">
        <f t="shared" si="31"/>
        <v/>
      </c>
      <c r="O149" s="60" t="str">
        <f t="shared" si="31"/>
        <v/>
      </c>
      <c r="P149" s="30" t="str">
        <f t="shared" si="31"/>
        <v/>
      </c>
      <c r="Q149" s="60" t="str">
        <f t="shared" si="31"/>
        <v/>
      </c>
      <c r="R149" s="30" t="str">
        <f t="shared" si="31"/>
        <v/>
      </c>
      <c r="S149" s="60" t="str">
        <f>IF($A149="","",IF(S$6="NÃO",0,IF($A149=0,DATEDIF(ESTRUTURA!$F$3,ESTRUTURA!$F$4,"m")*Tabela!$H$17,Tabela!$H$17)))</f>
        <v/>
      </c>
      <c r="T149" s="30" t="str">
        <f>IF($A149="","",IF(T$6="NÃO",0,IF($A149=0,DATEDIF(ESTRUTURA!$F$3,ESTRUTURA!$F$4,"m")*Tabela!$H$18,Tabela!$H$18)))</f>
        <v/>
      </c>
      <c r="U149" s="60" t="str">
        <f t="shared" si="30"/>
        <v/>
      </c>
      <c r="V149" s="30" t="str">
        <f>IF($A149="","",IF(V$6="NÃO",0,IF($A149=0,DATEDIF(ESTRUTURA!$F$3,ESTRUTURA!$F$4,"m")*Tabela!$H$20,Tabela!$H$20)))</f>
        <v/>
      </c>
      <c r="W149" s="60" t="str">
        <f t="shared" si="30"/>
        <v/>
      </c>
      <c r="X149" s="30" t="str">
        <f t="shared" si="30"/>
        <v/>
      </c>
      <c r="Y149" s="60" t="str">
        <f>IF($A149="","",IF(Y$6="NÃO",0,IF(A149=0,Tabela!$H$23,IF(Y$7="mensal",Tabela!$H$23,IF(AND(MONTH(ESTRUTURA!C149)=MONTH(ESTRUTURA!$F$3),A149&gt;0),Tabela!$H$23,0)))))</f>
        <v/>
      </c>
      <c r="Z149" s="30" t="str">
        <f t="shared" si="30"/>
        <v/>
      </c>
      <c r="AA149" s="60" t="str">
        <f>IF($A149="","",IF(AA$6="NÃO",0,Tabela!$H$25*nm_séries))</f>
        <v/>
      </c>
      <c r="AB149" s="30" t="str">
        <f t="shared" si="30"/>
        <v/>
      </c>
      <c r="AC149" s="60" t="str">
        <f>IF($A149="","",IF(AC$6="NÃO",0,IF(A149=0,Tabela!$H$27,IF(MOD(A149,3)=0,Tabela!$H$27,0))))</f>
        <v/>
      </c>
      <c r="AD149" s="30" t="str">
        <f t="shared" si="30"/>
        <v/>
      </c>
      <c r="AE149" s="60" t="str">
        <f t="shared" si="30"/>
        <v/>
      </c>
      <c r="AF149" s="30" t="str">
        <f>IF($A149="","",IF(AF$6="NÃO",0,IF(AND(MONTH(ESTRUTURA!C149)=MONTH(ESTRUTURA!$F$3),A149&gt;0),Tabela!$H$30,0)))</f>
        <v/>
      </c>
      <c r="AG149" s="60" t="str">
        <f t="shared" si="30"/>
        <v/>
      </c>
      <c r="AH149" s="30" t="str">
        <f t="shared" si="30"/>
        <v/>
      </c>
      <c r="AI149" s="60" t="str">
        <f>IF($A149="","",IF(AI$6="NÃO",0,IF($A149=0,DATEDIF(ESTRUTURA!$F$3,ESTRUTURA!$F$4,"m")*Tabela!$H$33,Tabela!$H$33)))</f>
        <v/>
      </c>
      <c r="AJ149" s="30" t="str">
        <f t="shared" si="26"/>
        <v/>
      </c>
    </row>
    <row r="150" spans="1:36" x14ac:dyDescent="0.2">
      <c r="A150" s="66" t="str">
        <f>ESTRUTURA!A150</f>
        <v/>
      </c>
      <c r="B150" s="58">
        <f t="shared" si="32"/>
        <v>0</v>
      </c>
      <c r="C150" s="60" t="str">
        <f t="shared" si="31"/>
        <v/>
      </c>
      <c r="D150" s="30" t="str">
        <f t="shared" si="31"/>
        <v/>
      </c>
      <c r="E150" s="60" t="str">
        <f t="shared" si="31"/>
        <v/>
      </c>
      <c r="F150" s="30" t="str">
        <f>IF($A150="","",IF(F$6="NÃO",0,Tabela!$H$34*ESTRUTURA!$I$4))</f>
        <v/>
      </c>
      <c r="G150" s="60" t="str">
        <f t="shared" si="31"/>
        <v/>
      </c>
      <c r="H150" s="30" t="str">
        <f>IF($A150="","",IF(H$6="NÃO",0,IF($A150=0,DATEDIF(ESTRUTURA!$F$3,ESTRUTURA!$F$4,"m")*Tabela!$H$6,Tabela!$H$6)))</f>
        <v/>
      </c>
      <c r="I150" s="60" t="str">
        <f t="shared" si="31"/>
        <v/>
      </c>
      <c r="J150" s="30" t="str">
        <f>IF($A150="","",IF(J$6="NÃO",0,IF($A150=0,DATEDIF(ESTRUTURA!$F$3,ESTRUTURA!$F$4,"m")*Tabela!$H$8,IF(J$6="NÃO",0,Tabela!$H$8))))</f>
        <v/>
      </c>
      <c r="K150" s="60" t="str">
        <f t="shared" si="31"/>
        <v/>
      </c>
      <c r="L150" s="30" t="str">
        <f t="shared" si="31"/>
        <v/>
      </c>
      <c r="M150" s="60" t="str">
        <f t="shared" si="31"/>
        <v/>
      </c>
      <c r="N150" s="30" t="str">
        <f t="shared" si="31"/>
        <v/>
      </c>
      <c r="O150" s="60" t="str">
        <f t="shared" si="31"/>
        <v/>
      </c>
      <c r="P150" s="30" t="str">
        <f t="shared" si="31"/>
        <v/>
      </c>
      <c r="Q150" s="60" t="str">
        <f t="shared" si="31"/>
        <v/>
      </c>
      <c r="R150" s="30" t="str">
        <f t="shared" si="31"/>
        <v/>
      </c>
      <c r="S150" s="60" t="str">
        <f>IF($A150="","",IF(S$6="NÃO",0,IF($A150=0,DATEDIF(ESTRUTURA!$F$3,ESTRUTURA!$F$4,"m")*Tabela!$H$17,Tabela!$H$17)))</f>
        <v/>
      </c>
      <c r="T150" s="30" t="str">
        <f>IF($A150="","",IF(T$6="NÃO",0,IF($A150=0,DATEDIF(ESTRUTURA!$F$3,ESTRUTURA!$F$4,"m")*Tabela!$H$18,Tabela!$H$18)))</f>
        <v/>
      </c>
      <c r="U150" s="60" t="str">
        <f t="shared" si="30"/>
        <v/>
      </c>
      <c r="V150" s="30" t="str">
        <f>IF($A150="","",IF(V$6="NÃO",0,IF($A150=0,DATEDIF(ESTRUTURA!$F$3,ESTRUTURA!$F$4,"m")*Tabela!$H$20,Tabela!$H$20)))</f>
        <v/>
      </c>
      <c r="W150" s="60" t="str">
        <f t="shared" si="30"/>
        <v/>
      </c>
      <c r="X150" s="30" t="str">
        <f t="shared" si="30"/>
        <v/>
      </c>
      <c r="Y150" s="60" t="str">
        <f>IF($A150="","",IF(Y$6="NÃO",0,IF(A150=0,Tabela!$H$23,IF(Y$7="mensal",Tabela!$H$23,IF(AND(MONTH(ESTRUTURA!C150)=MONTH(ESTRUTURA!$F$3),A150&gt;0),Tabela!$H$23,0)))))</f>
        <v/>
      </c>
      <c r="Z150" s="30" t="str">
        <f t="shared" si="30"/>
        <v/>
      </c>
      <c r="AA150" s="60" t="str">
        <f>IF($A150="","",IF(AA$6="NÃO",0,Tabela!$H$25*nm_séries))</f>
        <v/>
      </c>
      <c r="AB150" s="30" t="str">
        <f t="shared" si="30"/>
        <v/>
      </c>
      <c r="AC150" s="60" t="str">
        <f>IF($A150="","",IF(AC$6="NÃO",0,IF(A150=0,Tabela!$H$27,IF(MOD(A150,3)=0,Tabela!$H$27,0))))</f>
        <v/>
      </c>
      <c r="AD150" s="30" t="str">
        <f t="shared" si="30"/>
        <v/>
      </c>
      <c r="AE150" s="60" t="str">
        <f t="shared" si="30"/>
        <v/>
      </c>
      <c r="AF150" s="30" t="str">
        <f>IF($A150="","",IF(AF$6="NÃO",0,IF(AND(MONTH(ESTRUTURA!C150)=MONTH(ESTRUTURA!$F$3),A150&gt;0),Tabela!$H$30,0)))</f>
        <v/>
      </c>
      <c r="AG150" s="60" t="str">
        <f t="shared" si="30"/>
        <v/>
      </c>
      <c r="AH150" s="30" t="str">
        <f t="shared" si="30"/>
        <v/>
      </c>
      <c r="AI150" s="60" t="str">
        <f>IF($A150="","",IF(AI$6="NÃO",0,IF($A150=0,DATEDIF(ESTRUTURA!$F$3,ESTRUTURA!$F$4,"m")*Tabela!$H$33,Tabela!$H$33)))</f>
        <v/>
      </c>
      <c r="AJ150" s="30" t="str">
        <f t="shared" si="26"/>
        <v/>
      </c>
    </row>
    <row r="151" spans="1:36" x14ac:dyDescent="0.2">
      <c r="A151" s="66" t="str">
        <f>ESTRUTURA!A151</f>
        <v/>
      </c>
      <c r="B151" s="58">
        <f t="shared" si="32"/>
        <v>0</v>
      </c>
      <c r="C151" s="60" t="str">
        <f t="shared" si="31"/>
        <v/>
      </c>
      <c r="D151" s="30" t="str">
        <f t="shared" si="31"/>
        <v/>
      </c>
      <c r="E151" s="60" t="str">
        <f t="shared" si="31"/>
        <v/>
      </c>
      <c r="F151" s="30" t="str">
        <f>IF($A151="","",IF(F$6="NÃO",0,Tabela!$H$34*ESTRUTURA!$I$4))</f>
        <v/>
      </c>
      <c r="G151" s="60" t="str">
        <f t="shared" si="31"/>
        <v/>
      </c>
      <c r="H151" s="30" t="str">
        <f>IF($A151="","",IF(H$6="NÃO",0,IF($A151=0,DATEDIF(ESTRUTURA!$F$3,ESTRUTURA!$F$4,"m")*Tabela!$H$6,Tabela!$H$6)))</f>
        <v/>
      </c>
      <c r="I151" s="60" t="str">
        <f t="shared" si="31"/>
        <v/>
      </c>
      <c r="J151" s="30" t="str">
        <f>IF($A151="","",IF(J$6="NÃO",0,IF($A151=0,DATEDIF(ESTRUTURA!$F$3,ESTRUTURA!$F$4,"m")*Tabela!$H$8,IF(J$6="NÃO",0,Tabela!$H$8))))</f>
        <v/>
      </c>
      <c r="K151" s="60" t="str">
        <f t="shared" si="31"/>
        <v/>
      </c>
      <c r="L151" s="30" t="str">
        <f t="shared" si="31"/>
        <v/>
      </c>
      <c r="M151" s="60" t="str">
        <f t="shared" si="31"/>
        <v/>
      </c>
      <c r="N151" s="30" t="str">
        <f t="shared" si="31"/>
        <v/>
      </c>
      <c r="O151" s="60" t="str">
        <f t="shared" si="31"/>
        <v/>
      </c>
      <c r="P151" s="30" t="str">
        <f t="shared" si="31"/>
        <v/>
      </c>
      <c r="Q151" s="60" t="str">
        <f t="shared" si="31"/>
        <v/>
      </c>
      <c r="R151" s="30" t="str">
        <f t="shared" si="31"/>
        <v/>
      </c>
      <c r="S151" s="60" t="str">
        <f>IF($A151="","",IF(S$6="NÃO",0,IF($A151=0,DATEDIF(ESTRUTURA!$F$3,ESTRUTURA!$F$4,"m")*Tabela!$H$17,Tabela!$H$17)))</f>
        <v/>
      </c>
      <c r="T151" s="30" t="str">
        <f>IF($A151="","",IF(T$6="NÃO",0,IF($A151=0,DATEDIF(ESTRUTURA!$F$3,ESTRUTURA!$F$4,"m")*Tabela!$H$18,Tabela!$H$18)))</f>
        <v/>
      </c>
      <c r="U151" s="60" t="str">
        <f t="shared" si="30"/>
        <v/>
      </c>
      <c r="V151" s="30" t="str">
        <f>IF($A151="","",IF(V$6="NÃO",0,IF($A151=0,DATEDIF(ESTRUTURA!$F$3,ESTRUTURA!$F$4,"m")*Tabela!$H$20,Tabela!$H$20)))</f>
        <v/>
      </c>
      <c r="W151" s="60" t="str">
        <f t="shared" si="30"/>
        <v/>
      </c>
      <c r="X151" s="30" t="str">
        <f t="shared" si="30"/>
        <v/>
      </c>
      <c r="Y151" s="60" t="str">
        <f>IF($A151="","",IF(Y$6="NÃO",0,IF(A151=0,Tabela!$H$23,IF(Y$7="mensal",Tabela!$H$23,IF(AND(MONTH(ESTRUTURA!C151)=MONTH(ESTRUTURA!$F$3),A151&gt;0),Tabela!$H$23,0)))))</f>
        <v/>
      </c>
      <c r="Z151" s="30" t="str">
        <f t="shared" si="30"/>
        <v/>
      </c>
      <c r="AA151" s="60" t="str">
        <f>IF($A151="","",IF(AA$6="NÃO",0,Tabela!$H$25*nm_séries))</f>
        <v/>
      </c>
      <c r="AB151" s="30" t="str">
        <f t="shared" si="30"/>
        <v/>
      </c>
      <c r="AC151" s="60" t="str">
        <f>IF($A151="","",IF(AC$6="NÃO",0,IF(A151=0,Tabela!$H$27,IF(MOD(A151,3)=0,Tabela!$H$27,0))))</f>
        <v/>
      </c>
      <c r="AD151" s="30" t="str">
        <f t="shared" si="30"/>
        <v/>
      </c>
      <c r="AE151" s="60" t="str">
        <f t="shared" si="30"/>
        <v/>
      </c>
      <c r="AF151" s="30" t="str">
        <f>IF($A151="","",IF(AF$6="NÃO",0,IF(AND(MONTH(ESTRUTURA!C151)=MONTH(ESTRUTURA!$F$3),A151&gt;0),Tabela!$H$30,0)))</f>
        <v/>
      </c>
      <c r="AG151" s="60" t="str">
        <f t="shared" si="30"/>
        <v/>
      </c>
      <c r="AH151" s="30" t="str">
        <f t="shared" si="30"/>
        <v/>
      </c>
      <c r="AI151" s="60" t="str">
        <f>IF($A151="","",IF(AI$6="NÃO",0,IF($A151=0,DATEDIF(ESTRUTURA!$F$3,ESTRUTURA!$F$4,"m")*Tabela!$H$33,Tabela!$H$33)))</f>
        <v/>
      </c>
      <c r="AJ151" s="30" t="str">
        <f t="shared" si="26"/>
        <v/>
      </c>
    </row>
    <row r="152" spans="1:36" x14ac:dyDescent="0.2">
      <c r="A152" s="66" t="str">
        <f>ESTRUTURA!A152</f>
        <v/>
      </c>
      <c r="B152" s="58">
        <f t="shared" si="32"/>
        <v>0</v>
      </c>
      <c r="C152" s="60" t="str">
        <f t="shared" si="31"/>
        <v/>
      </c>
      <c r="D152" s="30" t="str">
        <f t="shared" si="31"/>
        <v/>
      </c>
      <c r="E152" s="60" t="str">
        <f t="shared" si="31"/>
        <v/>
      </c>
      <c r="F152" s="30" t="str">
        <f>IF($A152="","",IF(F$6="NÃO",0,Tabela!$H$34*ESTRUTURA!$I$4))</f>
        <v/>
      </c>
      <c r="G152" s="60" t="str">
        <f t="shared" si="31"/>
        <v/>
      </c>
      <c r="H152" s="30" t="str">
        <f>IF($A152="","",IF(H$6="NÃO",0,IF($A152=0,DATEDIF(ESTRUTURA!$F$3,ESTRUTURA!$F$4,"m")*Tabela!$H$6,Tabela!$H$6)))</f>
        <v/>
      </c>
      <c r="I152" s="60" t="str">
        <f t="shared" si="31"/>
        <v/>
      </c>
      <c r="J152" s="30" t="str">
        <f>IF($A152="","",IF(J$6="NÃO",0,IF($A152=0,DATEDIF(ESTRUTURA!$F$3,ESTRUTURA!$F$4,"m")*Tabela!$H$8,IF(J$6="NÃO",0,Tabela!$H$8))))</f>
        <v/>
      </c>
      <c r="K152" s="60" t="str">
        <f t="shared" si="31"/>
        <v/>
      </c>
      <c r="L152" s="30" t="str">
        <f t="shared" si="31"/>
        <v/>
      </c>
      <c r="M152" s="60" t="str">
        <f t="shared" si="31"/>
        <v/>
      </c>
      <c r="N152" s="30" t="str">
        <f t="shared" si="31"/>
        <v/>
      </c>
      <c r="O152" s="60" t="str">
        <f t="shared" si="31"/>
        <v/>
      </c>
      <c r="P152" s="30" t="str">
        <f t="shared" si="31"/>
        <v/>
      </c>
      <c r="Q152" s="60" t="str">
        <f t="shared" si="31"/>
        <v/>
      </c>
      <c r="R152" s="30" t="str">
        <f t="shared" si="31"/>
        <v/>
      </c>
      <c r="S152" s="60" t="str">
        <f>IF($A152="","",IF(S$6="NÃO",0,IF($A152=0,DATEDIF(ESTRUTURA!$F$3,ESTRUTURA!$F$4,"m")*Tabela!$H$17,Tabela!$H$17)))</f>
        <v/>
      </c>
      <c r="T152" s="30" t="str">
        <f>IF($A152="","",IF(T$6="NÃO",0,IF($A152=0,DATEDIF(ESTRUTURA!$F$3,ESTRUTURA!$F$4,"m")*Tabela!$H$18,Tabela!$H$18)))</f>
        <v/>
      </c>
      <c r="U152" s="60" t="str">
        <f t="shared" si="30"/>
        <v/>
      </c>
      <c r="V152" s="30" t="str">
        <f>IF($A152="","",IF(V$6="NÃO",0,IF($A152=0,DATEDIF(ESTRUTURA!$F$3,ESTRUTURA!$F$4,"m")*Tabela!$H$20,Tabela!$H$20)))</f>
        <v/>
      </c>
      <c r="W152" s="60" t="str">
        <f t="shared" si="30"/>
        <v/>
      </c>
      <c r="X152" s="30" t="str">
        <f t="shared" si="30"/>
        <v/>
      </c>
      <c r="Y152" s="60" t="str">
        <f>IF($A152="","",IF(Y$6="NÃO",0,IF(A152=0,Tabela!$H$23,IF(Y$7="mensal",Tabela!$H$23,IF(AND(MONTH(ESTRUTURA!C152)=MONTH(ESTRUTURA!$F$3),A152&gt;0),Tabela!$H$23,0)))))</f>
        <v/>
      </c>
      <c r="Z152" s="30" t="str">
        <f t="shared" si="30"/>
        <v/>
      </c>
      <c r="AA152" s="60" t="str">
        <f>IF($A152="","",IF(AA$6="NÃO",0,Tabela!$H$25*nm_séries))</f>
        <v/>
      </c>
      <c r="AB152" s="30" t="str">
        <f t="shared" si="30"/>
        <v/>
      </c>
      <c r="AC152" s="60" t="str">
        <f>IF($A152="","",IF(AC$6="NÃO",0,IF(A152=0,Tabela!$H$27,IF(MOD(A152,3)=0,Tabela!$H$27,0))))</f>
        <v/>
      </c>
      <c r="AD152" s="30" t="str">
        <f t="shared" si="30"/>
        <v/>
      </c>
      <c r="AE152" s="60" t="str">
        <f t="shared" si="30"/>
        <v/>
      </c>
      <c r="AF152" s="30" t="str">
        <f>IF($A152="","",IF(AF$6="NÃO",0,IF(AND(MONTH(ESTRUTURA!C152)=MONTH(ESTRUTURA!$F$3),A152&gt;0),Tabela!$H$30,0)))</f>
        <v/>
      </c>
      <c r="AG152" s="60" t="str">
        <f t="shared" si="30"/>
        <v/>
      </c>
      <c r="AH152" s="30" t="str">
        <f t="shared" si="30"/>
        <v/>
      </c>
      <c r="AI152" s="60" t="str">
        <f>IF($A152="","",IF(AI$6="NÃO",0,IF($A152=0,DATEDIF(ESTRUTURA!$F$3,ESTRUTURA!$F$4,"m")*Tabela!$H$33,Tabela!$H$33)))</f>
        <v/>
      </c>
      <c r="AJ152" s="30" t="str">
        <f t="shared" si="26"/>
        <v/>
      </c>
    </row>
    <row r="153" spans="1:36" x14ac:dyDescent="0.2">
      <c r="A153" s="66" t="str">
        <f>ESTRUTURA!A153</f>
        <v/>
      </c>
      <c r="B153" s="58">
        <f t="shared" si="32"/>
        <v>0</v>
      </c>
      <c r="C153" s="60" t="str">
        <f t="shared" si="31"/>
        <v/>
      </c>
      <c r="D153" s="30" t="str">
        <f t="shared" si="31"/>
        <v/>
      </c>
      <c r="E153" s="60" t="str">
        <f t="shared" si="31"/>
        <v/>
      </c>
      <c r="F153" s="30" t="str">
        <f>IF($A153="","",IF(F$6="NÃO",0,Tabela!$H$34*ESTRUTURA!$I$4))</f>
        <v/>
      </c>
      <c r="G153" s="60" t="str">
        <f t="shared" si="31"/>
        <v/>
      </c>
      <c r="H153" s="30" t="str">
        <f>IF($A153="","",IF(H$6="NÃO",0,IF($A153=0,DATEDIF(ESTRUTURA!$F$3,ESTRUTURA!$F$4,"m")*Tabela!$H$6,Tabela!$H$6)))</f>
        <v/>
      </c>
      <c r="I153" s="60" t="str">
        <f t="shared" si="31"/>
        <v/>
      </c>
      <c r="J153" s="30" t="str">
        <f>IF($A153="","",IF(J$6="NÃO",0,IF($A153=0,DATEDIF(ESTRUTURA!$F$3,ESTRUTURA!$F$4,"m")*Tabela!$H$8,IF(J$6="NÃO",0,Tabela!$H$8))))</f>
        <v/>
      </c>
      <c r="K153" s="60" t="str">
        <f t="shared" si="31"/>
        <v/>
      </c>
      <c r="L153" s="30" t="str">
        <f t="shared" si="31"/>
        <v/>
      </c>
      <c r="M153" s="60" t="str">
        <f t="shared" si="31"/>
        <v/>
      </c>
      <c r="N153" s="30" t="str">
        <f t="shared" si="31"/>
        <v/>
      </c>
      <c r="O153" s="60" t="str">
        <f t="shared" si="31"/>
        <v/>
      </c>
      <c r="P153" s="30" t="str">
        <f t="shared" si="31"/>
        <v/>
      </c>
      <c r="Q153" s="60" t="str">
        <f t="shared" si="31"/>
        <v/>
      </c>
      <c r="R153" s="30" t="str">
        <f t="shared" si="31"/>
        <v/>
      </c>
      <c r="S153" s="60" t="str">
        <f>IF($A153="","",IF(S$6="NÃO",0,IF($A153=0,DATEDIF(ESTRUTURA!$F$3,ESTRUTURA!$F$4,"m")*Tabela!$H$17,Tabela!$H$17)))</f>
        <v/>
      </c>
      <c r="T153" s="30" t="str">
        <f>IF($A153="","",IF(T$6="NÃO",0,IF($A153=0,DATEDIF(ESTRUTURA!$F$3,ESTRUTURA!$F$4,"m")*Tabela!$H$18,Tabela!$H$18)))</f>
        <v/>
      </c>
      <c r="U153" s="60" t="str">
        <f t="shared" si="30"/>
        <v/>
      </c>
      <c r="V153" s="30" t="str">
        <f>IF($A153="","",IF(V$6="NÃO",0,IF($A153=0,DATEDIF(ESTRUTURA!$F$3,ESTRUTURA!$F$4,"m")*Tabela!$H$20,Tabela!$H$20)))</f>
        <v/>
      </c>
      <c r="W153" s="60" t="str">
        <f t="shared" si="30"/>
        <v/>
      </c>
      <c r="X153" s="30" t="str">
        <f t="shared" si="30"/>
        <v/>
      </c>
      <c r="Y153" s="60" t="str">
        <f>IF($A153="","",IF(Y$6="NÃO",0,IF(A153=0,Tabela!$H$23,IF(Y$7="mensal",Tabela!$H$23,IF(AND(MONTH(ESTRUTURA!C153)=MONTH(ESTRUTURA!$F$3),A153&gt;0),Tabela!$H$23,0)))))</f>
        <v/>
      </c>
      <c r="Z153" s="30" t="str">
        <f t="shared" si="30"/>
        <v/>
      </c>
      <c r="AA153" s="60" t="str">
        <f>IF($A153="","",IF(AA$6="NÃO",0,Tabela!$H$25*nm_séries))</f>
        <v/>
      </c>
      <c r="AB153" s="30" t="str">
        <f t="shared" si="30"/>
        <v/>
      </c>
      <c r="AC153" s="60" t="str">
        <f>IF($A153="","",IF(AC$6="NÃO",0,IF(A153=0,Tabela!$H$27,IF(MOD(A153,3)=0,Tabela!$H$27,0))))</f>
        <v/>
      </c>
      <c r="AD153" s="30" t="str">
        <f t="shared" si="30"/>
        <v/>
      </c>
      <c r="AE153" s="60" t="str">
        <f t="shared" si="30"/>
        <v/>
      </c>
      <c r="AF153" s="30" t="str">
        <f>IF($A153="","",IF(AF$6="NÃO",0,IF(AND(MONTH(ESTRUTURA!C153)=MONTH(ESTRUTURA!$F$3),A153&gt;0),Tabela!$H$30,0)))</f>
        <v/>
      </c>
      <c r="AG153" s="60" t="str">
        <f t="shared" si="30"/>
        <v/>
      </c>
      <c r="AH153" s="30" t="str">
        <f t="shared" si="30"/>
        <v/>
      </c>
      <c r="AI153" s="60" t="str">
        <f>IF($A153="","",IF(AI$6="NÃO",0,IF($A153=0,DATEDIF(ESTRUTURA!$F$3,ESTRUTURA!$F$4,"m")*Tabela!$H$33,Tabela!$H$33)))</f>
        <v/>
      </c>
      <c r="AJ153" s="30" t="str">
        <f t="shared" si="26"/>
        <v/>
      </c>
    </row>
    <row r="154" spans="1:36" x14ac:dyDescent="0.2">
      <c r="A154" s="66" t="str">
        <f>ESTRUTURA!A154</f>
        <v/>
      </c>
      <c r="B154" s="58">
        <f t="shared" si="32"/>
        <v>0</v>
      </c>
      <c r="C154" s="60" t="str">
        <f t="shared" si="31"/>
        <v/>
      </c>
      <c r="D154" s="30" t="str">
        <f t="shared" si="31"/>
        <v/>
      </c>
      <c r="E154" s="60" t="str">
        <f t="shared" si="31"/>
        <v/>
      </c>
      <c r="F154" s="30" t="str">
        <f>IF($A154="","",IF(F$6="NÃO",0,Tabela!$H$34*ESTRUTURA!$I$4))</f>
        <v/>
      </c>
      <c r="G154" s="60" t="str">
        <f t="shared" si="31"/>
        <v/>
      </c>
      <c r="H154" s="30" t="str">
        <f>IF($A154="","",IF(H$6="NÃO",0,IF($A154=0,DATEDIF(ESTRUTURA!$F$3,ESTRUTURA!$F$4,"m")*Tabela!$H$6,Tabela!$H$6)))</f>
        <v/>
      </c>
      <c r="I154" s="60" t="str">
        <f t="shared" si="31"/>
        <v/>
      </c>
      <c r="J154" s="30" t="str">
        <f>IF($A154="","",IF(J$6="NÃO",0,IF($A154=0,DATEDIF(ESTRUTURA!$F$3,ESTRUTURA!$F$4,"m")*Tabela!$H$8,IF(J$6="NÃO",0,Tabela!$H$8))))</f>
        <v/>
      </c>
      <c r="K154" s="60" t="str">
        <f t="shared" si="31"/>
        <v/>
      </c>
      <c r="L154" s="30" t="str">
        <f t="shared" si="31"/>
        <v/>
      </c>
      <c r="M154" s="60" t="str">
        <f t="shared" si="31"/>
        <v/>
      </c>
      <c r="N154" s="30" t="str">
        <f t="shared" si="31"/>
        <v/>
      </c>
      <c r="O154" s="60" t="str">
        <f t="shared" si="31"/>
        <v/>
      </c>
      <c r="P154" s="30" t="str">
        <f t="shared" ref="P154:P171" si="33">IF($A154="","",IF(P$6="NÃO",0,0))</f>
        <v/>
      </c>
      <c r="Q154" s="60" t="str">
        <f t="shared" si="31"/>
        <v/>
      </c>
      <c r="R154" s="30" t="str">
        <f t="shared" si="31"/>
        <v/>
      </c>
      <c r="S154" s="60" t="str">
        <f>IF($A154="","",IF(S$6="NÃO",0,IF($A154=0,DATEDIF(ESTRUTURA!$F$3,ESTRUTURA!$F$4,"m")*Tabela!$H$17,Tabela!$H$17)))</f>
        <v/>
      </c>
      <c r="T154" s="30" t="str">
        <f>IF($A154="","",IF(T$6="NÃO",0,IF($A154=0,DATEDIF(ESTRUTURA!$F$3,ESTRUTURA!$F$4,"m")*Tabela!$H$18,Tabela!$H$18)))</f>
        <v/>
      </c>
      <c r="U154" s="60" t="str">
        <f t="shared" si="30"/>
        <v/>
      </c>
      <c r="V154" s="30" t="str">
        <f>IF($A154="","",IF(V$6="NÃO",0,IF($A154=0,DATEDIF(ESTRUTURA!$F$3,ESTRUTURA!$F$4,"m")*Tabela!$H$20,Tabela!$H$20)))</f>
        <v/>
      </c>
      <c r="W154" s="60" t="str">
        <f t="shared" si="30"/>
        <v/>
      </c>
      <c r="X154" s="30" t="str">
        <f t="shared" si="30"/>
        <v/>
      </c>
      <c r="Y154" s="60" t="str">
        <f>IF($A154="","",IF(Y$6="NÃO",0,IF(A154=0,Tabela!$H$23,IF(Y$7="mensal",Tabela!$H$23,IF(AND(MONTH(ESTRUTURA!C154)=MONTH(ESTRUTURA!$F$3),A154&gt;0),Tabela!$H$23,0)))))</f>
        <v/>
      </c>
      <c r="Z154" s="30" t="str">
        <f t="shared" si="30"/>
        <v/>
      </c>
      <c r="AA154" s="60" t="str">
        <f>IF($A154="","",IF(AA$6="NÃO",0,Tabela!$H$25*nm_séries))</f>
        <v/>
      </c>
      <c r="AB154" s="30" t="str">
        <f t="shared" si="30"/>
        <v/>
      </c>
      <c r="AC154" s="60" t="str">
        <f>IF($A154="","",IF(AC$6="NÃO",0,IF(A154=0,Tabela!$H$27,IF(MOD(A154,3)=0,Tabela!$H$27,0))))</f>
        <v/>
      </c>
      <c r="AD154" s="30" t="str">
        <f t="shared" si="30"/>
        <v/>
      </c>
      <c r="AE154" s="60" t="str">
        <f t="shared" si="30"/>
        <v/>
      </c>
      <c r="AF154" s="30" t="str">
        <f>IF($A154="","",IF(AF$6="NÃO",0,IF(AND(MONTH(ESTRUTURA!C154)=MONTH(ESTRUTURA!$F$3),A154&gt;0),Tabela!$H$30,0)))</f>
        <v/>
      </c>
      <c r="AG154" s="60" t="str">
        <f t="shared" si="30"/>
        <v/>
      </c>
      <c r="AH154" s="30" t="str">
        <f t="shared" si="30"/>
        <v/>
      </c>
      <c r="AI154" s="60" t="str">
        <f>IF($A154="","",IF(AI$6="NÃO",0,IF($A154=0,DATEDIF(ESTRUTURA!$F$3,ESTRUTURA!$F$4,"m")*Tabela!$H$33,Tabela!$H$33)))</f>
        <v/>
      </c>
      <c r="AJ154" s="30" t="str">
        <f t="shared" si="26"/>
        <v/>
      </c>
    </row>
    <row r="155" spans="1:36" x14ac:dyDescent="0.2">
      <c r="A155" s="66" t="str">
        <f>ESTRUTURA!A155</f>
        <v/>
      </c>
      <c r="B155" s="58">
        <f t="shared" si="32"/>
        <v>0</v>
      </c>
      <c r="C155" s="60" t="str">
        <f t="shared" si="31"/>
        <v/>
      </c>
      <c r="D155" s="30" t="str">
        <f t="shared" si="31"/>
        <v/>
      </c>
      <c r="E155" s="60" t="str">
        <f t="shared" si="31"/>
        <v/>
      </c>
      <c r="F155" s="30" t="str">
        <f>IF($A155="","",IF(F$6="NÃO",0,Tabela!$H$34*ESTRUTURA!$I$4))</f>
        <v/>
      </c>
      <c r="G155" s="60" t="str">
        <f t="shared" si="31"/>
        <v/>
      </c>
      <c r="H155" s="30" t="str">
        <f>IF($A155="","",IF(H$6="NÃO",0,IF($A155=0,DATEDIF(ESTRUTURA!$F$3,ESTRUTURA!$F$4,"m")*Tabela!$H$6,Tabela!$H$6)))</f>
        <v/>
      </c>
      <c r="I155" s="60" t="str">
        <f t="shared" si="31"/>
        <v/>
      </c>
      <c r="J155" s="30" t="str">
        <f>IF($A155="","",IF(J$6="NÃO",0,IF($A155=0,DATEDIF(ESTRUTURA!$F$3,ESTRUTURA!$F$4,"m")*Tabela!$H$8,IF(J$6="NÃO",0,Tabela!$H$8))))</f>
        <v/>
      </c>
      <c r="K155" s="60" t="str">
        <f t="shared" si="31"/>
        <v/>
      </c>
      <c r="L155" s="30" t="str">
        <f t="shared" si="31"/>
        <v/>
      </c>
      <c r="M155" s="60" t="str">
        <f t="shared" si="31"/>
        <v/>
      </c>
      <c r="N155" s="30" t="str">
        <f t="shared" si="31"/>
        <v/>
      </c>
      <c r="O155" s="60" t="str">
        <f t="shared" si="31"/>
        <v/>
      </c>
      <c r="P155" s="30" t="str">
        <f t="shared" si="33"/>
        <v/>
      </c>
      <c r="Q155" s="60" t="str">
        <f t="shared" si="31"/>
        <v/>
      </c>
      <c r="R155" s="30" t="str">
        <f t="shared" si="31"/>
        <v/>
      </c>
      <c r="S155" s="60" t="str">
        <f>IF($A155="","",IF(S$6="NÃO",0,IF($A155=0,DATEDIF(ESTRUTURA!$F$3,ESTRUTURA!$F$4,"m")*Tabela!$H$17,Tabela!$H$17)))</f>
        <v/>
      </c>
      <c r="T155" s="30" t="str">
        <f>IF($A155="","",IF(T$6="NÃO",0,IF($A155=0,DATEDIF(ESTRUTURA!$F$3,ESTRUTURA!$F$4,"m")*Tabela!$H$18,Tabela!$H$18)))</f>
        <v/>
      </c>
      <c r="U155" s="60" t="str">
        <f t="shared" ref="U155:AH170" si="34">IF($A155="","",IF(U$6="NÃO",0,0))</f>
        <v/>
      </c>
      <c r="V155" s="30" t="str">
        <f>IF($A155="","",IF(V$6="NÃO",0,IF($A155=0,DATEDIF(ESTRUTURA!$F$3,ESTRUTURA!$F$4,"m")*Tabela!$H$20,Tabela!$H$20)))</f>
        <v/>
      </c>
      <c r="W155" s="60" t="str">
        <f t="shared" si="34"/>
        <v/>
      </c>
      <c r="X155" s="30" t="str">
        <f t="shared" si="34"/>
        <v/>
      </c>
      <c r="Y155" s="60" t="str">
        <f>IF($A155="","",IF(Y$6="NÃO",0,IF(A155=0,Tabela!$H$23,IF(Y$7="mensal",Tabela!$H$23,IF(AND(MONTH(ESTRUTURA!C155)=MONTH(ESTRUTURA!$F$3),A155&gt;0),Tabela!$H$23,0)))))</f>
        <v/>
      </c>
      <c r="Z155" s="30" t="str">
        <f t="shared" si="34"/>
        <v/>
      </c>
      <c r="AA155" s="60" t="str">
        <f>IF($A155="","",IF(AA$6="NÃO",0,Tabela!$H$25*nm_séries))</f>
        <v/>
      </c>
      <c r="AB155" s="30" t="str">
        <f t="shared" si="34"/>
        <v/>
      </c>
      <c r="AC155" s="60" t="str">
        <f>IF($A155="","",IF(AC$6="NÃO",0,IF(A155=0,Tabela!$H$27,IF(MOD(A155,3)=0,Tabela!$H$27,0))))</f>
        <v/>
      </c>
      <c r="AD155" s="30" t="str">
        <f t="shared" si="34"/>
        <v/>
      </c>
      <c r="AE155" s="60" t="str">
        <f t="shared" si="34"/>
        <v/>
      </c>
      <c r="AF155" s="30" t="str">
        <f>IF($A155="","",IF(AF$6="NÃO",0,IF(AND(MONTH(ESTRUTURA!C155)=MONTH(ESTRUTURA!$F$3),A155&gt;0),Tabela!$H$30,0)))</f>
        <v/>
      </c>
      <c r="AG155" s="60" t="str">
        <f t="shared" si="34"/>
        <v/>
      </c>
      <c r="AH155" s="30" t="str">
        <f t="shared" si="34"/>
        <v/>
      </c>
      <c r="AI155" s="60" t="str">
        <f>IF($A155="","",IF(AI$6="NÃO",0,IF($A155=0,DATEDIF(ESTRUTURA!$F$3,ESTRUTURA!$F$4,"m")*Tabela!$H$33,Tabela!$H$33)))</f>
        <v/>
      </c>
      <c r="AJ155" s="30" t="str">
        <f t="shared" si="26"/>
        <v/>
      </c>
    </row>
    <row r="156" spans="1:36" x14ac:dyDescent="0.2">
      <c r="A156" s="66" t="str">
        <f>ESTRUTURA!A156</f>
        <v/>
      </c>
      <c r="B156" s="58">
        <f t="shared" si="32"/>
        <v>0</v>
      </c>
      <c r="C156" s="60" t="str">
        <f t="shared" ref="C156:R171" si="35">IF($A156="","",IF(C$6="NÃO",0,0))</f>
        <v/>
      </c>
      <c r="D156" s="30" t="str">
        <f t="shared" si="35"/>
        <v/>
      </c>
      <c r="E156" s="60" t="str">
        <f t="shared" si="35"/>
        <v/>
      </c>
      <c r="F156" s="30" t="str">
        <f>IF($A156="","",IF(F$6="NÃO",0,Tabela!$H$34*ESTRUTURA!$I$4))</f>
        <v/>
      </c>
      <c r="G156" s="60" t="str">
        <f t="shared" si="35"/>
        <v/>
      </c>
      <c r="H156" s="30" t="str">
        <f>IF($A156="","",IF(H$6="NÃO",0,IF($A156=0,DATEDIF(ESTRUTURA!$F$3,ESTRUTURA!$F$4,"m")*Tabela!$H$6,Tabela!$H$6)))</f>
        <v/>
      </c>
      <c r="I156" s="60" t="str">
        <f t="shared" si="35"/>
        <v/>
      </c>
      <c r="J156" s="30" t="str">
        <f>IF($A156="","",IF(J$6="NÃO",0,IF($A156=0,DATEDIF(ESTRUTURA!$F$3,ESTRUTURA!$F$4,"m")*Tabela!$H$8,IF(J$6="NÃO",0,Tabela!$H$8))))</f>
        <v/>
      </c>
      <c r="K156" s="60" t="str">
        <f t="shared" si="35"/>
        <v/>
      </c>
      <c r="L156" s="30" t="str">
        <f t="shared" si="35"/>
        <v/>
      </c>
      <c r="M156" s="60" t="str">
        <f t="shared" si="35"/>
        <v/>
      </c>
      <c r="N156" s="30" t="str">
        <f t="shared" si="35"/>
        <v/>
      </c>
      <c r="O156" s="60" t="str">
        <f t="shared" si="35"/>
        <v/>
      </c>
      <c r="P156" s="30" t="str">
        <f t="shared" si="33"/>
        <v/>
      </c>
      <c r="Q156" s="60" t="str">
        <f t="shared" si="35"/>
        <v/>
      </c>
      <c r="R156" s="30" t="str">
        <f t="shared" si="35"/>
        <v/>
      </c>
      <c r="S156" s="60" t="str">
        <f>IF($A156="","",IF(S$6="NÃO",0,IF($A156=0,DATEDIF(ESTRUTURA!$F$3,ESTRUTURA!$F$4,"m")*Tabela!$H$17,Tabela!$H$17)))</f>
        <v/>
      </c>
      <c r="T156" s="30" t="str">
        <f>IF($A156="","",IF(T$6="NÃO",0,IF($A156=0,DATEDIF(ESTRUTURA!$F$3,ESTRUTURA!$F$4,"m")*Tabela!$H$18,Tabela!$H$18)))</f>
        <v/>
      </c>
      <c r="U156" s="60" t="str">
        <f t="shared" si="34"/>
        <v/>
      </c>
      <c r="V156" s="30" t="str">
        <f>IF($A156="","",IF(V$6="NÃO",0,IF($A156=0,DATEDIF(ESTRUTURA!$F$3,ESTRUTURA!$F$4,"m")*Tabela!$H$20,Tabela!$H$20)))</f>
        <v/>
      </c>
      <c r="W156" s="60" t="str">
        <f t="shared" si="34"/>
        <v/>
      </c>
      <c r="X156" s="30" t="str">
        <f t="shared" si="34"/>
        <v/>
      </c>
      <c r="Y156" s="60" t="str">
        <f>IF($A156="","",IF(Y$6="NÃO",0,IF(A156=0,Tabela!$H$23,IF(Y$7="mensal",Tabela!$H$23,IF(AND(MONTH(ESTRUTURA!C156)=MONTH(ESTRUTURA!$F$3),A156&gt;0),Tabela!$H$23,0)))))</f>
        <v/>
      </c>
      <c r="Z156" s="30" t="str">
        <f t="shared" si="34"/>
        <v/>
      </c>
      <c r="AA156" s="60" t="str">
        <f>IF($A156="","",IF(AA$6="NÃO",0,Tabela!$H$25*nm_séries))</f>
        <v/>
      </c>
      <c r="AB156" s="30" t="str">
        <f t="shared" si="34"/>
        <v/>
      </c>
      <c r="AC156" s="60" t="str">
        <f>IF($A156="","",IF(AC$6="NÃO",0,IF(A156=0,Tabela!$H$27,IF(MOD(A156,3)=0,Tabela!$H$27,0))))</f>
        <v/>
      </c>
      <c r="AD156" s="30" t="str">
        <f t="shared" si="34"/>
        <v/>
      </c>
      <c r="AE156" s="60" t="str">
        <f t="shared" si="34"/>
        <v/>
      </c>
      <c r="AF156" s="30" t="str">
        <f>IF($A156="","",IF(AF$6="NÃO",0,IF(AND(MONTH(ESTRUTURA!C156)=MONTH(ESTRUTURA!$F$3),A156&gt;0),Tabela!$H$30,0)))</f>
        <v/>
      </c>
      <c r="AG156" s="60" t="str">
        <f t="shared" si="34"/>
        <v/>
      </c>
      <c r="AH156" s="30" t="str">
        <f t="shared" si="34"/>
        <v/>
      </c>
      <c r="AI156" s="60" t="str">
        <f>IF($A156="","",IF(AI$6="NÃO",0,IF($A156=0,DATEDIF(ESTRUTURA!$F$3,ESTRUTURA!$F$4,"m")*Tabela!$H$33,Tabela!$H$33)))</f>
        <v/>
      </c>
      <c r="AJ156" s="30" t="str">
        <f t="shared" si="26"/>
        <v/>
      </c>
    </row>
    <row r="157" spans="1:36" x14ac:dyDescent="0.2">
      <c r="A157" s="66" t="str">
        <f>ESTRUTURA!A157</f>
        <v/>
      </c>
      <c r="B157" s="58">
        <f t="shared" si="32"/>
        <v>0</v>
      </c>
      <c r="C157" s="60" t="str">
        <f t="shared" si="35"/>
        <v/>
      </c>
      <c r="D157" s="30" t="str">
        <f t="shared" si="35"/>
        <v/>
      </c>
      <c r="E157" s="60" t="str">
        <f t="shared" si="35"/>
        <v/>
      </c>
      <c r="F157" s="30" t="str">
        <f>IF($A157="","",IF(F$6="NÃO",0,Tabela!$H$34*ESTRUTURA!$I$4))</f>
        <v/>
      </c>
      <c r="G157" s="60" t="str">
        <f t="shared" si="35"/>
        <v/>
      </c>
      <c r="H157" s="30" t="str">
        <f>IF($A157="","",IF(H$6="NÃO",0,IF($A157=0,DATEDIF(ESTRUTURA!$F$3,ESTRUTURA!$F$4,"m")*Tabela!$H$6,Tabela!$H$6)))</f>
        <v/>
      </c>
      <c r="I157" s="60" t="str">
        <f t="shared" si="35"/>
        <v/>
      </c>
      <c r="J157" s="30" t="str">
        <f>IF($A157="","",IF(J$6="NÃO",0,IF($A157=0,DATEDIF(ESTRUTURA!$F$3,ESTRUTURA!$F$4,"m")*Tabela!$H$8,IF(J$6="NÃO",0,Tabela!$H$8))))</f>
        <v/>
      </c>
      <c r="K157" s="60" t="str">
        <f t="shared" si="35"/>
        <v/>
      </c>
      <c r="L157" s="30" t="str">
        <f t="shared" si="35"/>
        <v/>
      </c>
      <c r="M157" s="60" t="str">
        <f t="shared" si="35"/>
        <v/>
      </c>
      <c r="N157" s="30" t="str">
        <f t="shared" si="35"/>
        <v/>
      </c>
      <c r="O157" s="60" t="str">
        <f t="shared" si="35"/>
        <v/>
      </c>
      <c r="P157" s="30" t="str">
        <f t="shared" si="33"/>
        <v/>
      </c>
      <c r="Q157" s="60" t="str">
        <f t="shared" si="35"/>
        <v/>
      </c>
      <c r="R157" s="30" t="str">
        <f t="shared" si="35"/>
        <v/>
      </c>
      <c r="S157" s="60" t="str">
        <f>IF($A157="","",IF(S$6="NÃO",0,IF($A157=0,DATEDIF(ESTRUTURA!$F$3,ESTRUTURA!$F$4,"m")*Tabela!$H$17,Tabela!$H$17)))</f>
        <v/>
      </c>
      <c r="T157" s="30" t="str">
        <f>IF($A157="","",IF(T$6="NÃO",0,IF($A157=0,DATEDIF(ESTRUTURA!$F$3,ESTRUTURA!$F$4,"m")*Tabela!$H$18,Tabela!$H$18)))</f>
        <v/>
      </c>
      <c r="U157" s="60" t="str">
        <f t="shared" si="34"/>
        <v/>
      </c>
      <c r="V157" s="30" t="str">
        <f>IF($A157="","",IF(V$6="NÃO",0,IF($A157=0,DATEDIF(ESTRUTURA!$F$3,ESTRUTURA!$F$4,"m")*Tabela!$H$20,Tabela!$H$20)))</f>
        <v/>
      </c>
      <c r="W157" s="60" t="str">
        <f t="shared" si="34"/>
        <v/>
      </c>
      <c r="X157" s="30" t="str">
        <f t="shared" si="34"/>
        <v/>
      </c>
      <c r="Y157" s="60" t="str">
        <f>IF($A157="","",IF(Y$6="NÃO",0,IF(A157=0,Tabela!$H$23,IF(Y$7="mensal",Tabela!$H$23,IF(AND(MONTH(ESTRUTURA!C157)=MONTH(ESTRUTURA!$F$3),A157&gt;0),Tabela!$H$23,0)))))</f>
        <v/>
      </c>
      <c r="Z157" s="30" t="str">
        <f t="shared" si="34"/>
        <v/>
      </c>
      <c r="AA157" s="60" t="str">
        <f>IF($A157="","",IF(AA$6="NÃO",0,Tabela!$H$25*nm_séries))</f>
        <v/>
      </c>
      <c r="AB157" s="30" t="str">
        <f t="shared" si="34"/>
        <v/>
      </c>
      <c r="AC157" s="60" t="str">
        <f>IF($A157="","",IF(AC$6="NÃO",0,IF(A157=0,Tabela!$H$27,IF(MOD(A157,3)=0,Tabela!$H$27,0))))</f>
        <v/>
      </c>
      <c r="AD157" s="30" t="str">
        <f t="shared" si="34"/>
        <v/>
      </c>
      <c r="AE157" s="60" t="str">
        <f t="shared" si="34"/>
        <v/>
      </c>
      <c r="AF157" s="30" t="str">
        <f>IF($A157="","",IF(AF$6="NÃO",0,IF(AND(MONTH(ESTRUTURA!C157)=MONTH(ESTRUTURA!$F$3),A157&gt;0),Tabela!$H$30,0)))</f>
        <v/>
      </c>
      <c r="AG157" s="60" t="str">
        <f t="shared" si="34"/>
        <v/>
      </c>
      <c r="AH157" s="30" t="str">
        <f t="shared" si="34"/>
        <v/>
      </c>
      <c r="AI157" s="60" t="str">
        <f>IF($A157="","",IF(AI$6="NÃO",0,IF($A157=0,DATEDIF(ESTRUTURA!$F$3,ESTRUTURA!$F$4,"m")*Tabela!$H$33,Tabela!$H$33)))</f>
        <v/>
      </c>
      <c r="AJ157" s="30" t="str">
        <f t="shared" si="26"/>
        <v/>
      </c>
    </row>
    <row r="158" spans="1:36" x14ac:dyDescent="0.2">
      <c r="A158" s="66" t="str">
        <f>ESTRUTURA!A158</f>
        <v/>
      </c>
      <c r="B158" s="58">
        <f t="shared" si="32"/>
        <v>0</v>
      </c>
      <c r="C158" s="60" t="str">
        <f t="shared" si="35"/>
        <v/>
      </c>
      <c r="D158" s="30" t="str">
        <f t="shared" si="35"/>
        <v/>
      </c>
      <c r="E158" s="60" t="str">
        <f t="shared" si="35"/>
        <v/>
      </c>
      <c r="F158" s="30" t="str">
        <f>IF($A158="","",IF(F$6="NÃO",0,Tabela!$H$34*ESTRUTURA!$I$4))</f>
        <v/>
      </c>
      <c r="G158" s="60" t="str">
        <f t="shared" si="35"/>
        <v/>
      </c>
      <c r="H158" s="30" t="str">
        <f>IF($A158="","",IF(H$6="NÃO",0,IF($A158=0,DATEDIF(ESTRUTURA!$F$3,ESTRUTURA!$F$4,"m")*Tabela!$H$6,Tabela!$H$6)))</f>
        <v/>
      </c>
      <c r="I158" s="60" t="str">
        <f t="shared" si="35"/>
        <v/>
      </c>
      <c r="J158" s="30" t="str">
        <f>IF($A158="","",IF(J$6="NÃO",0,IF($A158=0,DATEDIF(ESTRUTURA!$F$3,ESTRUTURA!$F$4,"m")*Tabela!$H$8,IF(J$6="NÃO",0,Tabela!$H$8))))</f>
        <v/>
      </c>
      <c r="K158" s="60" t="str">
        <f t="shared" si="35"/>
        <v/>
      </c>
      <c r="L158" s="30" t="str">
        <f t="shared" si="35"/>
        <v/>
      </c>
      <c r="M158" s="60" t="str">
        <f t="shared" si="35"/>
        <v/>
      </c>
      <c r="N158" s="30" t="str">
        <f t="shared" si="35"/>
        <v/>
      </c>
      <c r="O158" s="60" t="str">
        <f t="shared" si="35"/>
        <v/>
      </c>
      <c r="P158" s="30" t="str">
        <f t="shared" si="33"/>
        <v/>
      </c>
      <c r="Q158" s="60" t="str">
        <f t="shared" si="35"/>
        <v/>
      </c>
      <c r="R158" s="30" t="str">
        <f t="shared" si="35"/>
        <v/>
      </c>
      <c r="S158" s="60" t="str">
        <f>IF($A158="","",IF(S$6="NÃO",0,IF($A158=0,DATEDIF(ESTRUTURA!$F$3,ESTRUTURA!$F$4,"m")*Tabela!$H$17,Tabela!$H$17)))</f>
        <v/>
      </c>
      <c r="T158" s="30" t="str">
        <f>IF($A158="","",IF(T$6="NÃO",0,IF($A158=0,DATEDIF(ESTRUTURA!$F$3,ESTRUTURA!$F$4,"m")*Tabela!$H$18,Tabela!$H$18)))</f>
        <v/>
      </c>
      <c r="U158" s="60" t="str">
        <f t="shared" si="34"/>
        <v/>
      </c>
      <c r="V158" s="30" t="str">
        <f>IF($A158="","",IF(V$6="NÃO",0,IF($A158=0,DATEDIF(ESTRUTURA!$F$3,ESTRUTURA!$F$4,"m")*Tabela!$H$20,Tabela!$H$20)))</f>
        <v/>
      </c>
      <c r="W158" s="60" t="str">
        <f t="shared" si="34"/>
        <v/>
      </c>
      <c r="X158" s="30" t="str">
        <f t="shared" si="34"/>
        <v/>
      </c>
      <c r="Y158" s="60" t="str">
        <f>IF($A158="","",IF(Y$6="NÃO",0,IF(A158=0,Tabela!$H$23,IF(Y$7="mensal",Tabela!$H$23,IF(AND(MONTH(ESTRUTURA!C158)=MONTH(ESTRUTURA!$F$3),A158&gt;0),Tabela!$H$23,0)))))</f>
        <v/>
      </c>
      <c r="Z158" s="30" t="str">
        <f t="shared" si="34"/>
        <v/>
      </c>
      <c r="AA158" s="60" t="str">
        <f>IF($A158="","",IF(AA$6="NÃO",0,Tabela!$H$25*nm_séries))</f>
        <v/>
      </c>
      <c r="AB158" s="30" t="str">
        <f t="shared" si="34"/>
        <v/>
      </c>
      <c r="AC158" s="60" t="str">
        <f>IF($A158="","",IF(AC$6="NÃO",0,IF(A158=0,Tabela!$H$27,IF(MOD(A158,3)=0,Tabela!$H$27,0))))</f>
        <v/>
      </c>
      <c r="AD158" s="30" t="str">
        <f t="shared" si="34"/>
        <v/>
      </c>
      <c r="AE158" s="60" t="str">
        <f t="shared" si="34"/>
        <v/>
      </c>
      <c r="AF158" s="30" t="str">
        <f>IF($A158="","",IF(AF$6="NÃO",0,IF(AND(MONTH(ESTRUTURA!C158)=MONTH(ESTRUTURA!$F$3),A158&gt;0),Tabela!$H$30,0)))</f>
        <v/>
      </c>
      <c r="AG158" s="60" t="str">
        <f t="shared" si="34"/>
        <v/>
      </c>
      <c r="AH158" s="30" t="str">
        <f t="shared" si="34"/>
        <v/>
      </c>
      <c r="AI158" s="60" t="str">
        <f>IF($A158="","",IF(AI$6="NÃO",0,IF($A158=0,DATEDIF(ESTRUTURA!$F$3,ESTRUTURA!$F$4,"m")*Tabela!$H$33,Tabela!$H$33)))</f>
        <v/>
      </c>
      <c r="AJ158" s="30" t="str">
        <f t="shared" si="26"/>
        <v/>
      </c>
    </row>
    <row r="159" spans="1:36" x14ac:dyDescent="0.2">
      <c r="A159" s="66" t="str">
        <f>ESTRUTURA!A159</f>
        <v/>
      </c>
      <c r="B159" s="58">
        <f t="shared" si="32"/>
        <v>0</v>
      </c>
      <c r="C159" s="60" t="str">
        <f t="shared" si="35"/>
        <v/>
      </c>
      <c r="D159" s="30" t="str">
        <f t="shared" si="35"/>
        <v/>
      </c>
      <c r="E159" s="60" t="str">
        <f t="shared" si="35"/>
        <v/>
      </c>
      <c r="F159" s="30" t="str">
        <f>IF($A159="","",IF(F$6="NÃO",0,Tabela!$H$34*ESTRUTURA!$I$4))</f>
        <v/>
      </c>
      <c r="G159" s="60" t="str">
        <f t="shared" si="35"/>
        <v/>
      </c>
      <c r="H159" s="30" t="str">
        <f>IF($A159="","",IF(H$6="NÃO",0,IF($A159=0,DATEDIF(ESTRUTURA!$F$3,ESTRUTURA!$F$4,"m")*Tabela!$H$6,Tabela!$H$6)))</f>
        <v/>
      </c>
      <c r="I159" s="60" t="str">
        <f t="shared" si="35"/>
        <v/>
      </c>
      <c r="J159" s="30" t="str">
        <f>IF($A159="","",IF(J$6="NÃO",0,IF($A159=0,DATEDIF(ESTRUTURA!$F$3,ESTRUTURA!$F$4,"m")*Tabela!$H$8,IF(J$6="NÃO",0,Tabela!$H$8))))</f>
        <v/>
      </c>
      <c r="K159" s="60" t="str">
        <f t="shared" si="35"/>
        <v/>
      </c>
      <c r="L159" s="30" t="str">
        <f t="shared" si="35"/>
        <v/>
      </c>
      <c r="M159" s="60" t="str">
        <f t="shared" si="35"/>
        <v/>
      </c>
      <c r="N159" s="30" t="str">
        <f t="shared" si="35"/>
        <v/>
      </c>
      <c r="O159" s="60" t="str">
        <f t="shared" si="35"/>
        <v/>
      </c>
      <c r="P159" s="30" t="str">
        <f t="shared" si="33"/>
        <v/>
      </c>
      <c r="Q159" s="60" t="str">
        <f t="shared" si="35"/>
        <v/>
      </c>
      <c r="R159" s="30" t="str">
        <f t="shared" si="35"/>
        <v/>
      </c>
      <c r="S159" s="60" t="str">
        <f>IF($A159="","",IF(S$6="NÃO",0,IF($A159=0,DATEDIF(ESTRUTURA!$F$3,ESTRUTURA!$F$4,"m")*Tabela!$H$17,Tabela!$H$17)))</f>
        <v/>
      </c>
      <c r="T159" s="30" t="str">
        <f>IF($A159="","",IF(T$6="NÃO",0,IF($A159=0,DATEDIF(ESTRUTURA!$F$3,ESTRUTURA!$F$4,"m")*Tabela!$H$18,Tabela!$H$18)))</f>
        <v/>
      </c>
      <c r="U159" s="60" t="str">
        <f t="shared" si="34"/>
        <v/>
      </c>
      <c r="V159" s="30" t="str">
        <f>IF($A159="","",IF(V$6="NÃO",0,IF($A159=0,DATEDIF(ESTRUTURA!$F$3,ESTRUTURA!$F$4,"m")*Tabela!$H$20,Tabela!$H$20)))</f>
        <v/>
      </c>
      <c r="W159" s="60" t="str">
        <f t="shared" si="34"/>
        <v/>
      </c>
      <c r="X159" s="30" t="str">
        <f t="shared" si="34"/>
        <v/>
      </c>
      <c r="Y159" s="60" t="str">
        <f>IF($A159="","",IF(Y$6="NÃO",0,IF(A159=0,Tabela!$H$23,IF(Y$7="mensal",Tabela!$H$23,IF(AND(MONTH(ESTRUTURA!C159)=MONTH(ESTRUTURA!$F$3),A159&gt;0),Tabela!$H$23,0)))))</f>
        <v/>
      </c>
      <c r="Z159" s="30" t="str">
        <f t="shared" si="34"/>
        <v/>
      </c>
      <c r="AA159" s="60" t="str">
        <f>IF($A159="","",IF(AA$6="NÃO",0,Tabela!$H$25*nm_séries))</f>
        <v/>
      </c>
      <c r="AB159" s="30" t="str">
        <f t="shared" si="34"/>
        <v/>
      </c>
      <c r="AC159" s="60" t="str">
        <f>IF($A159="","",IF(AC$6="NÃO",0,IF(A159=0,Tabela!$H$27,IF(MOD(A159,3)=0,Tabela!$H$27,0))))</f>
        <v/>
      </c>
      <c r="AD159" s="30" t="str">
        <f t="shared" si="34"/>
        <v/>
      </c>
      <c r="AE159" s="60" t="str">
        <f t="shared" si="34"/>
        <v/>
      </c>
      <c r="AF159" s="30" t="str">
        <f>IF($A159="","",IF(AF$6="NÃO",0,IF(AND(MONTH(ESTRUTURA!C159)=MONTH(ESTRUTURA!$F$3),A159&gt;0),Tabela!$H$30,0)))</f>
        <v/>
      </c>
      <c r="AG159" s="60" t="str">
        <f t="shared" si="34"/>
        <v/>
      </c>
      <c r="AH159" s="30" t="str">
        <f t="shared" si="34"/>
        <v/>
      </c>
      <c r="AI159" s="60" t="str">
        <f>IF($A159="","",IF(AI$6="NÃO",0,IF($A159=0,DATEDIF(ESTRUTURA!$F$3,ESTRUTURA!$F$4,"m")*Tabela!$H$33,Tabela!$H$33)))</f>
        <v/>
      </c>
      <c r="AJ159" s="30" t="str">
        <f t="shared" si="26"/>
        <v/>
      </c>
    </row>
    <row r="160" spans="1:36" x14ac:dyDescent="0.2">
      <c r="A160" s="66" t="str">
        <f>ESTRUTURA!A160</f>
        <v/>
      </c>
      <c r="B160" s="58">
        <f t="shared" si="32"/>
        <v>0</v>
      </c>
      <c r="C160" s="60" t="str">
        <f t="shared" si="35"/>
        <v/>
      </c>
      <c r="D160" s="30" t="str">
        <f t="shared" si="35"/>
        <v/>
      </c>
      <c r="E160" s="60" t="str">
        <f t="shared" si="35"/>
        <v/>
      </c>
      <c r="F160" s="30" t="str">
        <f>IF($A160="","",IF(F$6="NÃO",0,Tabela!$H$34*ESTRUTURA!$I$4))</f>
        <v/>
      </c>
      <c r="G160" s="60" t="str">
        <f t="shared" si="35"/>
        <v/>
      </c>
      <c r="H160" s="30" t="str">
        <f>IF($A160="","",IF(H$6="NÃO",0,IF($A160=0,DATEDIF(ESTRUTURA!$F$3,ESTRUTURA!$F$4,"m")*Tabela!$H$6,Tabela!$H$6)))</f>
        <v/>
      </c>
      <c r="I160" s="60" t="str">
        <f t="shared" si="35"/>
        <v/>
      </c>
      <c r="J160" s="30" t="str">
        <f>IF($A160="","",IF(J$6="NÃO",0,IF($A160=0,DATEDIF(ESTRUTURA!$F$3,ESTRUTURA!$F$4,"m")*Tabela!$H$8,IF(J$6="NÃO",0,Tabela!$H$8))))</f>
        <v/>
      </c>
      <c r="K160" s="60" t="str">
        <f t="shared" si="35"/>
        <v/>
      </c>
      <c r="L160" s="30" t="str">
        <f t="shared" si="35"/>
        <v/>
      </c>
      <c r="M160" s="60" t="str">
        <f t="shared" si="35"/>
        <v/>
      </c>
      <c r="N160" s="30" t="str">
        <f t="shared" si="35"/>
        <v/>
      </c>
      <c r="O160" s="60" t="str">
        <f t="shared" si="35"/>
        <v/>
      </c>
      <c r="P160" s="30" t="str">
        <f t="shared" si="33"/>
        <v/>
      </c>
      <c r="Q160" s="60" t="str">
        <f t="shared" si="35"/>
        <v/>
      </c>
      <c r="R160" s="30" t="str">
        <f t="shared" si="35"/>
        <v/>
      </c>
      <c r="S160" s="60" t="str">
        <f>IF($A160="","",IF(S$6="NÃO",0,IF($A160=0,DATEDIF(ESTRUTURA!$F$3,ESTRUTURA!$F$4,"m")*Tabela!$H$17,Tabela!$H$17)))</f>
        <v/>
      </c>
      <c r="T160" s="30" t="str">
        <f>IF($A160="","",IF(T$6="NÃO",0,IF($A160=0,DATEDIF(ESTRUTURA!$F$3,ESTRUTURA!$F$4,"m")*Tabela!$H$18,Tabela!$H$18)))</f>
        <v/>
      </c>
      <c r="U160" s="60" t="str">
        <f t="shared" si="34"/>
        <v/>
      </c>
      <c r="V160" s="30" t="str">
        <f>IF($A160="","",IF(V$6="NÃO",0,IF($A160=0,DATEDIF(ESTRUTURA!$F$3,ESTRUTURA!$F$4,"m")*Tabela!$H$20,Tabela!$H$20)))</f>
        <v/>
      </c>
      <c r="W160" s="60" t="str">
        <f t="shared" si="34"/>
        <v/>
      </c>
      <c r="X160" s="30" t="str">
        <f t="shared" si="34"/>
        <v/>
      </c>
      <c r="Y160" s="60" t="str">
        <f>IF($A160="","",IF(Y$6="NÃO",0,IF(A160=0,Tabela!$H$23,IF(Y$7="mensal",Tabela!$H$23,IF(AND(MONTH(ESTRUTURA!C160)=MONTH(ESTRUTURA!$F$3),A160&gt;0),Tabela!$H$23,0)))))</f>
        <v/>
      </c>
      <c r="Z160" s="30" t="str">
        <f t="shared" si="34"/>
        <v/>
      </c>
      <c r="AA160" s="60" t="str">
        <f>IF($A160="","",IF(AA$6="NÃO",0,Tabela!$H$25*nm_séries))</f>
        <v/>
      </c>
      <c r="AB160" s="30" t="str">
        <f t="shared" si="34"/>
        <v/>
      </c>
      <c r="AC160" s="60" t="str">
        <f>IF($A160="","",IF(AC$6="NÃO",0,IF(A160=0,Tabela!$H$27,IF(MOD(A160,3)=0,Tabela!$H$27,0))))</f>
        <v/>
      </c>
      <c r="AD160" s="30" t="str">
        <f t="shared" si="34"/>
        <v/>
      </c>
      <c r="AE160" s="60" t="str">
        <f t="shared" si="34"/>
        <v/>
      </c>
      <c r="AF160" s="30" t="str">
        <f>IF($A160="","",IF(AF$6="NÃO",0,IF(AND(MONTH(ESTRUTURA!C160)=MONTH(ESTRUTURA!$F$3),A160&gt;0),Tabela!$H$30,0)))</f>
        <v/>
      </c>
      <c r="AG160" s="60" t="str">
        <f t="shared" si="34"/>
        <v/>
      </c>
      <c r="AH160" s="30" t="str">
        <f t="shared" si="34"/>
        <v/>
      </c>
      <c r="AI160" s="60" t="str">
        <f>IF($A160="","",IF(AI$6="NÃO",0,IF($A160=0,DATEDIF(ESTRUTURA!$F$3,ESTRUTURA!$F$4,"m")*Tabela!$H$33,Tabela!$H$33)))</f>
        <v/>
      </c>
      <c r="AJ160" s="30" t="str">
        <f t="shared" si="26"/>
        <v/>
      </c>
    </row>
    <row r="161" spans="1:36" x14ac:dyDescent="0.2">
      <c r="A161" s="66" t="str">
        <f>ESTRUTURA!A161</f>
        <v/>
      </c>
      <c r="B161" s="58">
        <f t="shared" si="32"/>
        <v>0</v>
      </c>
      <c r="C161" s="60" t="str">
        <f t="shared" si="35"/>
        <v/>
      </c>
      <c r="D161" s="30" t="str">
        <f t="shared" si="35"/>
        <v/>
      </c>
      <c r="E161" s="60" t="str">
        <f t="shared" si="35"/>
        <v/>
      </c>
      <c r="F161" s="30" t="str">
        <f>IF($A161="","",IF(F$6="NÃO",0,Tabela!$H$34*ESTRUTURA!$I$4))</f>
        <v/>
      </c>
      <c r="G161" s="60" t="str">
        <f t="shared" si="35"/>
        <v/>
      </c>
      <c r="H161" s="30" t="str">
        <f>IF($A161="","",IF(H$6="NÃO",0,IF($A161=0,DATEDIF(ESTRUTURA!$F$3,ESTRUTURA!$F$4,"m")*Tabela!$H$6,Tabela!$H$6)))</f>
        <v/>
      </c>
      <c r="I161" s="60" t="str">
        <f t="shared" si="35"/>
        <v/>
      </c>
      <c r="J161" s="30" t="str">
        <f>IF($A161="","",IF(J$6="NÃO",0,IF($A161=0,DATEDIF(ESTRUTURA!$F$3,ESTRUTURA!$F$4,"m")*Tabela!$H$8,IF(J$6="NÃO",0,Tabela!$H$8))))</f>
        <v/>
      </c>
      <c r="K161" s="60" t="str">
        <f t="shared" si="35"/>
        <v/>
      </c>
      <c r="L161" s="30" t="str">
        <f t="shared" si="35"/>
        <v/>
      </c>
      <c r="M161" s="60" t="str">
        <f t="shared" si="35"/>
        <v/>
      </c>
      <c r="N161" s="30" t="str">
        <f t="shared" si="35"/>
        <v/>
      </c>
      <c r="O161" s="60" t="str">
        <f t="shared" si="35"/>
        <v/>
      </c>
      <c r="P161" s="30" t="str">
        <f t="shared" si="33"/>
        <v/>
      </c>
      <c r="Q161" s="60" t="str">
        <f t="shared" si="35"/>
        <v/>
      </c>
      <c r="R161" s="30" t="str">
        <f t="shared" si="35"/>
        <v/>
      </c>
      <c r="S161" s="60" t="str">
        <f>IF($A161="","",IF(S$6="NÃO",0,IF($A161=0,DATEDIF(ESTRUTURA!$F$3,ESTRUTURA!$F$4,"m")*Tabela!$H$17,Tabela!$H$17)))</f>
        <v/>
      </c>
      <c r="T161" s="30" t="str">
        <f>IF($A161="","",IF(T$6="NÃO",0,IF($A161=0,DATEDIF(ESTRUTURA!$F$3,ESTRUTURA!$F$4,"m")*Tabela!$H$18,Tabela!$H$18)))</f>
        <v/>
      </c>
      <c r="U161" s="60" t="str">
        <f t="shared" si="34"/>
        <v/>
      </c>
      <c r="V161" s="30" t="str">
        <f>IF($A161="","",IF(V$6="NÃO",0,IF($A161=0,DATEDIF(ESTRUTURA!$F$3,ESTRUTURA!$F$4,"m")*Tabela!$H$20,Tabela!$H$20)))</f>
        <v/>
      </c>
      <c r="W161" s="60" t="str">
        <f t="shared" si="34"/>
        <v/>
      </c>
      <c r="X161" s="30" t="str">
        <f t="shared" si="34"/>
        <v/>
      </c>
      <c r="Y161" s="60" t="str">
        <f>IF($A161="","",IF(Y$6="NÃO",0,IF(A161=0,Tabela!$H$23,IF(Y$7="mensal",Tabela!$H$23,IF(AND(MONTH(ESTRUTURA!C161)=MONTH(ESTRUTURA!$F$3),A161&gt;0),Tabela!$H$23,0)))))</f>
        <v/>
      </c>
      <c r="Z161" s="30" t="str">
        <f t="shared" si="34"/>
        <v/>
      </c>
      <c r="AA161" s="60" t="str">
        <f>IF($A161="","",IF(AA$6="NÃO",0,Tabela!$H$25*nm_séries))</f>
        <v/>
      </c>
      <c r="AB161" s="30" t="str">
        <f t="shared" si="34"/>
        <v/>
      </c>
      <c r="AC161" s="60" t="str">
        <f>IF($A161="","",IF(AC$6="NÃO",0,IF(A161=0,Tabela!$H$27,IF(MOD(A161,3)=0,Tabela!$H$27,0))))</f>
        <v/>
      </c>
      <c r="AD161" s="30" t="str">
        <f t="shared" si="34"/>
        <v/>
      </c>
      <c r="AE161" s="60" t="str">
        <f t="shared" si="34"/>
        <v/>
      </c>
      <c r="AF161" s="30" t="str">
        <f>IF($A161="","",IF(AF$6="NÃO",0,IF(AND(MONTH(ESTRUTURA!C161)=MONTH(ESTRUTURA!$F$3),A161&gt;0),Tabela!$H$30,0)))</f>
        <v/>
      </c>
      <c r="AG161" s="60" t="str">
        <f t="shared" si="34"/>
        <v/>
      </c>
      <c r="AH161" s="30" t="str">
        <f t="shared" si="34"/>
        <v/>
      </c>
      <c r="AI161" s="60" t="str">
        <f>IF($A161="","",IF(AI$6="NÃO",0,IF($A161=0,DATEDIF(ESTRUTURA!$F$3,ESTRUTURA!$F$4,"m")*Tabela!$H$33,Tabela!$H$33)))</f>
        <v/>
      </c>
      <c r="AJ161" s="30" t="str">
        <f t="shared" si="26"/>
        <v/>
      </c>
    </row>
    <row r="162" spans="1:36" x14ac:dyDescent="0.2">
      <c r="A162" s="66" t="str">
        <f>ESTRUTURA!A162</f>
        <v/>
      </c>
      <c r="B162" s="58">
        <f t="shared" si="32"/>
        <v>0</v>
      </c>
      <c r="C162" s="60" t="str">
        <f t="shared" si="35"/>
        <v/>
      </c>
      <c r="D162" s="30" t="str">
        <f t="shared" si="35"/>
        <v/>
      </c>
      <c r="E162" s="60" t="str">
        <f t="shared" si="35"/>
        <v/>
      </c>
      <c r="F162" s="30" t="str">
        <f>IF($A162="","",IF(F$6="NÃO",0,Tabela!$H$34*ESTRUTURA!$I$4))</f>
        <v/>
      </c>
      <c r="G162" s="60" t="str">
        <f t="shared" si="35"/>
        <v/>
      </c>
      <c r="H162" s="30" t="str">
        <f>IF($A162="","",IF(H$6="NÃO",0,IF($A162=0,DATEDIF(ESTRUTURA!$F$3,ESTRUTURA!$F$4,"m")*Tabela!$H$6,Tabela!$H$6)))</f>
        <v/>
      </c>
      <c r="I162" s="60" t="str">
        <f t="shared" si="35"/>
        <v/>
      </c>
      <c r="J162" s="30" t="str">
        <f>IF($A162="","",IF(J$6="NÃO",0,IF($A162=0,DATEDIF(ESTRUTURA!$F$3,ESTRUTURA!$F$4,"m")*Tabela!$H$8,IF(J$6="NÃO",0,Tabela!$H$8))))</f>
        <v/>
      </c>
      <c r="K162" s="60" t="str">
        <f t="shared" si="35"/>
        <v/>
      </c>
      <c r="L162" s="30" t="str">
        <f t="shared" si="35"/>
        <v/>
      </c>
      <c r="M162" s="60" t="str">
        <f t="shared" si="35"/>
        <v/>
      </c>
      <c r="N162" s="30" t="str">
        <f t="shared" si="35"/>
        <v/>
      </c>
      <c r="O162" s="60" t="str">
        <f t="shared" si="35"/>
        <v/>
      </c>
      <c r="P162" s="30" t="str">
        <f t="shared" si="33"/>
        <v/>
      </c>
      <c r="Q162" s="60" t="str">
        <f t="shared" si="35"/>
        <v/>
      </c>
      <c r="R162" s="30" t="str">
        <f t="shared" si="35"/>
        <v/>
      </c>
      <c r="S162" s="60" t="str">
        <f>IF($A162="","",IF(S$6="NÃO",0,IF($A162=0,DATEDIF(ESTRUTURA!$F$3,ESTRUTURA!$F$4,"m")*Tabela!$H$17,Tabela!$H$17)))</f>
        <v/>
      </c>
      <c r="T162" s="30" t="str">
        <f>IF($A162="","",IF(T$6="NÃO",0,IF($A162=0,DATEDIF(ESTRUTURA!$F$3,ESTRUTURA!$F$4,"m")*Tabela!$H$18,Tabela!$H$18)))</f>
        <v/>
      </c>
      <c r="U162" s="60" t="str">
        <f t="shared" si="34"/>
        <v/>
      </c>
      <c r="V162" s="30" t="str">
        <f>IF($A162="","",IF(V$6="NÃO",0,IF($A162=0,DATEDIF(ESTRUTURA!$F$3,ESTRUTURA!$F$4,"m")*Tabela!$H$20,Tabela!$H$20)))</f>
        <v/>
      </c>
      <c r="W162" s="60" t="str">
        <f t="shared" si="34"/>
        <v/>
      </c>
      <c r="X162" s="30" t="str">
        <f t="shared" si="34"/>
        <v/>
      </c>
      <c r="Y162" s="60" t="str">
        <f>IF($A162="","",IF(Y$6="NÃO",0,IF(A162=0,Tabela!$H$23,IF(Y$7="mensal",Tabela!$H$23,IF(AND(MONTH(ESTRUTURA!C162)=MONTH(ESTRUTURA!$F$3),A162&gt;0),Tabela!$H$23,0)))))</f>
        <v/>
      </c>
      <c r="Z162" s="30" t="str">
        <f t="shared" si="34"/>
        <v/>
      </c>
      <c r="AA162" s="60" t="str">
        <f>IF($A162="","",IF(AA$6="NÃO",0,Tabela!$H$25*nm_séries))</f>
        <v/>
      </c>
      <c r="AB162" s="30" t="str">
        <f t="shared" si="34"/>
        <v/>
      </c>
      <c r="AC162" s="60" t="str">
        <f>IF($A162="","",IF(AC$6="NÃO",0,IF(A162=0,Tabela!$H$27,IF(MOD(A162,3)=0,Tabela!$H$27,0))))</f>
        <v/>
      </c>
      <c r="AD162" s="30" t="str">
        <f t="shared" si="34"/>
        <v/>
      </c>
      <c r="AE162" s="60" t="str">
        <f t="shared" si="34"/>
        <v/>
      </c>
      <c r="AF162" s="30" t="str">
        <f>IF($A162="","",IF(AF$6="NÃO",0,IF(AND(MONTH(ESTRUTURA!C162)=MONTH(ESTRUTURA!$F$3),A162&gt;0),Tabela!$H$30,0)))</f>
        <v/>
      </c>
      <c r="AG162" s="60" t="str">
        <f t="shared" si="34"/>
        <v/>
      </c>
      <c r="AH162" s="30" t="str">
        <f t="shared" si="34"/>
        <v/>
      </c>
      <c r="AI162" s="60" t="str">
        <f>IF($A162="","",IF(AI$6="NÃO",0,IF($A162=0,DATEDIF(ESTRUTURA!$F$3,ESTRUTURA!$F$4,"m")*Tabela!$H$33,Tabela!$H$33)))</f>
        <v/>
      </c>
      <c r="AJ162" s="30" t="str">
        <f t="shared" si="26"/>
        <v/>
      </c>
    </row>
    <row r="163" spans="1:36" x14ac:dyDescent="0.2">
      <c r="A163" s="66" t="str">
        <f>ESTRUTURA!A163</f>
        <v/>
      </c>
      <c r="B163" s="58">
        <f t="shared" si="32"/>
        <v>0</v>
      </c>
      <c r="C163" s="60" t="str">
        <f t="shared" si="35"/>
        <v/>
      </c>
      <c r="D163" s="30" t="str">
        <f t="shared" si="35"/>
        <v/>
      </c>
      <c r="E163" s="60" t="str">
        <f t="shared" si="35"/>
        <v/>
      </c>
      <c r="F163" s="30" t="str">
        <f>IF($A163="","",IF(F$6="NÃO",0,Tabela!$H$34*ESTRUTURA!$I$4))</f>
        <v/>
      </c>
      <c r="G163" s="60" t="str">
        <f t="shared" si="35"/>
        <v/>
      </c>
      <c r="H163" s="30" t="str">
        <f>IF($A163="","",IF(H$6="NÃO",0,IF($A163=0,DATEDIF(ESTRUTURA!$F$3,ESTRUTURA!$F$4,"m")*Tabela!$H$6,Tabela!$H$6)))</f>
        <v/>
      </c>
      <c r="I163" s="60" t="str">
        <f t="shared" si="35"/>
        <v/>
      </c>
      <c r="J163" s="30" t="str">
        <f>IF($A163="","",IF(J$6="NÃO",0,IF($A163=0,DATEDIF(ESTRUTURA!$F$3,ESTRUTURA!$F$4,"m")*Tabela!$H$8,IF(J$6="NÃO",0,Tabela!$H$8))))</f>
        <v/>
      </c>
      <c r="K163" s="60" t="str">
        <f t="shared" si="35"/>
        <v/>
      </c>
      <c r="L163" s="30" t="str">
        <f t="shared" si="35"/>
        <v/>
      </c>
      <c r="M163" s="60" t="str">
        <f t="shared" si="35"/>
        <v/>
      </c>
      <c r="N163" s="30" t="str">
        <f t="shared" si="35"/>
        <v/>
      </c>
      <c r="O163" s="60" t="str">
        <f t="shared" si="35"/>
        <v/>
      </c>
      <c r="P163" s="30" t="str">
        <f t="shared" si="33"/>
        <v/>
      </c>
      <c r="Q163" s="60" t="str">
        <f t="shared" si="35"/>
        <v/>
      </c>
      <c r="R163" s="30" t="str">
        <f t="shared" si="35"/>
        <v/>
      </c>
      <c r="S163" s="60" t="str">
        <f>IF($A163="","",IF(S$6="NÃO",0,IF($A163=0,DATEDIF(ESTRUTURA!$F$3,ESTRUTURA!$F$4,"m")*Tabela!$H$17,Tabela!$H$17)))</f>
        <v/>
      </c>
      <c r="T163" s="30" t="str">
        <f>IF($A163="","",IF(T$6="NÃO",0,IF($A163=0,DATEDIF(ESTRUTURA!$F$3,ESTRUTURA!$F$4,"m")*Tabela!$H$18,Tabela!$H$18)))</f>
        <v/>
      </c>
      <c r="U163" s="60" t="str">
        <f t="shared" si="34"/>
        <v/>
      </c>
      <c r="V163" s="30" t="str">
        <f>IF($A163="","",IF(V$6="NÃO",0,IF($A163=0,DATEDIF(ESTRUTURA!$F$3,ESTRUTURA!$F$4,"m")*Tabela!$H$20,Tabela!$H$20)))</f>
        <v/>
      </c>
      <c r="W163" s="60" t="str">
        <f t="shared" si="34"/>
        <v/>
      </c>
      <c r="X163" s="30" t="str">
        <f t="shared" si="34"/>
        <v/>
      </c>
      <c r="Y163" s="60" t="str">
        <f>IF($A163="","",IF(Y$6="NÃO",0,IF(A163=0,Tabela!$H$23,IF(Y$7="mensal",Tabela!$H$23,IF(AND(MONTH(ESTRUTURA!C163)=MONTH(ESTRUTURA!$F$3),A163&gt;0),Tabela!$H$23,0)))))</f>
        <v/>
      </c>
      <c r="Z163" s="30" t="str">
        <f t="shared" si="34"/>
        <v/>
      </c>
      <c r="AA163" s="60" t="str">
        <f>IF($A163="","",IF(AA$6="NÃO",0,Tabela!$H$25*nm_séries))</f>
        <v/>
      </c>
      <c r="AB163" s="30" t="str">
        <f t="shared" si="34"/>
        <v/>
      </c>
      <c r="AC163" s="60" t="str">
        <f>IF($A163="","",IF(AC$6="NÃO",0,IF(A163=0,Tabela!$H$27,IF(MOD(A163,3)=0,Tabela!$H$27,0))))</f>
        <v/>
      </c>
      <c r="AD163" s="30" t="str">
        <f t="shared" si="34"/>
        <v/>
      </c>
      <c r="AE163" s="60" t="str">
        <f t="shared" si="34"/>
        <v/>
      </c>
      <c r="AF163" s="30" t="str">
        <f>IF($A163="","",IF(AF$6="NÃO",0,IF(AND(MONTH(ESTRUTURA!C163)=MONTH(ESTRUTURA!$F$3),A163&gt;0),Tabela!$H$30,0)))</f>
        <v/>
      </c>
      <c r="AG163" s="60" t="str">
        <f t="shared" si="34"/>
        <v/>
      </c>
      <c r="AH163" s="30" t="str">
        <f t="shared" si="34"/>
        <v/>
      </c>
      <c r="AI163" s="60" t="str">
        <f>IF($A163="","",IF(AI$6="NÃO",0,IF($A163=0,DATEDIF(ESTRUTURA!$F$3,ESTRUTURA!$F$4,"m")*Tabela!$H$33,Tabela!$H$33)))</f>
        <v/>
      </c>
      <c r="AJ163" s="30" t="str">
        <f t="shared" si="26"/>
        <v/>
      </c>
    </row>
    <row r="164" spans="1:36" x14ac:dyDescent="0.2">
      <c r="A164" s="66" t="str">
        <f>ESTRUTURA!A164</f>
        <v/>
      </c>
      <c r="B164" s="58">
        <f t="shared" si="32"/>
        <v>0</v>
      </c>
      <c r="C164" s="60" t="str">
        <f t="shared" si="35"/>
        <v/>
      </c>
      <c r="D164" s="30" t="str">
        <f t="shared" si="35"/>
        <v/>
      </c>
      <c r="E164" s="60" t="str">
        <f t="shared" si="35"/>
        <v/>
      </c>
      <c r="F164" s="30" t="str">
        <f>IF($A164="","",IF(F$6="NÃO",0,Tabela!$H$34*ESTRUTURA!$I$4))</f>
        <v/>
      </c>
      <c r="G164" s="60" t="str">
        <f t="shared" si="35"/>
        <v/>
      </c>
      <c r="H164" s="30" t="str">
        <f>IF($A164="","",IF(H$6="NÃO",0,IF($A164=0,DATEDIF(ESTRUTURA!$F$3,ESTRUTURA!$F$4,"m")*Tabela!$H$6,Tabela!$H$6)))</f>
        <v/>
      </c>
      <c r="I164" s="60" t="str">
        <f t="shared" si="35"/>
        <v/>
      </c>
      <c r="J164" s="30" t="str">
        <f>IF($A164="","",IF(J$6="NÃO",0,IF($A164=0,DATEDIF(ESTRUTURA!$F$3,ESTRUTURA!$F$4,"m")*Tabela!$H$8,IF(J$6="NÃO",0,Tabela!$H$8))))</f>
        <v/>
      </c>
      <c r="K164" s="60" t="str">
        <f t="shared" si="35"/>
        <v/>
      </c>
      <c r="L164" s="30" t="str">
        <f t="shared" si="35"/>
        <v/>
      </c>
      <c r="M164" s="60" t="str">
        <f t="shared" si="35"/>
        <v/>
      </c>
      <c r="N164" s="30" t="str">
        <f t="shared" si="35"/>
        <v/>
      </c>
      <c r="O164" s="60" t="str">
        <f t="shared" si="35"/>
        <v/>
      </c>
      <c r="P164" s="30" t="str">
        <f t="shared" si="33"/>
        <v/>
      </c>
      <c r="Q164" s="60" t="str">
        <f t="shared" si="35"/>
        <v/>
      </c>
      <c r="R164" s="30" t="str">
        <f t="shared" si="35"/>
        <v/>
      </c>
      <c r="S164" s="60" t="str">
        <f>IF($A164="","",IF(S$6="NÃO",0,IF($A164=0,DATEDIF(ESTRUTURA!$F$3,ESTRUTURA!$F$4,"m")*Tabela!$H$17,Tabela!$H$17)))</f>
        <v/>
      </c>
      <c r="T164" s="30" t="str">
        <f>IF($A164="","",IF(T$6="NÃO",0,IF($A164=0,DATEDIF(ESTRUTURA!$F$3,ESTRUTURA!$F$4,"m")*Tabela!$H$18,Tabela!$H$18)))</f>
        <v/>
      </c>
      <c r="U164" s="60" t="str">
        <f t="shared" si="34"/>
        <v/>
      </c>
      <c r="V164" s="30" t="str">
        <f>IF($A164="","",IF(V$6="NÃO",0,IF($A164=0,DATEDIF(ESTRUTURA!$F$3,ESTRUTURA!$F$4,"m")*Tabela!$H$20,Tabela!$H$20)))</f>
        <v/>
      </c>
      <c r="W164" s="60" t="str">
        <f t="shared" si="34"/>
        <v/>
      </c>
      <c r="X164" s="30" t="str">
        <f t="shared" si="34"/>
        <v/>
      </c>
      <c r="Y164" s="60" t="str">
        <f>IF($A164="","",IF(Y$6="NÃO",0,IF(A164=0,Tabela!$H$23,IF(Y$7="mensal",Tabela!$H$23,IF(AND(MONTH(ESTRUTURA!C164)=MONTH(ESTRUTURA!$F$3),A164&gt;0),Tabela!$H$23,0)))))</f>
        <v/>
      </c>
      <c r="Z164" s="30" t="str">
        <f t="shared" si="34"/>
        <v/>
      </c>
      <c r="AA164" s="60" t="str">
        <f>IF($A164="","",IF(AA$6="NÃO",0,Tabela!$H$25*nm_séries))</f>
        <v/>
      </c>
      <c r="AB164" s="30" t="str">
        <f t="shared" si="34"/>
        <v/>
      </c>
      <c r="AC164" s="60" t="str">
        <f>IF($A164="","",IF(AC$6="NÃO",0,IF(A164=0,Tabela!$H$27,IF(MOD(A164,3)=0,Tabela!$H$27,0))))</f>
        <v/>
      </c>
      <c r="AD164" s="30" t="str">
        <f t="shared" si="34"/>
        <v/>
      </c>
      <c r="AE164" s="60" t="str">
        <f t="shared" si="34"/>
        <v/>
      </c>
      <c r="AF164" s="30" t="str">
        <f>IF($A164="","",IF(AF$6="NÃO",0,IF(AND(MONTH(ESTRUTURA!C164)=MONTH(ESTRUTURA!$F$3),A164&gt;0),Tabela!$H$30,0)))</f>
        <v/>
      </c>
      <c r="AG164" s="60" t="str">
        <f t="shared" si="34"/>
        <v/>
      </c>
      <c r="AH164" s="30" t="str">
        <f t="shared" si="34"/>
        <v/>
      </c>
      <c r="AI164" s="60" t="str">
        <f>IF($A164="","",IF(AI$6="NÃO",0,IF($A164=0,DATEDIF(ESTRUTURA!$F$3,ESTRUTURA!$F$4,"m")*Tabela!$H$33,Tabela!$H$33)))</f>
        <v/>
      </c>
      <c r="AJ164" s="30" t="str">
        <f t="shared" si="26"/>
        <v/>
      </c>
    </row>
    <row r="165" spans="1:36" x14ac:dyDescent="0.2">
      <c r="A165" s="66" t="str">
        <f>ESTRUTURA!A165</f>
        <v/>
      </c>
      <c r="B165" s="58">
        <f t="shared" si="32"/>
        <v>0</v>
      </c>
      <c r="C165" s="60" t="str">
        <f t="shared" si="35"/>
        <v/>
      </c>
      <c r="D165" s="30" t="str">
        <f t="shared" si="35"/>
        <v/>
      </c>
      <c r="E165" s="60" t="str">
        <f t="shared" si="35"/>
        <v/>
      </c>
      <c r="F165" s="30" t="str">
        <f>IF($A165="","",IF(F$6="NÃO",0,Tabela!$H$34*ESTRUTURA!$I$4))</f>
        <v/>
      </c>
      <c r="G165" s="60" t="str">
        <f t="shared" si="35"/>
        <v/>
      </c>
      <c r="H165" s="30" t="str">
        <f>IF($A165="","",IF(H$6="NÃO",0,IF($A165=0,DATEDIF(ESTRUTURA!$F$3,ESTRUTURA!$F$4,"m")*Tabela!$H$6,Tabela!$H$6)))</f>
        <v/>
      </c>
      <c r="I165" s="60" t="str">
        <f t="shared" si="35"/>
        <v/>
      </c>
      <c r="J165" s="30" t="str">
        <f>IF($A165="","",IF(J$6="NÃO",0,IF($A165=0,DATEDIF(ESTRUTURA!$F$3,ESTRUTURA!$F$4,"m")*Tabela!$H$8,IF(J$6="NÃO",0,Tabela!$H$8))))</f>
        <v/>
      </c>
      <c r="K165" s="60" t="str">
        <f t="shared" si="35"/>
        <v/>
      </c>
      <c r="L165" s="30" t="str">
        <f t="shared" si="35"/>
        <v/>
      </c>
      <c r="M165" s="60" t="str">
        <f t="shared" si="35"/>
        <v/>
      </c>
      <c r="N165" s="30" t="str">
        <f t="shared" si="35"/>
        <v/>
      </c>
      <c r="O165" s="60" t="str">
        <f t="shared" si="35"/>
        <v/>
      </c>
      <c r="P165" s="30" t="str">
        <f t="shared" si="33"/>
        <v/>
      </c>
      <c r="Q165" s="60" t="str">
        <f t="shared" si="35"/>
        <v/>
      </c>
      <c r="R165" s="30" t="str">
        <f t="shared" si="35"/>
        <v/>
      </c>
      <c r="S165" s="60" t="str">
        <f>IF($A165="","",IF(S$6="NÃO",0,IF($A165=0,DATEDIF(ESTRUTURA!$F$3,ESTRUTURA!$F$4,"m")*Tabela!$H$17,Tabela!$H$17)))</f>
        <v/>
      </c>
      <c r="T165" s="30" t="str">
        <f>IF($A165="","",IF(T$6="NÃO",0,IF($A165=0,DATEDIF(ESTRUTURA!$F$3,ESTRUTURA!$F$4,"m")*Tabela!$H$18,Tabela!$H$18)))</f>
        <v/>
      </c>
      <c r="U165" s="60" t="str">
        <f t="shared" si="34"/>
        <v/>
      </c>
      <c r="V165" s="30" t="str">
        <f>IF($A165="","",IF(V$6="NÃO",0,IF($A165=0,DATEDIF(ESTRUTURA!$F$3,ESTRUTURA!$F$4,"m")*Tabela!$H$20,Tabela!$H$20)))</f>
        <v/>
      </c>
      <c r="W165" s="60" t="str">
        <f t="shared" si="34"/>
        <v/>
      </c>
      <c r="X165" s="30" t="str">
        <f t="shared" si="34"/>
        <v/>
      </c>
      <c r="Y165" s="60" t="str">
        <f>IF($A165="","",IF(Y$6="NÃO",0,IF(A165=0,Tabela!$H$23,IF(Y$7="mensal",Tabela!$H$23,IF(AND(MONTH(ESTRUTURA!C165)=MONTH(ESTRUTURA!$F$3),A165&gt;0),Tabela!$H$23,0)))))</f>
        <v/>
      </c>
      <c r="Z165" s="30" t="str">
        <f t="shared" si="34"/>
        <v/>
      </c>
      <c r="AA165" s="60" t="str">
        <f>IF($A165="","",IF(AA$6="NÃO",0,Tabela!$H$25*nm_séries))</f>
        <v/>
      </c>
      <c r="AB165" s="30" t="str">
        <f t="shared" si="34"/>
        <v/>
      </c>
      <c r="AC165" s="60" t="str">
        <f>IF($A165="","",IF(AC$6="NÃO",0,IF(A165=0,Tabela!$H$27,IF(MOD(A165,3)=0,Tabela!$H$27,0))))</f>
        <v/>
      </c>
      <c r="AD165" s="30" t="str">
        <f t="shared" si="34"/>
        <v/>
      </c>
      <c r="AE165" s="60" t="str">
        <f t="shared" si="34"/>
        <v/>
      </c>
      <c r="AF165" s="30" t="str">
        <f>IF($A165="","",IF(AF$6="NÃO",0,IF(AND(MONTH(ESTRUTURA!C165)=MONTH(ESTRUTURA!$F$3),A165&gt;0),Tabela!$H$30,0)))</f>
        <v/>
      </c>
      <c r="AG165" s="60" t="str">
        <f t="shared" si="34"/>
        <v/>
      </c>
      <c r="AH165" s="30" t="str">
        <f t="shared" si="34"/>
        <v/>
      </c>
      <c r="AI165" s="60" t="str">
        <f>IF($A165="","",IF(AI$6="NÃO",0,IF($A165=0,DATEDIF(ESTRUTURA!$F$3,ESTRUTURA!$F$4,"m")*Tabela!$H$33,Tabela!$H$33)))</f>
        <v/>
      </c>
      <c r="AJ165" s="30" t="str">
        <f t="shared" si="26"/>
        <v/>
      </c>
    </row>
    <row r="166" spans="1:36" x14ac:dyDescent="0.2">
      <c r="A166" s="66" t="str">
        <f>ESTRUTURA!A166</f>
        <v/>
      </c>
      <c r="B166" s="58">
        <f t="shared" si="32"/>
        <v>0</v>
      </c>
      <c r="C166" s="60" t="str">
        <f t="shared" si="35"/>
        <v/>
      </c>
      <c r="D166" s="30" t="str">
        <f t="shared" si="35"/>
        <v/>
      </c>
      <c r="E166" s="60" t="str">
        <f t="shared" si="35"/>
        <v/>
      </c>
      <c r="F166" s="30" t="str">
        <f>IF($A166="","",IF(F$6="NÃO",0,Tabela!$H$34*ESTRUTURA!$I$4))</f>
        <v/>
      </c>
      <c r="G166" s="60" t="str">
        <f t="shared" si="35"/>
        <v/>
      </c>
      <c r="H166" s="30" t="str">
        <f>IF($A166="","",IF(H$6="NÃO",0,IF($A166=0,DATEDIF(ESTRUTURA!$F$3,ESTRUTURA!$F$4,"m")*Tabela!$H$6,Tabela!$H$6)))</f>
        <v/>
      </c>
      <c r="I166" s="60" t="str">
        <f t="shared" si="35"/>
        <v/>
      </c>
      <c r="J166" s="30" t="str">
        <f>IF($A166="","",IF(J$6="NÃO",0,IF($A166=0,DATEDIF(ESTRUTURA!$F$3,ESTRUTURA!$F$4,"m")*Tabela!$H$8,IF(J$6="NÃO",0,Tabela!$H$8))))</f>
        <v/>
      </c>
      <c r="K166" s="60" t="str">
        <f t="shared" si="35"/>
        <v/>
      </c>
      <c r="L166" s="30" t="str">
        <f t="shared" si="35"/>
        <v/>
      </c>
      <c r="M166" s="60" t="str">
        <f t="shared" si="35"/>
        <v/>
      </c>
      <c r="N166" s="30" t="str">
        <f t="shared" si="35"/>
        <v/>
      </c>
      <c r="O166" s="60" t="str">
        <f t="shared" si="35"/>
        <v/>
      </c>
      <c r="P166" s="30" t="str">
        <f t="shared" si="33"/>
        <v/>
      </c>
      <c r="Q166" s="60" t="str">
        <f t="shared" si="35"/>
        <v/>
      </c>
      <c r="R166" s="30" t="str">
        <f t="shared" si="35"/>
        <v/>
      </c>
      <c r="S166" s="60" t="str">
        <f>IF($A166="","",IF(S$6="NÃO",0,IF($A166=0,DATEDIF(ESTRUTURA!$F$3,ESTRUTURA!$F$4,"m")*Tabela!$H$17,Tabela!$H$17)))</f>
        <v/>
      </c>
      <c r="T166" s="30" t="str">
        <f>IF($A166="","",IF(T$6="NÃO",0,IF($A166=0,DATEDIF(ESTRUTURA!$F$3,ESTRUTURA!$F$4,"m")*Tabela!$H$18,Tabela!$H$18)))</f>
        <v/>
      </c>
      <c r="U166" s="60" t="str">
        <f t="shared" si="34"/>
        <v/>
      </c>
      <c r="V166" s="30" t="str">
        <f>IF($A166="","",IF(V$6="NÃO",0,IF($A166=0,DATEDIF(ESTRUTURA!$F$3,ESTRUTURA!$F$4,"m")*Tabela!$H$20,Tabela!$H$20)))</f>
        <v/>
      </c>
      <c r="W166" s="60" t="str">
        <f t="shared" si="34"/>
        <v/>
      </c>
      <c r="X166" s="30" t="str">
        <f t="shared" si="34"/>
        <v/>
      </c>
      <c r="Y166" s="60" t="str">
        <f>IF($A166="","",IF(Y$6="NÃO",0,IF(A166=0,Tabela!$H$23,IF(Y$7="mensal",Tabela!$H$23,IF(AND(MONTH(ESTRUTURA!C166)=MONTH(ESTRUTURA!$F$3),A166&gt;0),Tabela!$H$23,0)))))</f>
        <v/>
      </c>
      <c r="Z166" s="30" t="str">
        <f t="shared" si="34"/>
        <v/>
      </c>
      <c r="AA166" s="60" t="str">
        <f>IF($A166="","",IF(AA$6="NÃO",0,Tabela!$H$25*nm_séries))</f>
        <v/>
      </c>
      <c r="AB166" s="30" t="str">
        <f t="shared" si="34"/>
        <v/>
      </c>
      <c r="AC166" s="60" t="str">
        <f>IF($A166="","",IF(AC$6="NÃO",0,IF(A166=0,Tabela!$H$27,IF(MOD(A166,3)=0,Tabela!$H$27,0))))</f>
        <v/>
      </c>
      <c r="AD166" s="30" t="str">
        <f t="shared" si="34"/>
        <v/>
      </c>
      <c r="AE166" s="60" t="str">
        <f t="shared" si="34"/>
        <v/>
      </c>
      <c r="AF166" s="30" t="str">
        <f>IF($A166="","",IF(AF$6="NÃO",0,IF(AND(MONTH(ESTRUTURA!C166)=MONTH(ESTRUTURA!$F$3),A166&gt;0),Tabela!$H$30,0)))</f>
        <v/>
      </c>
      <c r="AG166" s="60" t="str">
        <f t="shared" si="34"/>
        <v/>
      </c>
      <c r="AH166" s="30" t="str">
        <f t="shared" si="34"/>
        <v/>
      </c>
      <c r="AI166" s="60" t="str">
        <f>IF($A166="","",IF(AI$6="NÃO",0,IF($A166=0,DATEDIF(ESTRUTURA!$F$3,ESTRUTURA!$F$4,"m")*Tabela!$H$33,Tabela!$H$33)))</f>
        <v/>
      </c>
      <c r="AJ166" s="30" t="str">
        <f t="shared" si="26"/>
        <v/>
      </c>
    </row>
    <row r="167" spans="1:36" x14ac:dyDescent="0.2">
      <c r="A167" s="66" t="str">
        <f>ESTRUTURA!A167</f>
        <v/>
      </c>
      <c r="B167" s="58">
        <f t="shared" si="32"/>
        <v>0</v>
      </c>
      <c r="C167" s="60" t="str">
        <f t="shared" si="35"/>
        <v/>
      </c>
      <c r="D167" s="30" t="str">
        <f t="shared" si="35"/>
        <v/>
      </c>
      <c r="E167" s="60" t="str">
        <f t="shared" si="35"/>
        <v/>
      </c>
      <c r="F167" s="30" t="str">
        <f>IF($A167="","",IF(F$6="NÃO",0,Tabela!$H$34*ESTRUTURA!$I$4))</f>
        <v/>
      </c>
      <c r="G167" s="60" t="str">
        <f t="shared" si="35"/>
        <v/>
      </c>
      <c r="H167" s="30" t="str">
        <f>IF($A167="","",IF(H$6="NÃO",0,IF($A167=0,DATEDIF(ESTRUTURA!$F$3,ESTRUTURA!$F$4,"m")*Tabela!$H$6,Tabela!$H$6)))</f>
        <v/>
      </c>
      <c r="I167" s="60" t="str">
        <f t="shared" si="35"/>
        <v/>
      </c>
      <c r="J167" s="30" t="str">
        <f>IF($A167="","",IF(J$6="NÃO",0,IF($A167=0,DATEDIF(ESTRUTURA!$F$3,ESTRUTURA!$F$4,"m")*Tabela!$H$8,IF(J$6="NÃO",0,Tabela!$H$8))))</f>
        <v/>
      </c>
      <c r="K167" s="60" t="str">
        <f t="shared" si="35"/>
        <v/>
      </c>
      <c r="L167" s="30" t="str">
        <f t="shared" si="35"/>
        <v/>
      </c>
      <c r="M167" s="60" t="str">
        <f t="shared" si="35"/>
        <v/>
      </c>
      <c r="N167" s="30" t="str">
        <f t="shared" si="35"/>
        <v/>
      </c>
      <c r="O167" s="60" t="str">
        <f t="shared" si="35"/>
        <v/>
      </c>
      <c r="P167" s="30" t="str">
        <f t="shared" si="33"/>
        <v/>
      </c>
      <c r="Q167" s="60" t="str">
        <f t="shared" si="35"/>
        <v/>
      </c>
      <c r="R167" s="30" t="str">
        <f t="shared" si="35"/>
        <v/>
      </c>
      <c r="S167" s="60" t="str">
        <f>IF($A167="","",IF(S$6="NÃO",0,IF($A167=0,DATEDIF(ESTRUTURA!$F$3,ESTRUTURA!$F$4,"m")*Tabela!$H$17,Tabela!$H$17)))</f>
        <v/>
      </c>
      <c r="T167" s="30" t="str">
        <f>IF($A167="","",IF(T$6="NÃO",0,IF($A167=0,DATEDIF(ESTRUTURA!$F$3,ESTRUTURA!$F$4,"m")*Tabela!$H$18,Tabela!$H$18)))</f>
        <v/>
      </c>
      <c r="U167" s="60" t="str">
        <f t="shared" si="34"/>
        <v/>
      </c>
      <c r="V167" s="30" t="str">
        <f>IF($A167="","",IF(V$6="NÃO",0,IF($A167=0,DATEDIF(ESTRUTURA!$F$3,ESTRUTURA!$F$4,"m")*Tabela!$H$20,Tabela!$H$20)))</f>
        <v/>
      </c>
      <c r="W167" s="60" t="str">
        <f t="shared" si="34"/>
        <v/>
      </c>
      <c r="X167" s="30" t="str">
        <f t="shared" si="34"/>
        <v/>
      </c>
      <c r="Y167" s="60" t="str">
        <f>IF($A167="","",IF(Y$6="NÃO",0,IF(A167=0,Tabela!$H$23,IF(Y$7="mensal",Tabela!$H$23,IF(AND(MONTH(ESTRUTURA!C167)=MONTH(ESTRUTURA!$F$3),A167&gt;0),Tabela!$H$23,0)))))</f>
        <v/>
      </c>
      <c r="Z167" s="30" t="str">
        <f t="shared" si="34"/>
        <v/>
      </c>
      <c r="AA167" s="60" t="str">
        <f>IF($A167="","",IF(AA$6="NÃO",0,Tabela!$H$25*nm_séries))</f>
        <v/>
      </c>
      <c r="AB167" s="30" t="str">
        <f t="shared" si="34"/>
        <v/>
      </c>
      <c r="AC167" s="60" t="str">
        <f>IF($A167="","",IF(AC$6="NÃO",0,IF(A167=0,Tabela!$H$27,IF(MOD(A167,3)=0,Tabela!$H$27,0))))</f>
        <v/>
      </c>
      <c r="AD167" s="30" t="str">
        <f t="shared" si="34"/>
        <v/>
      </c>
      <c r="AE167" s="60" t="str">
        <f t="shared" si="34"/>
        <v/>
      </c>
      <c r="AF167" s="30" t="str">
        <f>IF($A167="","",IF(AF$6="NÃO",0,IF(AND(MONTH(ESTRUTURA!C167)=MONTH(ESTRUTURA!$F$3),A167&gt;0),Tabela!$H$30,0)))</f>
        <v/>
      </c>
      <c r="AG167" s="60" t="str">
        <f t="shared" si="34"/>
        <v/>
      </c>
      <c r="AH167" s="30" t="str">
        <f t="shared" si="34"/>
        <v/>
      </c>
      <c r="AI167" s="60" t="str">
        <f>IF($A167="","",IF(AI$6="NÃO",0,IF($A167=0,DATEDIF(ESTRUTURA!$F$3,ESTRUTURA!$F$4,"m")*Tabela!$H$33,Tabela!$H$33)))</f>
        <v/>
      </c>
      <c r="AJ167" s="30" t="str">
        <f t="shared" si="26"/>
        <v/>
      </c>
    </row>
    <row r="168" spans="1:36" x14ac:dyDescent="0.2">
      <c r="A168" s="66" t="str">
        <f>ESTRUTURA!A168</f>
        <v/>
      </c>
      <c r="B168" s="58">
        <f t="shared" si="32"/>
        <v>0</v>
      </c>
      <c r="C168" s="60" t="str">
        <f t="shared" si="35"/>
        <v/>
      </c>
      <c r="D168" s="30" t="str">
        <f t="shared" si="35"/>
        <v/>
      </c>
      <c r="E168" s="60" t="str">
        <f t="shared" si="35"/>
        <v/>
      </c>
      <c r="F168" s="30" t="str">
        <f>IF($A168="","",IF(F$6="NÃO",0,Tabela!$H$34*ESTRUTURA!$I$4))</f>
        <v/>
      </c>
      <c r="G168" s="60" t="str">
        <f t="shared" si="35"/>
        <v/>
      </c>
      <c r="H168" s="30" t="str">
        <f>IF($A168="","",IF(H$6="NÃO",0,IF($A168=0,DATEDIF(ESTRUTURA!$F$3,ESTRUTURA!$F$4,"m")*Tabela!$H$6,Tabela!$H$6)))</f>
        <v/>
      </c>
      <c r="I168" s="60" t="str">
        <f t="shared" si="35"/>
        <v/>
      </c>
      <c r="J168" s="30" t="str">
        <f>IF($A168="","",IF(J$6="NÃO",0,IF($A168=0,DATEDIF(ESTRUTURA!$F$3,ESTRUTURA!$F$4,"m")*Tabela!$H$8,IF(J$6="NÃO",0,Tabela!$H$8))))</f>
        <v/>
      </c>
      <c r="K168" s="60" t="str">
        <f t="shared" si="35"/>
        <v/>
      </c>
      <c r="L168" s="30" t="str">
        <f t="shared" si="35"/>
        <v/>
      </c>
      <c r="M168" s="60" t="str">
        <f t="shared" si="35"/>
        <v/>
      </c>
      <c r="N168" s="30" t="str">
        <f t="shared" si="35"/>
        <v/>
      </c>
      <c r="O168" s="60" t="str">
        <f t="shared" si="35"/>
        <v/>
      </c>
      <c r="P168" s="30" t="str">
        <f t="shared" si="33"/>
        <v/>
      </c>
      <c r="Q168" s="60" t="str">
        <f t="shared" si="35"/>
        <v/>
      </c>
      <c r="R168" s="30" t="str">
        <f t="shared" si="35"/>
        <v/>
      </c>
      <c r="S168" s="60" t="str">
        <f>IF($A168="","",IF(S$6="NÃO",0,IF($A168=0,DATEDIF(ESTRUTURA!$F$3,ESTRUTURA!$F$4,"m")*Tabela!$H$17,Tabela!$H$17)))</f>
        <v/>
      </c>
      <c r="T168" s="30" t="str">
        <f>IF($A168="","",IF(T$6="NÃO",0,IF($A168=0,DATEDIF(ESTRUTURA!$F$3,ESTRUTURA!$F$4,"m")*Tabela!$H$18,Tabela!$H$18)))</f>
        <v/>
      </c>
      <c r="U168" s="60" t="str">
        <f t="shared" si="34"/>
        <v/>
      </c>
      <c r="V168" s="30" t="str">
        <f>IF($A168="","",IF(V$6="NÃO",0,IF($A168=0,DATEDIF(ESTRUTURA!$F$3,ESTRUTURA!$F$4,"m")*Tabela!$H$20,Tabela!$H$20)))</f>
        <v/>
      </c>
      <c r="W168" s="60" t="str">
        <f t="shared" si="34"/>
        <v/>
      </c>
      <c r="X168" s="30" t="str">
        <f t="shared" si="34"/>
        <v/>
      </c>
      <c r="Y168" s="60" t="str">
        <f>IF($A168="","",IF(Y$6="NÃO",0,IF(A168=0,Tabela!$H$23,IF(Y$7="mensal",Tabela!$H$23,IF(AND(MONTH(ESTRUTURA!C168)=MONTH(ESTRUTURA!$F$3),A168&gt;0),Tabela!$H$23,0)))))</f>
        <v/>
      </c>
      <c r="Z168" s="30" t="str">
        <f t="shared" si="34"/>
        <v/>
      </c>
      <c r="AA168" s="60" t="str">
        <f>IF($A168="","",IF(AA$6="NÃO",0,Tabela!$H$25*nm_séries))</f>
        <v/>
      </c>
      <c r="AB168" s="30" t="str">
        <f t="shared" si="34"/>
        <v/>
      </c>
      <c r="AC168" s="60" t="str">
        <f>IF($A168="","",IF(AC$6="NÃO",0,IF(A168=0,Tabela!$H$27,IF(MOD(A168,3)=0,Tabela!$H$27,0))))</f>
        <v/>
      </c>
      <c r="AD168" s="30" t="str">
        <f t="shared" si="34"/>
        <v/>
      </c>
      <c r="AE168" s="60" t="str">
        <f t="shared" si="34"/>
        <v/>
      </c>
      <c r="AF168" s="30" t="str">
        <f>IF($A168="","",IF(AF$6="NÃO",0,IF(AND(MONTH(ESTRUTURA!C168)=MONTH(ESTRUTURA!$F$3),A168&gt;0),Tabela!$H$30,0)))</f>
        <v/>
      </c>
      <c r="AG168" s="60" t="str">
        <f t="shared" si="34"/>
        <v/>
      </c>
      <c r="AH168" s="30" t="str">
        <f t="shared" si="34"/>
        <v/>
      </c>
      <c r="AI168" s="60" t="str">
        <f>IF($A168="","",IF(AI$6="NÃO",0,IF($A168=0,DATEDIF(ESTRUTURA!$F$3,ESTRUTURA!$F$4,"m")*Tabela!$H$33,Tabela!$H$33)))</f>
        <v/>
      </c>
      <c r="AJ168" s="30" t="str">
        <f t="shared" si="26"/>
        <v/>
      </c>
    </row>
    <row r="169" spans="1:36" x14ac:dyDescent="0.2">
      <c r="A169" s="66" t="str">
        <f>ESTRUTURA!A169</f>
        <v/>
      </c>
      <c r="B169" s="58">
        <f t="shared" si="32"/>
        <v>0</v>
      </c>
      <c r="C169" s="60" t="str">
        <f t="shared" si="35"/>
        <v/>
      </c>
      <c r="D169" s="30" t="str">
        <f t="shared" si="35"/>
        <v/>
      </c>
      <c r="E169" s="60" t="str">
        <f t="shared" si="35"/>
        <v/>
      </c>
      <c r="F169" s="30" t="str">
        <f>IF($A169="","",IF(F$6="NÃO",0,Tabela!$H$34*ESTRUTURA!$I$4))</f>
        <v/>
      </c>
      <c r="G169" s="60" t="str">
        <f t="shared" si="35"/>
        <v/>
      </c>
      <c r="H169" s="30" t="str">
        <f>IF($A169="","",IF(H$6="NÃO",0,IF($A169=0,DATEDIF(ESTRUTURA!$F$3,ESTRUTURA!$F$4,"m")*Tabela!$H$6,Tabela!$H$6)))</f>
        <v/>
      </c>
      <c r="I169" s="60" t="str">
        <f t="shared" si="35"/>
        <v/>
      </c>
      <c r="J169" s="30" t="str">
        <f>IF($A169="","",IF(J$6="NÃO",0,IF($A169=0,DATEDIF(ESTRUTURA!$F$3,ESTRUTURA!$F$4,"m")*Tabela!$H$8,IF(J$6="NÃO",0,Tabela!$H$8))))</f>
        <v/>
      </c>
      <c r="K169" s="60" t="str">
        <f t="shared" si="35"/>
        <v/>
      </c>
      <c r="L169" s="30" t="str">
        <f t="shared" si="35"/>
        <v/>
      </c>
      <c r="M169" s="60" t="str">
        <f t="shared" si="35"/>
        <v/>
      </c>
      <c r="N169" s="30" t="str">
        <f t="shared" si="35"/>
        <v/>
      </c>
      <c r="O169" s="60" t="str">
        <f t="shared" si="35"/>
        <v/>
      </c>
      <c r="P169" s="30" t="str">
        <f t="shared" si="33"/>
        <v/>
      </c>
      <c r="Q169" s="60" t="str">
        <f t="shared" si="35"/>
        <v/>
      </c>
      <c r="R169" s="30" t="str">
        <f t="shared" si="35"/>
        <v/>
      </c>
      <c r="S169" s="60" t="str">
        <f>IF($A169="","",IF(S$6="NÃO",0,IF($A169=0,DATEDIF(ESTRUTURA!$F$3,ESTRUTURA!$F$4,"m")*Tabela!$H$17,Tabela!$H$17)))</f>
        <v/>
      </c>
      <c r="T169" s="30" t="str">
        <f>IF($A169="","",IF(T$6="NÃO",0,IF($A169=0,DATEDIF(ESTRUTURA!$F$3,ESTRUTURA!$F$4,"m")*Tabela!$H$18,Tabela!$H$18)))</f>
        <v/>
      </c>
      <c r="U169" s="60" t="str">
        <f t="shared" si="34"/>
        <v/>
      </c>
      <c r="V169" s="30" t="str">
        <f>IF($A169="","",IF(V$6="NÃO",0,IF($A169=0,DATEDIF(ESTRUTURA!$F$3,ESTRUTURA!$F$4,"m")*Tabela!$H$20,Tabela!$H$20)))</f>
        <v/>
      </c>
      <c r="W169" s="60" t="str">
        <f t="shared" si="34"/>
        <v/>
      </c>
      <c r="X169" s="30" t="str">
        <f t="shared" si="34"/>
        <v/>
      </c>
      <c r="Y169" s="60" t="str">
        <f>IF($A169="","",IF(Y$6="NÃO",0,IF(A169=0,Tabela!$H$23,IF(Y$7="mensal",Tabela!$H$23,IF(AND(MONTH(ESTRUTURA!C169)=MONTH(ESTRUTURA!$F$3),A169&gt;0),Tabela!$H$23,0)))))</f>
        <v/>
      </c>
      <c r="Z169" s="30" t="str">
        <f t="shared" si="34"/>
        <v/>
      </c>
      <c r="AA169" s="60" t="str">
        <f>IF($A169="","",IF(AA$6="NÃO",0,Tabela!$H$25*nm_séries))</f>
        <v/>
      </c>
      <c r="AB169" s="30" t="str">
        <f t="shared" si="34"/>
        <v/>
      </c>
      <c r="AC169" s="60" t="str">
        <f>IF($A169="","",IF(AC$6="NÃO",0,IF(A169=0,Tabela!$H$27,IF(MOD(A169,3)=0,Tabela!$H$27,0))))</f>
        <v/>
      </c>
      <c r="AD169" s="30" t="str">
        <f t="shared" si="34"/>
        <v/>
      </c>
      <c r="AE169" s="60" t="str">
        <f t="shared" si="34"/>
        <v/>
      </c>
      <c r="AF169" s="30" t="str">
        <f>IF($A169="","",IF(AF$6="NÃO",0,IF(AND(MONTH(ESTRUTURA!C169)=MONTH(ESTRUTURA!$F$3),A169&gt;0),Tabela!$H$30,0)))</f>
        <v/>
      </c>
      <c r="AG169" s="60" t="str">
        <f t="shared" si="34"/>
        <v/>
      </c>
      <c r="AH169" s="30" t="str">
        <f t="shared" si="34"/>
        <v/>
      </c>
      <c r="AI169" s="60" t="str">
        <f>IF($A169="","",IF(AI$6="NÃO",0,IF($A169=0,DATEDIF(ESTRUTURA!$F$3,ESTRUTURA!$F$4,"m")*Tabela!$H$33,Tabela!$H$33)))</f>
        <v/>
      </c>
      <c r="AJ169" s="30" t="str">
        <f t="shared" si="26"/>
        <v/>
      </c>
    </row>
    <row r="170" spans="1:36" x14ac:dyDescent="0.2">
      <c r="A170" s="66" t="str">
        <f>ESTRUTURA!A170</f>
        <v/>
      </c>
      <c r="B170" s="58">
        <f t="shared" si="32"/>
        <v>0</v>
      </c>
      <c r="C170" s="60" t="str">
        <f t="shared" si="35"/>
        <v/>
      </c>
      <c r="D170" s="30" t="str">
        <f t="shared" si="35"/>
        <v/>
      </c>
      <c r="E170" s="60" t="str">
        <f t="shared" si="35"/>
        <v/>
      </c>
      <c r="F170" s="30" t="str">
        <f>IF($A170="","",IF(F$6="NÃO",0,Tabela!$H$34*ESTRUTURA!$I$4))</f>
        <v/>
      </c>
      <c r="G170" s="60" t="str">
        <f t="shared" si="35"/>
        <v/>
      </c>
      <c r="H170" s="30" t="str">
        <f>IF($A170="","",IF(H$6="NÃO",0,IF($A170=0,DATEDIF(ESTRUTURA!$F$3,ESTRUTURA!$F$4,"m")*Tabela!$H$6,Tabela!$H$6)))</f>
        <v/>
      </c>
      <c r="I170" s="60" t="str">
        <f t="shared" si="35"/>
        <v/>
      </c>
      <c r="J170" s="30" t="str">
        <f>IF($A170="","",IF(J$6="NÃO",0,IF($A170=0,DATEDIF(ESTRUTURA!$F$3,ESTRUTURA!$F$4,"m")*Tabela!$H$8,IF(J$6="NÃO",0,Tabela!$H$8))))</f>
        <v/>
      </c>
      <c r="K170" s="60" t="str">
        <f t="shared" si="35"/>
        <v/>
      </c>
      <c r="L170" s="30" t="str">
        <f t="shared" si="35"/>
        <v/>
      </c>
      <c r="M170" s="60" t="str">
        <f t="shared" si="35"/>
        <v/>
      </c>
      <c r="N170" s="30" t="str">
        <f t="shared" si="35"/>
        <v/>
      </c>
      <c r="O170" s="60" t="str">
        <f t="shared" si="35"/>
        <v/>
      </c>
      <c r="P170" s="30" t="str">
        <f t="shared" si="33"/>
        <v/>
      </c>
      <c r="Q170" s="60" t="str">
        <f t="shared" si="35"/>
        <v/>
      </c>
      <c r="R170" s="30" t="str">
        <f t="shared" si="35"/>
        <v/>
      </c>
      <c r="S170" s="60" t="str">
        <f>IF($A170="","",IF(S$6="NÃO",0,IF($A170=0,DATEDIF(ESTRUTURA!$F$3,ESTRUTURA!$F$4,"m")*Tabela!$H$17,Tabela!$H$17)))</f>
        <v/>
      </c>
      <c r="T170" s="30" t="str">
        <f>IF($A170="","",IF(T$6="NÃO",0,IF($A170=0,DATEDIF(ESTRUTURA!$F$3,ESTRUTURA!$F$4,"m")*Tabela!$H$18,Tabela!$H$18)))</f>
        <v/>
      </c>
      <c r="U170" s="60" t="str">
        <f t="shared" si="34"/>
        <v/>
      </c>
      <c r="V170" s="30" t="str">
        <f>IF($A170="","",IF(V$6="NÃO",0,IF($A170=0,DATEDIF(ESTRUTURA!$F$3,ESTRUTURA!$F$4,"m")*Tabela!$H$20,Tabela!$H$20)))</f>
        <v/>
      </c>
      <c r="W170" s="60" t="str">
        <f t="shared" si="34"/>
        <v/>
      </c>
      <c r="X170" s="30" t="str">
        <f t="shared" si="34"/>
        <v/>
      </c>
      <c r="Y170" s="60" t="str">
        <f>IF($A170="","",IF(Y$6="NÃO",0,IF(A170=0,Tabela!$H$23,IF(Y$7="mensal",Tabela!$H$23,IF(AND(MONTH(ESTRUTURA!C170)=MONTH(ESTRUTURA!$F$3),A170&gt;0),Tabela!$H$23,0)))))</f>
        <v/>
      </c>
      <c r="Z170" s="30" t="str">
        <f t="shared" si="34"/>
        <v/>
      </c>
      <c r="AA170" s="60" t="str">
        <f>IF($A170="","",IF(AA$6="NÃO",0,Tabela!$H$25*nm_séries))</f>
        <v/>
      </c>
      <c r="AB170" s="30" t="str">
        <f t="shared" si="34"/>
        <v/>
      </c>
      <c r="AC170" s="60" t="str">
        <f>IF($A170="","",IF(AC$6="NÃO",0,IF(A170=0,Tabela!$H$27,IF(MOD(A170,3)=0,Tabela!$H$27,0))))</f>
        <v/>
      </c>
      <c r="AD170" s="30" t="str">
        <f t="shared" si="34"/>
        <v/>
      </c>
      <c r="AE170" s="60" t="str">
        <f t="shared" si="34"/>
        <v/>
      </c>
      <c r="AF170" s="30" t="str">
        <f>IF($A170="","",IF(AF$6="NÃO",0,IF(AND(MONTH(ESTRUTURA!C170)=MONTH(ESTRUTURA!$F$3),A170&gt;0),Tabela!$H$30,0)))</f>
        <v/>
      </c>
      <c r="AG170" s="60" t="str">
        <f t="shared" si="34"/>
        <v/>
      </c>
      <c r="AH170" s="30" t="str">
        <f t="shared" si="34"/>
        <v/>
      </c>
      <c r="AI170" s="60" t="str">
        <f>IF($A170="","",IF(AI$6="NÃO",0,IF($A170=0,DATEDIF(ESTRUTURA!$F$3,ESTRUTURA!$F$4,"m")*Tabela!$H$33,Tabela!$H$33)))</f>
        <v/>
      </c>
      <c r="AJ170" s="30" t="str">
        <f t="shared" si="26"/>
        <v/>
      </c>
    </row>
    <row r="171" spans="1:36" x14ac:dyDescent="0.2">
      <c r="A171" s="66" t="str">
        <f>ESTRUTURA!A171</f>
        <v/>
      </c>
      <c r="B171" s="58">
        <f t="shared" si="32"/>
        <v>0</v>
      </c>
      <c r="C171" s="60" t="str">
        <f t="shared" si="35"/>
        <v/>
      </c>
      <c r="D171" s="30" t="str">
        <f t="shared" si="35"/>
        <v/>
      </c>
      <c r="E171" s="60" t="str">
        <f t="shared" si="35"/>
        <v/>
      </c>
      <c r="F171" s="30" t="str">
        <f>IF($A171="","",IF(F$6="NÃO",0,Tabela!$H$34*ESTRUTURA!$I$4))</f>
        <v/>
      </c>
      <c r="G171" s="60" t="str">
        <f t="shared" si="35"/>
        <v/>
      </c>
      <c r="H171" s="30" t="str">
        <f>IF($A171="","",IF(H$6="NÃO",0,IF($A171=0,DATEDIF(ESTRUTURA!$F$3,ESTRUTURA!$F$4,"m")*Tabela!$H$6,Tabela!$H$6)))</f>
        <v/>
      </c>
      <c r="I171" s="60" t="str">
        <f t="shared" si="35"/>
        <v/>
      </c>
      <c r="J171" s="30" t="str">
        <f>IF($A171="","",IF(J$6="NÃO",0,IF($A171=0,DATEDIF(ESTRUTURA!$F$3,ESTRUTURA!$F$4,"m")*Tabela!$H$8,IF(J$6="NÃO",0,Tabela!$H$8))))</f>
        <v/>
      </c>
      <c r="K171" s="60" t="str">
        <f t="shared" si="35"/>
        <v/>
      </c>
      <c r="L171" s="30" t="str">
        <f t="shared" si="35"/>
        <v/>
      </c>
      <c r="M171" s="60" t="str">
        <f t="shared" si="35"/>
        <v/>
      </c>
      <c r="N171" s="30" t="str">
        <f t="shared" si="35"/>
        <v/>
      </c>
      <c r="O171" s="60" t="str">
        <f t="shared" si="35"/>
        <v/>
      </c>
      <c r="P171" s="30" t="str">
        <f t="shared" si="33"/>
        <v/>
      </c>
      <c r="Q171" s="60" t="str">
        <f t="shared" si="35"/>
        <v/>
      </c>
      <c r="R171" s="30" t="str">
        <f t="shared" si="35"/>
        <v/>
      </c>
      <c r="S171" s="60" t="str">
        <f>IF($A171="","",IF(S$6="NÃO",0,IF($A171=0,DATEDIF(ESTRUTURA!$F$3,ESTRUTURA!$F$4,"m")*Tabela!$H$17,Tabela!$H$17)))</f>
        <v/>
      </c>
      <c r="T171" s="30" t="str">
        <f>IF($A171="","",IF(T$6="NÃO",0,IF($A171=0,DATEDIF(ESTRUTURA!$F$3,ESTRUTURA!$F$4,"m")*Tabela!$H$18,Tabela!$H$18)))</f>
        <v/>
      </c>
      <c r="U171" s="60" t="str">
        <f t="shared" ref="U171:AH186" si="36">IF($A171="","",IF(U$6="NÃO",0,0))</f>
        <v/>
      </c>
      <c r="V171" s="30" t="str">
        <f>IF($A171="","",IF(V$6="NÃO",0,IF($A171=0,DATEDIF(ESTRUTURA!$F$3,ESTRUTURA!$F$4,"m")*Tabela!$H$20,Tabela!$H$20)))</f>
        <v/>
      </c>
      <c r="W171" s="60" t="str">
        <f t="shared" si="36"/>
        <v/>
      </c>
      <c r="X171" s="30" t="str">
        <f t="shared" si="36"/>
        <v/>
      </c>
      <c r="Y171" s="60" t="str">
        <f>IF($A171="","",IF(Y$6="NÃO",0,IF(A171=0,Tabela!$H$23,IF(Y$7="mensal",Tabela!$H$23,IF(AND(MONTH(ESTRUTURA!C171)=MONTH(ESTRUTURA!$F$3),A171&gt;0),Tabela!$H$23,0)))))</f>
        <v/>
      </c>
      <c r="Z171" s="30" t="str">
        <f t="shared" si="36"/>
        <v/>
      </c>
      <c r="AA171" s="60" t="str">
        <f>IF($A171="","",IF(AA$6="NÃO",0,Tabela!$H$25*nm_séries))</f>
        <v/>
      </c>
      <c r="AB171" s="30" t="str">
        <f t="shared" si="36"/>
        <v/>
      </c>
      <c r="AC171" s="60" t="str">
        <f>IF($A171="","",IF(AC$6="NÃO",0,IF(A171=0,Tabela!$H$27,IF(MOD(A171,3)=0,Tabela!$H$27,0))))</f>
        <v/>
      </c>
      <c r="AD171" s="30" t="str">
        <f t="shared" si="36"/>
        <v/>
      </c>
      <c r="AE171" s="60" t="str">
        <f t="shared" si="36"/>
        <v/>
      </c>
      <c r="AF171" s="30" t="str">
        <f>IF($A171="","",IF(AF$6="NÃO",0,IF(AND(MONTH(ESTRUTURA!C171)=MONTH(ESTRUTURA!$F$3),A171&gt;0),Tabela!$H$30,0)))</f>
        <v/>
      </c>
      <c r="AG171" s="60" t="str">
        <f t="shared" si="36"/>
        <v/>
      </c>
      <c r="AH171" s="30" t="str">
        <f t="shared" si="36"/>
        <v/>
      </c>
      <c r="AI171" s="60" t="str">
        <f>IF($A171="","",IF(AI$6="NÃO",0,IF($A171=0,DATEDIF(ESTRUTURA!$F$3,ESTRUTURA!$F$4,"m")*Tabela!$H$33,Tabela!$H$33)))</f>
        <v/>
      </c>
      <c r="AJ171" s="30" t="str">
        <f t="shared" si="26"/>
        <v/>
      </c>
    </row>
    <row r="172" spans="1:36" x14ac:dyDescent="0.2">
      <c r="A172" s="66" t="str">
        <f>ESTRUTURA!A172</f>
        <v/>
      </c>
      <c r="B172" s="58">
        <f t="shared" si="32"/>
        <v>0</v>
      </c>
      <c r="C172" s="60" t="str">
        <f t="shared" ref="C172:R187" si="37">IF($A172="","",IF(C$6="NÃO",0,0))</f>
        <v/>
      </c>
      <c r="D172" s="30" t="str">
        <f t="shared" si="37"/>
        <v/>
      </c>
      <c r="E172" s="60" t="str">
        <f t="shared" si="37"/>
        <v/>
      </c>
      <c r="F172" s="30" t="str">
        <f>IF($A172="","",IF(F$6="NÃO",0,Tabela!$H$34*ESTRUTURA!$I$4))</f>
        <v/>
      </c>
      <c r="G172" s="60" t="str">
        <f t="shared" si="37"/>
        <v/>
      </c>
      <c r="H172" s="30" t="str">
        <f>IF($A172="","",IF(H$6="NÃO",0,IF($A172=0,DATEDIF(ESTRUTURA!$F$3,ESTRUTURA!$F$4,"m")*Tabela!$H$6,Tabela!$H$6)))</f>
        <v/>
      </c>
      <c r="I172" s="60" t="str">
        <f t="shared" si="37"/>
        <v/>
      </c>
      <c r="J172" s="30" t="str">
        <f>IF($A172="","",IF(J$6="NÃO",0,IF($A172=0,DATEDIF(ESTRUTURA!$F$3,ESTRUTURA!$F$4,"m")*Tabela!$H$8,IF(J$6="NÃO",0,Tabela!$H$8))))</f>
        <v/>
      </c>
      <c r="K172" s="60" t="str">
        <f t="shared" si="37"/>
        <v/>
      </c>
      <c r="L172" s="30" t="str">
        <f t="shared" si="37"/>
        <v/>
      </c>
      <c r="M172" s="60" t="str">
        <f t="shared" si="37"/>
        <v/>
      </c>
      <c r="N172" s="30" t="str">
        <f t="shared" si="37"/>
        <v/>
      </c>
      <c r="O172" s="60" t="str">
        <f t="shared" si="37"/>
        <v/>
      </c>
      <c r="P172" s="30" t="str">
        <f t="shared" si="37"/>
        <v/>
      </c>
      <c r="Q172" s="60" t="str">
        <f t="shared" si="37"/>
        <v/>
      </c>
      <c r="R172" s="30" t="str">
        <f t="shared" si="37"/>
        <v/>
      </c>
      <c r="S172" s="60" t="str">
        <f>IF($A172="","",IF(S$6="NÃO",0,IF($A172=0,DATEDIF(ESTRUTURA!$F$3,ESTRUTURA!$F$4,"m")*Tabela!$H$17,Tabela!$H$17)))</f>
        <v/>
      </c>
      <c r="T172" s="30" t="str">
        <f>IF($A172="","",IF(T$6="NÃO",0,IF($A172=0,DATEDIF(ESTRUTURA!$F$3,ESTRUTURA!$F$4,"m")*Tabela!$H$18,Tabela!$H$18)))</f>
        <v/>
      </c>
      <c r="U172" s="60" t="str">
        <f t="shared" si="36"/>
        <v/>
      </c>
      <c r="V172" s="30" t="str">
        <f>IF($A172="","",IF(V$6="NÃO",0,IF($A172=0,DATEDIF(ESTRUTURA!$F$3,ESTRUTURA!$F$4,"m")*Tabela!$H$20,Tabela!$H$20)))</f>
        <v/>
      </c>
      <c r="W172" s="60" t="str">
        <f t="shared" si="36"/>
        <v/>
      </c>
      <c r="X172" s="30" t="str">
        <f t="shared" si="36"/>
        <v/>
      </c>
      <c r="Y172" s="60" t="str">
        <f>IF($A172="","",IF(Y$6="NÃO",0,IF(A172=0,Tabela!$H$23,IF(Y$7="mensal",Tabela!$H$23,IF(AND(MONTH(ESTRUTURA!C172)=MONTH(ESTRUTURA!$F$3),A172&gt;0),Tabela!$H$23,0)))))</f>
        <v/>
      </c>
      <c r="Z172" s="30" t="str">
        <f t="shared" si="36"/>
        <v/>
      </c>
      <c r="AA172" s="60" t="str">
        <f>IF($A172="","",IF(AA$6="NÃO",0,Tabela!$H$25*nm_séries))</f>
        <v/>
      </c>
      <c r="AB172" s="30" t="str">
        <f t="shared" si="36"/>
        <v/>
      </c>
      <c r="AC172" s="60" t="str">
        <f>IF($A172="","",IF(AC$6="NÃO",0,IF(A172=0,Tabela!$H$27,IF(MOD(A172,3)=0,Tabela!$H$27,0))))</f>
        <v/>
      </c>
      <c r="AD172" s="30" t="str">
        <f t="shared" si="36"/>
        <v/>
      </c>
      <c r="AE172" s="60" t="str">
        <f t="shared" si="36"/>
        <v/>
      </c>
      <c r="AF172" s="30" t="str">
        <f>IF($A172="","",IF(AF$6="NÃO",0,IF(AND(MONTH(ESTRUTURA!C172)=MONTH(ESTRUTURA!$F$3),A172&gt;0),Tabela!$H$30,0)))</f>
        <v/>
      </c>
      <c r="AG172" s="60" t="str">
        <f t="shared" si="36"/>
        <v/>
      </c>
      <c r="AH172" s="30" t="str">
        <f t="shared" si="36"/>
        <v/>
      </c>
      <c r="AI172" s="60" t="str">
        <f>IF($A172="","",IF(AI$6="NÃO",0,IF($A172=0,DATEDIF(ESTRUTURA!$F$3,ESTRUTURA!$F$4,"m")*Tabela!$H$33,Tabela!$H$33)))</f>
        <v/>
      </c>
      <c r="AJ172" s="30" t="str">
        <f t="shared" si="26"/>
        <v/>
      </c>
    </row>
    <row r="173" spans="1:36" x14ac:dyDescent="0.2">
      <c r="A173" s="66" t="str">
        <f>ESTRUTURA!A173</f>
        <v/>
      </c>
      <c r="B173" s="58">
        <f t="shared" si="32"/>
        <v>0</v>
      </c>
      <c r="C173" s="60" t="str">
        <f t="shared" si="37"/>
        <v/>
      </c>
      <c r="D173" s="30" t="str">
        <f t="shared" si="37"/>
        <v/>
      </c>
      <c r="E173" s="60" t="str">
        <f t="shared" si="37"/>
        <v/>
      </c>
      <c r="F173" s="30" t="str">
        <f>IF($A173="","",IF(F$6="NÃO",0,Tabela!$H$34*ESTRUTURA!$I$4))</f>
        <v/>
      </c>
      <c r="G173" s="60" t="str">
        <f t="shared" si="37"/>
        <v/>
      </c>
      <c r="H173" s="30" t="str">
        <f>IF($A173="","",IF(H$6="NÃO",0,IF($A173=0,DATEDIF(ESTRUTURA!$F$3,ESTRUTURA!$F$4,"m")*Tabela!$H$6,Tabela!$H$6)))</f>
        <v/>
      </c>
      <c r="I173" s="60" t="str">
        <f t="shared" si="37"/>
        <v/>
      </c>
      <c r="J173" s="30" t="str">
        <f>IF($A173="","",IF(J$6="NÃO",0,IF($A173=0,DATEDIF(ESTRUTURA!$F$3,ESTRUTURA!$F$4,"m")*Tabela!$H$8,IF(J$6="NÃO",0,Tabela!$H$8))))</f>
        <v/>
      </c>
      <c r="K173" s="60" t="str">
        <f t="shared" si="37"/>
        <v/>
      </c>
      <c r="L173" s="30" t="str">
        <f t="shared" si="37"/>
        <v/>
      </c>
      <c r="M173" s="60" t="str">
        <f t="shared" si="37"/>
        <v/>
      </c>
      <c r="N173" s="30" t="str">
        <f t="shared" si="37"/>
        <v/>
      </c>
      <c r="O173" s="60" t="str">
        <f t="shared" si="37"/>
        <v/>
      </c>
      <c r="P173" s="30" t="str">
        <f t="shared" si="37"/>
        <v/>
      </c>
      <c r="Q173" s="60" t="str">
        <f t="shared" si="37"/>
        <v/>
      </c>
      <c r="R173" s="30" t="str">
        <f t="shared" si="37"/>
        <v/>
      </c>
      <c r="S173" s="60" t="str">
        <f>IF($A173="","",IF(S$6="NÃO",0,IF($A173=0,DATEDIF(ESTRUTURA!$F$3,ESTRUTURA!$F$4,"m")*Tabela!$H$17,Tabela!$H$17)))</f>
        <v/>
      </c>
      <c r="T173" s="30" t="str">
        <f>IF($A173="","",IF(T$6="NÃO",0,IF($A173=0,DATEDIF(ESTRUTURA!$F$3,ESTRUTURA!$F$4,"m")*Tabela!$H$18,Tabela!$H$18)))</f>
        <v/>
      </c>
      <c r="U173" s="60" t="str">
        <f t="shared" si="36"/>
        <v/>
      </c>
      <c r="V173" s="30" t="str">
        <f>IF($A173="","",IF(V$6="NÃO",0,IF($A173=0,DATEDIF(ESTRUTURA!$F$3,ESTRUTURA!$F$4,"m")*Tabela!$H$20,Tabela!$H$20)))</f>
        <v/>
      </c>
      <c r="W173" s="60" t="str">
        <f t="shared" si="36"/>
        <v/>
      </c>
      <c r="X173" s="30" t="str">
        <f t="shared" si="36"/>
        <v/>
      </c>
      <c r="Y173" s="60" t="str">
        <f>IF($A173="","",IF(Y$6="NÃO",0,IF(A173=0,Tabela!$H$23,IF(Y$7="mensal",Tabela!$H$23,IF(AND(MONTH(ESTRUTURA!C173)=MONTH(ESTRUTURA!$F$3),A173&gt;0),Tabela!$H$23,0)))))</f>
        <v/>
      </c>
      <c r="Z173" s="30" t="str">
        <f t="shared" si="36"/>
        <v/>
      </c>
      <c r="AA173" s="60" t="str">
        <f>IF($A173="","",IF(AA$6="NÃO",0,Tabela!$H$25*nm_séries))</f>
        <v/>
      </c>
      <c r="AB173" s="30" t="str">
        <f t="shared" si="36"/>
        <v/>
      </c>
      <c r="AC173" s="60" t="str">
        <f>IF($A173="","",IF(AC$6="NÃO",0,IF(A173=0,Tabela!$H$27,IF(MOD(A173,3)=0,Tabela!$H$27,0))))</f>
        <v/>
      </c>
      <c r="AD173" s="30" t="str">
        <f t="shared" si="36"/>
        <v/>
      </c>
      <c r="AE173" s="60" t="str">
        <f t="shared" si="36"/>
        <v/>
      </c>
      <c r="AF173" s="30" t="str">
        <f>IF($A173="","",IF(AF$6="NÃO",0,IF(AND(MONTH(ESTRUTURA!C173)=MONTH(ESTRUTURA!$F$3),A173&gt;0),Tabela!$H$30,0)))</f>
        <v/>
      </c>
      <c r="AG173" s="60" t="str">
        <f t="shared" si="36"/>
        <v/>
      </c>
      <c r="AH173" s="30" t="str">
        <f t="shared" si="36"/>
        <v/>
      </c>
      <c r="AI173" s="60" t="str">
        <f>IF($A173="","",IF(AI$6="NÃO",0,IF($A173=0,DATEDIF(ESTRUTURA!$F$3,ESTRUTURA!$F$4,"m")*Tabela!$H$33,Tabela!$H$33)))</f>
        <v/>
      </c>
      <c r="AJ173" s="30" t="str">
        <f t="shared" si="26"/>
        <v/>
      </c>
    </row>
    <row r="174" spans="1:36" x14ac:dyDescent="0.2">
      <c r="A174" s="66" t="str">
        <f>ESTRUTURA!A174</f>
        <v/>
      </c>
      <c r="B174" s="58">
        <f t="shared" si="32"/>
        <v>0</v>
      </c>
      <c r="C174" s="60" t="str">
        <f t="shared" si="37"/>
        <v/>
      </c>
      <c r="D174" s="30" t="str">
        <f t="shared" si="37"/>
        <v/>
      </c>
      <c r="E174" s="60" t="str">
        <f t="shared" si="37"/>
        <v/>
      </c>
      <c r="F174" s="30" t="str">
        <f>IF($A174="","",IF(F$6="NÃO",0,Tabela!$H$34*ESTRUTURA!$I$4))</f>
        <v/>
      </c>
      <c r="G174" s="60" t="str">
        <f t="shared" si="37"/>
        <v/>
      </c>
      <c r="H174" s="30" t="str">
        <f>IF($A174="","",IF(H$6="NÃO",0,IF($A174=0,DATEDIF(ESTRUTURA!$F$3,ESTRUTURA!$F$4,"m")*Tabela!$H$6,Tabela!$H$6)))</f>
        <v/>
      </c>
      <c r="I174" s="60" t="str">
        <f t="shared" si="37"/>
        <v/>
      </c>
      <c r="J174" s="30" t="str">
        <f>IF($A174="","",IF(J$6="NÃO",0,IF($A174=0,DATEDIF(ESTRUTURA!$F$3,ESTRUTURA!$F$4,"m")*Tabela!$H$8,IF(J$6="NÃO",0,Tabela!$H$8))))</f>
        <v/>
      </c>
      <c r="K174" s="60" t="str">
        <f t="shared" si="37"/>
        <v/>
      </c>
      <c r="L174" s="30" t="str">
        <f t="shared" si="37"/>
        <v/>
      </c>
      <c r="M174" s="60" t="str">
        <f t="shared" si="37"/>
        <v/>
      </c>
      <c r="N174" s="30" t="str">
        <f t="shared" si="37"/>
        <v/>
      </c>
      <c r="O174" s="60" t="str">
        <f t="shared" si="37"/>
        <v/>
      </c>
      <c r="P174" s="30" t="str">
        <f t="shared" si="37"/>
        <v/>
      </c>
      <c r="Q174" s="60" t="str">
        <f t="shared" si="37"/>
        <v/>
      </c>
      <c r="R174" s="30" t="str">
        <f t="shared" si="37"/>
        <v/>
      </c>
      <c r="S174" s="60" t="str">
        <f>IF($A174="","",IF(S$6="NÃO",0,IF($A174=0,DATEDIF(ESTRUTURA!$F$3,ESTRUTURA!$F$4,"m")*Tabela!$H$17,Tabela!$H$17)))</f>
        <v/>
      </c>
      <c r="T174" s="30" t="str">
        <f>IF($A174="","",IF(T$6="NÃO",0,IF($A174=0,DATEDIF(ESTRUTURA!$F$3,ESTRUTURA!$F$4,"m")*Tabela!$H$18,Tabela!$H$18)))</f>
        <v/>
      </c>
      <c r="U174" s="60" t="str">
        <f t="shared" si="36"/>
        <v/>
      </c>
      <c r="V174" s="30" t="str">
        <f>IF($A174="","",IF(V$6="NÃO",0,IF($A174=0,DATEDIF(ESTRUTURA!$F$3,ESTRUTURA!$F$4,"m")*Tabela!$H$20,Tabela!$H$20)))</f>
        <v/>
      </c>
      <c r="W174" s="60" t="str">
        <f t="shared" si="36"/>
        <v/>
      </c>
      <c r="X174" s="30" t="str">
        <f t="shared" si="36"/>
        <v/>
      </c>
      <c r="Y174" s="60" t="str">
        <f>IF($A174="","",IF(Y$6="NÃO",0,IF(A174=0,Tabela!$H$23,IF(Y$7="mensal",Tabela!$H$23,IF(AND(MONTH(ESTRUTURA!C174)=MONTH(ESTRUTURA!$F$3),A174&gt;0),Tabela!$H$23,0)))))</f>
        <v/>
      </c>
      <c r="Z174" s="30" t="str">
        <f t="shared" si="36"/>
        <v/>
      </c>
      <c r="AA174" s="60" t="str">
        <f>IF($A174="","",IF(AA$6="NÃO",0,Tabela!$H$25*nm_séries))</f>
        <v/>
      </c>
      <c r="AB174" s="30" t="str">
        <f t="shared" si="36"/>
        <v/>
      </c>
      <c r="AC174" s="60" t="str">
        <f>IF($A174="","",IF(AC$6="NÃO",0,IF(A174=0,Tabela!$H$27,IF(MOD(A174,3)=0,Tabela!$H$27,0))))</f>
        <v/>
      </c>
      <c r="AD174" s="30" t="str">
        <f t="shared" si="36"/>
        <v/>
      </c>
      <c r="AE174" s="60" t="str">
        <f t="shared" si="36"/>
        <v/>
      </c>
      <c r="AF174" s="30" t="str">
        <f>IF($A174="","",IF(AF$6="NÃO",0,IF(AND(MONTH(ESTRUTURA!C174)=MONTH(ESTRUTURA!$F$3),A174&gt;0),Tabela!$H$30,0)))</f>
        <v/>
      </c>
      <c r="AG174" s="60" t="str">
        <f t="shared" si="36"/>
        <v/>
      </c>
      <c r="AH174" s="30" t="str">
        <f t="shared" si="36"/>
        <v/>
      </c>
      <c r="AI174" s="60" t="str">
        <f>IF($A174="","",IF(AI$6="NÃO",0,IF($A174=0,DATEDIF(ESTRUTURA!$F$3,ESTRUTURA!$F$4,"m")*Tabela!$H$33,Tabela!$H$33)))</f>
        <v/>
      </c>
      <c r="AJ174" s="30" t="str">
        <f t="shared" si="26"/>
        <v/>
      </c>
    </row>
    <row r="175" spans="1:36" x14ac:dyDescent="0.2">
      <c r="A175" s="66" t="str">
        <f>ESTRUTURA!A175</f>
        <v/>
      </c>
      <c r="B175" s="58">
        <f t="shared" si="32"/>
        <v>0</v>
      </c>
      <c r="C175" s="60" t="str">
        <f t="shared" si="37"/>
        <v/>
      </c>
      <c r="D175" s="30" t="str">
        <f t="shared" si="37"/>
        <v/>
      </c>
      <c r="E175" s="60" t="str">
        <f t="shared" si="37"/>
        <v/>
      </c>
      <c r="F175" s="30" t="str">
        <f>IF($A175="","",IF(F$6="NÃO",0,Tabela!$H$34*ESTRUTURA!$I$4))</f>
        <v/>
      </c>
      <c r="G175" s="60" t="str">
        <f t="shared" si="37"/>
        <v/>
      </c>
      <c r="H175" s="30" t="str">
        <f>IF($A175="","",IF(H$6="NÃO",0,IF($A175=0,DATEDIF(ESTRUTURA!$F$3,ESTRUTURA!$F$4,"m")*Tabela!$H$6,Tabela!$H$6)))</f>
        <v/>
      </c>
      <c r="I175" s="60" t="str">
        <f t="shared" si="37"/>
        <v/>
      </c>
      <c r="J175" s="30" t="str">
        <f>IF($A175="","",IF(J$6="NÃO",0,IF($A175=0,DATEDIF(ESTRUTURA!$F$3,ESTRUTURA!$F$4,"m")*Tabela!$H$8,IF(J$6="NÃO",0,Tabela!$H$8))))</f>
        <v/>
      </c>
      <c r="K175" s="60" t="str">
        <f t="shared" si="37"/>
        <v/>
      </c>
      <c r="L175" s="30" t="str">
        <f t="shared" si="37"/>
        <v/>
      </c>
      <c r="M175" s="60" t="str">
        <f t="shared" si="37"/>
        <v/>
      </c>
      <c r="N175" s="30" t="str">
        <f t="shared" si="37"/>
        <v/>
      </c>
      <c r="O175" s="60" t="str">
        <f t="shared" si="37"/>
        <v/>
      </c>
      <c r="P175" s="30" t="str">
        <f t="shared" si="37"/>
        <v/>
      </c>
      <c r="Q175" s="60" t="str">
        <f t="shared" si="37"/>
        <v/>
      </c>
      <c r="R175" s="30" t="str">
        <f t="shared" si="37"/>
        <v/>
      </c>
      <c r="S175" s="60" t="str">
        <f>IF($A175="","",IF(S$6="NÃO",0,IF($A175=0,DATEDIF(ESTRUTURA!$F$3,ESTRUTURA!$F$4,"m")*Tabela!$H$17,Tabela!$H$17)))</f>
        <v/>
      </c>
      <c r="T175" s="30" t="str">
        <f>IF($A175="","",IF(T$6="NÃO",0,IF($A175=0,DATEDIF(ESTRUTURA!$F$3,ESTRUTURA!$F$4,"m")*Tabela!$H$18,Tabela!$H$18)))</f>
        <v/>
      </c>
      <c r="U175" s="60" t="str">
        <f t="shared" si="36"/>
        <v/>
      </c>
      <c r="V175" s="30" t="str">
        <f>IF($A175="","",IF(V$6="NÃO",0,IF($A175=0,DATEDIF(ESTRUTURA!$F$3,ESTRUTURA!$F$4,"m")*Tabela!$H$20,Tabela!$H$20)))</f>
        <v/>
      </c>
      <c r="W175" s="60" t="str">
        <f t="shared" si="36"/>
        <v/>
      </c>
      <c r="X175" s="30" t="str">
        <f t="shared" si="36"/>
        <v/>
      </c>
      <c r="Y175" s="60" t="str">
        <f>IF($A175="","",IF(Y$6="NÃO",0,IF(A175=0,Tabela!$H$23,IF(Y$7="mensal",Tabela!$H$23,IF(AND(MONTH(ESTRUTURA!C175)=MONTH(ESTRUTURA!$F$3),A175&gt;0),Tabela!$H$23,0)))))</f>
        <v/>
      </c>
      <c r="Z175" s="30" t="str">
        <f t="shared" si="36"/>
        <v/>
      </c>
      <c r="AA175" s="60" t="str">
        <f>IF($A175="","",IF(AA$6="NÃO",0,Tabela!$H$25*nm_séries))</f>
        <v/>
      </c>
      <c r="AB175" s="30" t="str">
        <f t="shared" si="36"/>
        <v/>
      </c>
      <c r="AC175" s="60" t="str">
        <f>IF($A175="","",IF(AC$6="NÃO",0,IF(A175=0,Tabela!$H$27,IF(MOD(A175,3)=0,Tabela!$H$27,0))))</f>
        <v/>
      </c>
      <c r="AD175" s="30" t="str">
        <f t="shared" si="36"/>
        <v/>
      </c>
      <c r="AE175" s="60" t="str">
        <f t="shared" si="36"/>
        <v/>
      </c>
      <c r="AF175" s="30" t="str">
        <f>IF($A175="","",IF(AF$6="NÃO",0,IF(AND(MONTH(ESTRUTURA!C175)=MONTH(ESTRUTURA!$F$3),A175&gt;0),Tabela!$H$30,0)))</f>
        <v/>
      </c>
      <c r="AG175" s="60" t="str">
        <f t="shared" si="36"/>
        <v/>
      </c>
      <c r="AH175" s="30" t="str">
        <f t="shared" si="36"/>
        <v/>
      </c>
      <c r="AI175" s="60" t="str">
        <f>IF($A175="","",IF(AI$6="NÃO",0,IF($A175=0,DATEDIF(ESTRUTURA!$F$3,ESTRUTURA!$F$4,"m")*Tabela!$H$33,Tabela!$H$33)))</f>
        <v/>
      </c>
      <c r="AJ175" s="30" t="str">
        <f t="shared" si="26"/>
        <v/>
      </c>
    </row>
    <row r="176" spans="1:36" x14ac:dyDescent="0.2">
      <c r="A176" s="66" t="str">
        <f>ESTRUTURA!A176</f>
        <v/>
      </c>
      <c r="B176" s="58">
        <f t="shared" si="32"/>
        <v>0</v>
      </c>
      <c r="C176" s="60" t="str">
        <f t="shared" si="37"/>
        <v/>
      </c>
      <c r="D176" s="30" t="str">
        <f t="shared" si="37"/>
        <v/>
      </c>
      <c r="E176" s="60" t="str">
        <f t="shared" si="37"/>
        <v/>
      </c>
      <c r="F176" s="30" t="str">
        <f>IF($A176="","",IF(F$6="NÃO",0,Tabela!$H$34*ESTRUTURA!$I$4))</f>
        <v/>
      </c>
      <c r="G176" s="60" t="str">
        <f t="shared" si="37"/>
        <v/>
      </c>
      <c r="H176" s="30" t="str">
        <f>IF($A176="","",IF(H$6="NÃO",0,IF($A176=0,DATEDIF(ESTRUTURA!$F$3,ESTRUTURA!$F$4,"m")*Tabela!$H$6,Tabela!$H$6)))</f>
        <v/>
      </c>
      <c r="I176" s="60" t="str">
        <f t="shared" si="37"/>
        <v/>
      </c>
      <c r="J176" s="30" t="str">
        <f>IF($A176="","",IF(J$6="NÃO",0,IF($A176=0,DATEDIF(ESTRUTURA!$F$3,ESTRUTURA!$F$4,"m")*Tabela!$H$8,IF(J$6="NÃO",0,Tabela!$H$8))))</f>
        <v/>
      </c>
      <c r="K176" s="60" t="str">
        <f t="shared" si="37"/>
        <v/>
      </c>
      <c r="L176" s="30" t="str">
        <f t="shared" si="37"/>
        <v/>
      </c>
      <c r="M176" s="60" t="str">
        <f t="shared" si="37"/>
        <v/>
      </c>
      <c r="N176" s="30" t="str">
        <f t="shared" si="37"/>
        <v/>
      </c>
      <c r="O176" s="60" t="str">
        <f t="shared" si="37"/>
        <v/>
      </c>
      <c r="P176" s="30" t="str">
        <f t="shared" si="37"/>
        <v/>
      </c>
      <c r="Q176" s="60" t="str">
        <f t="shared" si="37"/>
        <v/>
      </c>
      <c r="R176" s="30" t="str">
        <f t="shared" si="37"/>
        <v/>
      </c>
      <c r="S176" s="60" t="str">
        <f>IF($A176="","",IF(S$6="NÃO",0,IF($A176=0,DATEDIF(ESTRUTURA!$F$3,ESTRUTURA!$F$4,"m")*Tabela!$H$17,Tabela!$H$17)))</f>
        <v/>
      </c>
      <c r="T176" s="30" t="str">
        <f>IF($A176="","",IF(T$6="NÃO",0,IF($A176=0,DATEDIF(ESTRUTURA!$F$3,ESTRUTURA!$F$4,"m")*Tabela!$H$18,Tabela!$H$18)))</f>
        <v/>
      </c>
      <c r="U176" s="60" t="str">
        <f t="shared" si="36"/>
        <v/>
      </c>
      <c r="V176" s="30" t="str">
        <f>IF($A176="","",IF(V$6="NÃO",0,IF($A176=0,DATEDIF(ESTRUTURA!$F$3,ESTRUTURA!$F$4,"m")*Tabela!$H$20,Tabela!$H$20)))</f>
        <v/>
      </c>
      <c r="W176" s="60" t="str">
        <f t="shared" si="36"/>
        <v/>
      </c>
      <c r="X176" s="30" t="str">
        <f t="shared" si="36"/>
        <v/>
      </c>
      <c r="Y176" s="60" t="str">
        <f>IF($A176="","",IF(Y$6="NÃO",0,IF(A176=0,Tabela!$H$23,IF(Y$7="mensal",Tabela!$H$23,IF(AND(MONTH(ESTRUTURA!C176)=MONTH(ESTRUTURA!$F$3),A176&gt;0),Tabela!$H$23,0)))))</f>
        <v/>
      </c>
      <c r="Z176" s="30" t="str">
        <f t="shared" si="36"/>
        <v/>
      </c>
      <c r="AA176" s="60" t="str">
        <f>IF($A176="","",IF(AA$6="NÃO",0,Tabela!$H$25*nm_séries))</f>
        <v/>
      </c>
      <c r="AB176" s="30" t="str">
        <f t="shared" si="36"/>
        <v/>
      </c>
      <c r="AC176" s="60" t="str">
        <f>IF($A176="","",IF(AC$6="NÃO",0,IF(A176=0,Tabela!$H$27,IF(MOD(A176,3)=0,Tabela!$H$27,0))))</f>
        <v/>
      </c>
      <c r="AD176" s="30" t="str">
        <f t="shared" si="36"/>
        <v/>
      </c>
      <c r="AE176" s="60" t="str">
        <f t="shared" si="36"/>
        <v/>
      </c>
      <c r="AF176" s="30" t="str">
        <f>IF($A176="","",IF(AF$6="NÃO",0,IF(AND(MONTH(ESTRUTURA!C176)=MONTH(ESTRUTURA!$F$3),A176&gt;0),Tabela!$H$30,0)))</f>
        <v/>
      </c>
      <c r="AG176" s="60" t="str">
        <f t="shared" si="36"/>
        <v/>
      </c>
      <c r="AH176" s="30" t="str">
        <f t="shared" si="36"/>
        <v/>
      </c>
      <c r="AI176" s="60" t="str">
        <f>IF($A176="","",IF(AI$6="NÃO",0,IF($A176=0,DATEDIF(ESTRUTURA!$F$3,ESTRUTURA!$F$4,"m")*Tabela!$H$33,Tabela!$H$33)))</f>
        <v/>
      </c>
      <c r="AJ176" s="30" t="str">
        <f t="shared" si="26"/>
        <v/>
      </c>
    </row>
    <row r="177" spans="1:36" x14ac:dyDescent="0.2">
      <c r="A177" s="66" t="str">
        <f>ESTRUTURA!A177</f>
        <v/>
      </c>
      <c r="B177" s="58">
        <f t="shared" si="32"/>
        <v>0</v>
      </c>
      <c r="C177" s="60" t="str">
        <f t="shared" si="37"/>
        <v/>
      </c>
      <c r="D177" s="30" t="str">
        <f t="shared" si="37"/>
        <v/>
      </c>
      <c r="E177" s="60" t="str">
        <f t="shared" si="37"/>
        <v/>
      </c>
      <c r="F177" s="30" t="str">
        <f>IF($A177="","",IF(F$6="NÃO",0,Tabela!$H$34*ESTRUTURA!$I$4))</f>
        <v/>
      </c>
      <c r="G177" s="60" t="str">
        <f t="shared" si="37"/>
        <v/>
      </c>
      <c r="H177" s="30" t="str">
        <f>IF($A177="","",IF(H$6="NÃO",0,IF($A177=0,DATEDIF(ESTRUTURA!$F$3,ESTRUTURA!$F$4,"m")*Tabela!$H$6,Tabela!$H$6)))</f>
        <v/>
      </c>
      <c r="I177" s="60" t="str">
        <f t="shared" si="37"/>
        <v/>
      </c>
      <c r="J177" s="30" t="str">
        <f>IF($A177="","",IF(J$6="NÃO",0,IF($A177=0,DATEDIF(ESTRUTURA!$F$3,ESTRUTURA!$F$4,"m")*Tabela!$H$8,IF(J$6="NÃO",0,Tabela!$H$8))))</f>
        <v/>
      </c>
      <c r="K177" s="60" t="str">
        <f t="shared" si="37"/>
        <v/>
      </c>
      <c r="L177" s="30" t="str">
        <f t="shared" si="37"/>
        <v/>
      </c>
      <c r="M177" s="60" t="str">
        <f t="shared" si="37"/>
        <v/>
      </c>
      <c r="N177" s="30" t="str">
        <f t="shared" si="37"/>
        <v/>
      </c>
      <c r="O177" s="60" t="str">
        <f t="shared" si="37"/>
        <v/>
      </c>
      <c r="P177" s="30" t="str">
        <f t="shared" si="37"/>
        <v/>
      </c>
      <c r="Q177" s="60" t="str">
        <f t="shared" si="37"/>
        <v/>
      </c>
      <c r="R177" s="30" t="str">
        <f t="shared" si="37"/>
        <v/>
      </c>
      <c r="S177" s="60" t="str">
        <f>IF($A177="","",IF(S$6="NÃO",0,IF($A177=0,DATEDIF(ESTRUTURA!$F$3,ESTRUTURA!$F$4,"m")*Tabela!$H$17,Tabela!$H$17)))</f>
        <v/>
      </c>
      <c r="T177" s="30" t="str">
        <f>IF($A177="","",IF(T$6="NÃO",0,IF($A177=0,DATEDIF(ESTRUTURA!$F$3,ESTRUTURA!$F$4,"m")*Tabela!$H$18,Tabela!$H$18)))</f>
        <v/>
      </c>
      <c r="U177" s="60" t="str">
        <f t="shared" si="36"/>
        <v/>
      </c>
      <c r="V177" s="30" t="str">
        <f>IF($A177="","",IF(V$6="NÃO",0,IF($A177=0,DATEDIF(ESTRUTURA!$F$3,ESTRUTURA!$F$4,"m")*Tabela!$H$20,Tabela!$H$20)))</f>
        <v/>
      </c>
      <c r="W177" s="60" t="str">
        <f t="shared" si="36"/>
        <v/>
      </c>
      <c r="X177" s="30" t="str">
        <f t="shared" si="36"/>
        <v/>
      </c>
      <c r="Y177" s="60" t="str">
        <f>IF($A177="","",IF(Y$6="NÃO",0,IF(A177=0,Tabela!$H$23,IF(Y$7="mensal",Tabela!$H$23,IF(AND(MONTH(ESTRUTURA!C177)=MONTH(ESTRUTURA!$F$3),A177&gt;0),Tabela!$H$23,0)))))</f>
        <v/>
      </c>
      <c r="Z177" s="30" t="str">
        <f t="shared" si="36"/>
        <v/>
      </c>
      <c r="AA177" s="60" t="str">
        <f>IF($A177="","",IF(AA$6="NÃO",0,Tabela!$H$25*nm_séries))</f>
        <v/>
      </c>
      <c r="AB177" s="30" t="str">
        <f t="shared" si="36"/>
        <v/>
      </c>
      <c r="AC177" s="60" t="str">
        <f>IF($A177="","",IF(AC$6="NÃO",0,IF(A177=0,Tabela!$H$27,IF(MOD(A177,3)=0,Tabela!$H$27,0))))</f>
        <v/>
      </c>
      <c r="AD177" s="30" t="str">
        <f t="shared" si="36"/>
        <v/>
      </c>
      <c r="AE177" s="60" t="str">
        <f t="shared" si="36"/>
        <v/>
      </c>
      <c r="AF177" s="30" t="str">
        <f>IF($A177="","",IF(AF$6="NÃO",0,IF(AND(MONTH(ESTRUTURA!C177)=MONTH(ESTRUTURA!$F$3),A177&gt;0),Tabela!$H$30,0)))</f>
        <v/>
      </c>
      <c r="AG177" s="60" t="str">
        <f t="shared" si="36"/>
        <v/>
      </c>
      <c r="AH177" s="30" t="str">
        <f t="shared" si="36"/>
        <v/>
      </c>
      <c r="AI177" s="60" t="str">
        <f>IF($A177="","",IF(AI$6="NÃO",0,IF($A177=0,DATEDIF(ESTRUTURA!$F$3,ESTRUTURA!$F$4,"m")*Tabela!$H$33,Tabela!$H$33)))</f>
        <v/>
      </c>
      <c r="AJ177" s="30" t="str">
        <f t="shared" si="26"/>
        <v/>
      </c>
    </row>
    <row r="178" spans="1:36" x14ac:dyDescent="0.2">
      <c r="A178" s="66" t="str">
        <f>ESTRUTURA!A178</f>
        <v/>
      </c>
      <c r="B178" s="58">
        <f t="shared" si="32"/>
        <v>0</v>
      </c>
      <c r="C178" s="60" t="str">
        <f t="shared" si="37"/>
        <v/>
      </c>
      <c r="D178" s="30" t="str">
        <f t="shared" si="37"/>
        <v/>
      </c>
      <c r="E178" s="60" t="str">
        <f t="shared" si="37"/>
        <v/>
      </c>
      <c r="F178" s="30" t="str">
        <f>IF($A178="","",IF(F$6="NÃO",0,Tabela!$H$34*ESTRUTURA!$I$4))</f>
        <v/>
      </c>
      <c r="G178" s="60" t="str">
        <f t="shared" si="37"/>
        <v/>
      </c>
      <c r="H178" s="30" t="str">
        <f>IF($A178="","",IF(H$6="NÃO",0,IF($A178=0,DATEDIF(ESTRUTURA!$F$3,ESTRUTURA!$F$4,"m")*Tabela!$H$6,Tabela!$H$6)))</f>
        <v/>
      </c>
      <c r="I178" s="60" t="str">
        <f t="shared" si="37"/>
        <v/>
      </c>
      <c r="J178" s="30" t="str">
        <f>IF($A178="","",IF(J$6="NÃO",0,IF($A178=0,DATEDIF(ESTRUTURA!$F$3,ESTRUTURA!$F$4,"m")*Tabela!$H$8,IF(J$6="NÃO",0,Tabela!$H$8))))</f>
        <v/>
      </c>
      <c r="K178" s="60" t="str">
        <f t="shared" si="37"/>
        <v/>
      </c>
      <c r="L178" s="30" t="str">
        <f t="shared" si="37"/>
        <v/>
      </c>
      <c r="M178" s="60" t="str">
        <f t="shared" si="37"/>
        <v/>
      </c>
      <c r="N178" s="30" t="str">
        <f t="shared" si="37"/>
        <v/>
      </c>
      <c r="O178" s="60" t="str">
        <f t="shared" si="37"/>
        <v/>
      </c>
      <c r="P178" s="30" t="str">
        <f t="shared" si="37"/>
        <v/>
      </c>
      <c r="Q178" s="60" t="str">
        <f t="shared" si="37"/>
        <v/>
      </c>
      <c r="R178" s="30" t="str">
        <f t="shared" si="37"/>
        <v/>
      </c>
      <c r="S178" s="60" t="str">
        <f>IF($A178="","",IF(S$6="NÃO",0,IF($A178=0,DATEDIF(ESTRUTURA!$F$3,ESTRUTURA!$F$4,"m")*Tabela!$H$17,Tabela!$H$17)))</f>
        <v/>
      </c>
      <c r="T178" s="30" t="str">
        <f>IF($A178="","",IF(T$6="NÃO",0,IF($A178=0,DATEDIF(ESTRUTURA!$F$3,ESTRUTURA!$F$4,"m")*Tabela!$H$18,Tabela!$H$18)))</f>
        <v/>
      </c>
      <c r="U178" s="60" t="str">
        <f t="shared" si="36"/>
        <v/>
      </c>
      <c r="V178" s="30" t="str">
        <f>IF($A178="","",IF(V$6="NÃO",0,IF($A178=0,DATEDIF(ESTRUTURA!$F$3,ESTRUTURA!$F$4,"m")*Tabela!$H$20,Tabela!$H$20)))</f>
        <v/>
      </c>
      <c r="W178" s="60" t="str">
        <f t="shared" si="36"/>
        <v/>
      </c>
      <c r="X178" s="30" t="str">
        <f t="shared" si="36"/>
        <v/>
      </c>
      <c r="Y178" s="60" t="str">
        <f>IF($A178="","",IF(Y$6="NÃO",0,IF(A178=0,Tabela!$H$23,IF(Y$7="mensal",Tabela!$H$23,IF(AND(MONTH(ESTRUTURA!C178)=MONTH(ESTRUTURA!$F$3),A178&gt;0),Tabela!$H$23,0)))))</f>
        <v/>
      </c>
      <c r="Z178" s="30" t="str">
        <f t="shared" si="36"/>
        <v/>
      </c>
      <c r="AA178" s="60" t="str">
        <f>IF($A178="","",IF(AA$6="NÃO",0,Tabela!$H$25*nm_séries))</f>
        <v/>
      </c>
      <c r="AB178" s="30" t="str">
        <f t="shared" si="36"/>
        <v/>
      </c>
      <c r="AC178" s="60" t="str">
        <f>IF($A178="","",IF(AC$6="NÃO",0,IF(A178=0,Tabela!$H$27,IF(MOD(A178,3)=0,Tabela!$H$27,0))))</f>
        <v/>
      </c>
      <c r="AD178" s="30" t="str">
        <f t="shared" si="36"/>
        <v/>
      </c>
      <c r="AE178" s="60" t="str">
        <f t="shared" si="36"/>
        <v/>
      </c>
      <c r="AF178" s="30" t="str">
        <f>IF($A178="","",IF(AF$6="NÃO",0,IF(AND(MONTH(ESTRUTURA!C178)=MONTH(ESTRUTURA!$F$3),A178&gt;0),Tabela!$H$30,0)))</f>
        <v/>
      </c>
      <c r="AG178" s="60" t="str">
        <f t="shared" si="36"/>
        <v/>
      </c>
      <c r="AH178" s="30" t="str">
        <f t="shared" si="36"/>
        <v/>
      </c>
      <c r="AI178" s="60" t="str">
        <f>IF($A178="","",IF(AI$6="NÃO",0,IF($A178=0,DATEDIF(ESTRUTURA!$F$3,ESTRUTURA!$F$4,"m")*Tabela!$H$33,Tabela!$H$33)))</f>
        <v/>
      </c>
      <c r="AJ178" s="30" t="str">
        <f t="shared" si="26"/>
        <v/>
      </c>
    </row>
    <row r="179" spans="1:36" x14ac:dyDescent="0.2">
      <c r="A179" s="66" t="str">
        <f>ESTRUTURA!A179</f>
        <v/>
      </c>
      <c r="B179" s="58">
        <f t="shared" si="32"/>
        <v>0</v>
      </c>
      <c r="C179" s="60" t="str">
        <f t="shared" si="37"/>
        <v/>
      </c>
      <c r="D179" s="30" t="str">
        <f t="shared" si="37"/>
        <v/>
      </c>
      <c r="E179" s="60" t="str">
        <f t="shared" si="37"/>
        <v/>
      </c>
      <c r="F179" s="30" t="str">
        <f>IF($A179="","",IF(F$6="NÃO",0,Tabela!$H$34*ESTRUTURA!$I$4))</f>
        <v/>
      </c>
      <c r="G179" s="60" t="str">
        <f t="shared" si="37"/>
        <v/>
      </c>
      <c r="H179" s="30" t="str">
        <f>IF($A179="","",IF(H$6="NÃO",0,IF($A179=0,DATEDIF(ESTRUTURA!$F$3,ESTRUTURA!$F$4,"m")*Tabela!$H$6,Tabela!$H$6)))</f>
        <v/>
      </c>
      <c r="I179" s="60" t="str">
        <f t="shared" si="37"/>
        <v/>
      </c>
      <c r="J179" s="30" t="str">
        <f>IF($A179="","",IF(J$6="NÃO",0,IF($A179=0,DATEDIF(ESTRUTURA!$F$3,ESTRUTURA!$F$4,"m")*Tabela!$H$8,IF(J$6="NÃO",0,Tabela!$H$8))))</f>
        <v/>
      </c>
      <c r="K179" s="60" t="str">
        <f t="shared" si="37"/>
        <v/>
      </c>
      <c r="L179" s="30" t="str">
        <f t="shared" si="37"/>
        <v/>
      </c>
      <c r="M179" s="60" t="str">
        <f t="shared" si="37"/>
        <v/>
      </c>
      <c r="N179" s="30" t="str">
        <f t="shared" si="37"/>
        <v/>
      </c>
      <c r="O179" s="60" t="str">
        <f t="shared" si="37"/>
        <v/>
      </c>
      <c r="P179" s="30" t="str">
        <f t="shared" si="37"/>
        <v/>
      </c>
      <c r="Q179" s="60" t="str">
        <f t="shared" si="37"/>
        <v/>
      </c>
      <c r="R179" s="30" t="str">
        <f t="shared" si="37"/>
        <v/>
      </c>
      <c r="S179" s="60" t="str">
        <f>IF($A179="","",IF(S$6="NÃO",0,IF($A179=0,DATEDIF(ESTRUTURA!$F$3,ESTRUTURA!$F$4,"m")*Tabela!$H$17,Tabela!$H$17)))</f>
        <v/>
      </c>
      <c r="T179" s="30" t="str">
        <f>IF($A179="","",IF(T$6="NÃO",0,IF($A179=0,DATEDIF(ESTRUTURA!$F$3,ESTRUTURA!$F$4,"m")*Tabela!$H$18,Tabela!$H$18)))</f>
        <v/>
      </c>
      <c r="U179" s="60" t="str">
        <f t="shared" si="36"/>
        <v/>
      </c>
      <c r="V179" s="30" t="str">
        <f>IF($A179="","",IF(V$6="NÃO",0,IF($A179=0,DATEDIF(ESTRUTURA!$F$3,ESTRUTURA!$F$4,"m")*Tabela!$H$20,Tabela!$H$20)))</f>
        <v/>
      </c>
      <c r="W179" s="60" t="str">
        <f t="shared" si="36"/>
        <v/>
      </c>
      <c r="X179" s="30" t="str">
        <f t="shared" si="36"/>
        <v/>
      </c>
      <c r="Y179" s="60" t="str">
        <f>IF($A179="","",IF(Y$6="NÃO",0,IF(A179=0,Tabela!$H$23,IF(Y$7="mensal",Tabela!$H$23,IF(AND(MONTH(ESTRUTURA!C179)=MONTH(ESTRUTURA!$F$3),A179&gt;0),Tabela!$H$23,0)))))</f>
        <v/>
      </c>
      <c r="Z179" s="30" t="str">
        <f t="shared" si="36"/>
        <v/>
      </c>
      <c r="AA179" s="60" t="str">
        <f>IF($A179="","",IF(AA$6="NÃO",0,Tabela!$H$25*nm_séries))</f>
        <v/>
      </c>
      <c r="AB179" s="30" t="str">
        <f t="shared" si="36"/>
        <v/>
      </c>
      <c r="AC179" s="60" t="str">
        <f>IF($A179="","",IF(AC$6="NÃO",0,IF(A179=0,Tabela!$H$27,IF(MOD(A179,3)=0,Tabela!$H$27,0))))</f>
        <v/>
      </c>
      <c r="AD179" s="30" t="str">
        <f t="shared" si="36"/>
        <v/>
      </c>
      <c r="AE179" s="60" t="str">
        <f t="shared" si="36"/>
        <v/>
      </c>
      <c r="AF179" s="30" t="str">
        <f>IF($A179="","",IF(AF$6="NÃO",0,IF(AND(MONTH(ESTRUTURA!C179)=MONTH(ESTRUTURA!$F$3),A179&gt;0),Tabela!$H$30,0)))</f>
        <v/>
      </c>
      <c r="AG179" s="60" t="str">
        <f t="shared" si="36"/>
        <v/>
      </c>
      <c r="AH179" s="30" t="str">
        <f t="shared" si="36"/>
        <v/>
      </c>
      <c r="AI179" s="60" t="str">
        <f>IF($A179="","",IF(AI$6="NÃO",0,IF($A179=0,DATEDIF(ESTRUTURA!$F$3,ESTRUTURA!$F$4,"m")*Tabela!$H$33,Tabela!$H$33)))</f>
        <v/>
      </c>
      <c r="AJ179" s="30" t="str">
        <f t="shared" si="26"/>
        <v/>
      </c>
    </row>
    <row r="180" spans="1:36" x14ac:dyDescent="0.2">
      <c r="A180" s="66" t="str">
        <f>ESTRUTURA!A180</f>
        <v/>
      </c>
      <c r="B180" s="58">
        <f t="shared" si="32"/>
        <v>0</v>
      </c>
      <c r="C180" s="60" t="str">
        <f t="shared" si="37"/>
        <v/>
      </c>
      <c r="D180" s="30" t="str">
        <f t="shared" si="37"/>
        <v/>
      </c>
      <c r="E180" s="60" t="str">
        <f t="shared" si="37"/>
        <v/>
      </c>
      <c r="F180" s="30" t="str">
        <f>IF($A180="","",IF(F$6="NÃO",0,Tabela!$H$34*ESTRUTURA!$I$4))</f>
        <v/>
      </c>
      <c r="G180" s="60" t="str">
        <f t="shared" si="37"/>
        <v/>
      </c>
      <c r="H180" s="30" t="str">
        <f>IF($A180="","",IF(H$6="NÃO",0,IF($A180=0,DATEDIF(ESTRUTURA!$F$3,ESTRUTURA!$F$4,"m")*Tabela!$H$6,Tabela!$H$6)))</f>
        <v/>
      </c>
      <c r="I180" s="60" t="str">
        <f t="shared" si="37"/>
        <v/>
      </c>
      <c r="J180" s="30" t="str">
        <f>IF($A180="","",IF(J$6="NÃO",0,IF($A180=0,DATEDIF(ESTRUTURA!$F$3,ESTRUTURA!$F$4,"m")*Tabela!$H$8,IF(J$6="NÃO",0,Tabela!$H$8))))</f>
        <v/>
      </c>
      <c r="K180" s="60" t="str">
        <f t="shared" si="37"/>
        <v/>
      </c>
      <c r="L180" s="30" t="str">
        <f t="shared" si="37"/>
        <v/>
      </c>
      <c r="M180" s="60" t="str">
        <f t="shared" si="37"/>
        <v/>
      </c>
      <c r="N180" s="30" t="str">
        <f t="shared" si="37"/>
        <v/>
      </c>
      <c r="O180" s="60" t="str">
        <f t="shared" si="37"/>
        <v/>
      </c>
      <c r="P180" s="30" t="str">
        <f t="shared" si="37"/>
        <v/>
      </c>
      <c r="Q180" s="60" t="str">
        <f t="shared" si="37"/>
        <v/>
      </c>
      <c r="R180" s="30" t="str">
        <f t="shared" si="37"/>
        <v/>
      </c>
      <c r="S180" s="60" t="str">
        <f>IF($A180="","",IF(S$6="NÃO",0,IF($A180=0,DATEDIF(ESTRUTURA!$F$3,ESTRUTURA!$F$4,"m")*Tabela!$H$17,Tabela!$H$17)))</f>
        <v/>
      </c>
      <c r="T180" s="30" t="str">
        <f>IF($A180="","",IF(T$6="NÃO",0,IF($A180=0,DATEDIF(ESTRUTURA!$F$3,ESTRUTURA!$F$4,"m")*Tabela!$H$18,Tabela!$H$18)))</f>
        <v/>
      </c>
      <c r="U180" s="60" t="str">
        <f t="shared" si="36"/>
        <v/>
      </c>
      <c r="V180" s="30" t="str">
        <f>IF($A180="","",IF(V$6="NÃO",0,IF($A180=0,DATEDIF(ESTRUTURA!$F$3,ESTRUTURA!$F$4,"m")*Tabela!$H$20,Tabela!$H$20)))</f>
        <v/>
      </c>
      <c r="W180" s="60" t="str">
        <f t="shared" si="36"/>
        <v/>
      </c>
      <c r="X180" s="30" t="str">
        <f t="shared" si="36"/>
        <v/>
      </c>
      <c r="Y180" s="60" t="str">
        <f>IF($A180="","",IF(Y$6="NÃO",0,IF(A180=0,Tabela!$H$23,IF(Y$7="mensal",Tabela!$H$23,IF(AND(MONTH(ESTRUTURA!C180)=MONTH(ESTRUTURA!$F$3),A180&gt;0),Tabela!$H$23,0)))))</f>
        <v/>
      </c>
      <c r="Z180" s="30" t="str">
        <f t="shared" si="36"/>
        <v/>
      </c>
      <c r="AA180" s="60" t="str">
        <f>IF($A180="","",IF(AA$6="NÃO",0,Tabela!$H$25*nm_séries))</f>
        <v/>
      </c>
      <c r="AB180" s="30" t="str">
        <f t="shared" si="36"/>
        <v/>
      </c>
      <c r="AC180" s="60" t="str">
        <f>IF($A180="","",IF(AC$6="NÃO",0,IF(A180=0,Tabela!$H$27,IF(MOD(A180,3)=0,Tabela!$H$27,0))))</f>
        <v/>
      </c>
      <c r="AD180" s="30" t="str">
        <f t="shared" si="36"/>
        <v/>
      </c>
      <c r="AE180" s="60" t="str">
        <f t="shared" si="36"/>
        <v/>
      </c>
      <c r="AF180" s="30" t="str">
        <f>IF($A180="","",IF(AF$6="NÃO",0,IF(AND(MONTH(ESTRUTURA!C180)=MONTH(ESTRUTURA!$F$3),A180&gt;0),Tabela!$H$30,0)))</f>
        <v/>
      </c>
      <c r="AG180" s="60" t="str">
        <f t="shared" si="36"/>
        <v/>
      </c>
      <c r="AH180" s="30" t="str">
        <f t="shared" si="36"/>
        <v/>
      </c>
      <c r="AI180" s="60" t="str">
        <f>IF($A180="","",IF(AI$6="NÃO",0,IF($A180=0,DATEDIF(ESTRUTURA!$F$3,ESTRUTURA!$F$4,"m")*Tabela!$H$33,Tabela!$H$33)))</f>
        <v/>
      </c>
      <c r="AJ180" s="30" t="str">
        <f t="shared" si="26"/>
        <v/>
      </c>
    </row>
    <row r="181" spans="1:36" x14ac:dyDescent="0.2">
      <c r="A181" s="66" t="str">
        <f>ESTRUTURA!A181</f>
        <v/>
      </c>
      <c r="B181" s="58">
        <f t="shared" si="32"/>
        <v>0</v>
      </c>
      <c r="C181" s="60" t="str">
        <f t="shared" si="37"/>
        <v/>
      </c>
      <c r="D181" s="30" t="str">
        <f t="shared" si="37"/>
        <v/>
      </c>
      <c r="E181" s="60" t="str">
        <f t="shared" si="37"/>
        <v/>
      </c>
      <c r="F181" s="30" t="str">
        <f>IF($A181="","",IF(F$6="NÃO",0,Tabela!$H$34*ESTRUTURA!$I$4))</f>
        <v/>
      </c>
      <c r="G181" s="60" t="str">
        <f t="shared" si="37"/>
        <v/>
      </c>
      <c r="H181" s="30" t="str">
        <f>IF($A181="","",IF(H$6="NÃO",0,IF($A181=0,DATEDIF(ESTRUTURA!$F$3,ESTRUTURA!$F$4,"m")*Tabela!$H$6,Tabela!$H$6)))</f>
        <v/>
      </c>
      <c r="I181" s="60" t="str">
        <f t="shared" si="37"/>
        <v/>
      </c>
      <c r="J181" s="30" t="str">
        <f>IF($A181="","",IF(J$6="NÃO",0,IF($A181=0,DATEDIF(ESTRUTURA!$F$3,ESTRUTURA!$F$4,"m")*Tabela!$H$8,IF(J$6="NÃO",0,Tabela!$H$8))))</f>
        <v/>
      </c>
      <c r="K181" s="60" t="str">
        <f t="shared" si="37"/>
        <v/>
      </c>
      <c r="L181" s="30" t="str">
        <f t="shared" si="37"/>
        <v/>
      </c>
      <c r="M181" s="60" t="str">
        <f t="shared" si="37"/>
        <v/>
      </c>
      <c r="N181" s="30" t="str">
        <f t="shared" si="37"/>
        <v/>
      </c>
      <c r="O181" s="60" t="str">
        <f t="shared" si="37"/>
        <v/>
      </c>
      <c r="P181" s="30" t="str">
        <f t="shared" si="37"/>
        <v/>
      </c>
      <c r="Q181" s="60" t="str">
        <f t="shared" si="37"/>
        <v/>
      </c>
      <c r="R181" s="30" t="str">
        <f t="shared" si="37"/>
        <v/>
      </c>
      <c r="S181" s="60" t="str">
        <f>IF($A181="","",IF(S$6="NÃO",0,IF($A181=0,DATEDIF(ESTRUTURA!$F$3,ESTRUTURA!$F$4,"m")*Tabela!$H$17,Tabela!$H$17)))</f>
        <v/>
      </c>
      <c r="T181" s="30" t="str">
        <f>IF($A181="","",IF(T$6="NÃO",0,IF($A181=0,DATEDIF(ESTRUTURA!$F$3,ESTRUTURA!$F$4,"m")*Tabela!$H$18,Tabela!$H$18)))</f>
        <v/>
      </c>
      <c r="U181" s="60" t="str">
        <f t="shared" si="36"/>
        <v/>
      </c>
      <c r="V181" s="30" t="str">
        <f>IF($A181="","",IF(V$6="NÃO",0,IF($A181=0,DATEDIF(ESTRUTURA!$F$3,ESTRUTURA!$F$4,"m")*Tabela!$H$20,Tabela!$H$20)))</f>
        <v/>
      </c>
      <c r="W181" s="60" t="str">
        <f t="shared" si="36"/>
        <v/>
      </c>
      <c r="X181" s="30" t="str">
        <f t="shared" si="36"/>
        <v/>
      </c>
      <c r="Y181" s="60" t="str">
        <f>IF($A181="","",IF(Y$6="NÃO",0,IF(A181=0,Tabela!$H$23,IF(Y$7="mensal",Tabela!$H$23,IF(AND(MONTH(ESTRUTURA!C181)=MONTH(ESTRUTURA!$F$3),A181&gt;0),Tabela!$H$23,0)))))</f>
        <v/>
      </c>
      <c r="Z181" s="30" t="str">
        <f t="shared" si="36"/>
        <v/>
      </c>
      <c r="AA181" s="60" t="str">
        <f>IF($A181="","",IF(AA$6="NÃO",0,Tabela!$H$25*nm_séries))</f>
        <v/>
      </c>
      <c r="AB181" s="30" t="str">
        <f t="shared" si="36"/>
        <v/>
      </c>
      <c r="AC181" s="60" t="str">
        <f>IF($A181="","",IF(AC$6="NÃO",0,IF(A181=0,Tabela!$H$27,IF(MOD(A181,3)=0,Tabela!$H$27,0))))</f>
        <v/>
      </c>
      <c r="AD181" s="30" t="str">
        <f t="shared" si="36"/>
        <v/>
      </c>
      <c r="AE181" s="60" t="str">
        <f t="shared" si="36"/>
        <v/>
      </c>
      <c r="AF181" s="30" t="str">
        <f>IF($A181="","",IF(AF$6="NÃO",0,IF(AND(MONTH(ESTRUTURA!C181)=MONTH(ESTRUTURA!$F$3),A181&gt;0),Tabela!$H$30,0)))</f>
        <v/>
      </c>
      <c r="AG181" s="60" t="str">
        <f t="shared" si="36"/>
        <v/>
      </c>
      <c r="AH181" s="30" t="str">
        <f t="shared" si="36"/>
        <v/>
      </c>
      <c r="AI181" s="60" t="str">
        <f>IF($A181="","",IF(AI$6="NÃO",0,IF($A181=0,DATEDIF(ESTRUTURA!$F$3,ESTRUTURA!$F$4,"m")*Tabela!$H$33,Tabela!$H$33)))</f>
        <v/>
      </c>
      <c r="AJ181" s="30" t="str">
        <f t="shared" si="26"/>
        <v/>
      </c>
    </row>
    <row r="182" spans="1:36" x14ac:dyDescent="0.2">
      <c r="A182" s="66" t="str">
        <f>ESTRUTURA!A182</f>
        <v/>
      </c>
      <c r="B182" s="58">
        <f t="shared" si="32"/>
        <v>0</v>
      </c>
      <c r="C182" s="60" t="str">
        <f t="shared" si="37"/>
        <v/>
      </c>
      <c r="D182" s="30" t="str">
        <f t="shared" si="37"/>
        <v/>
      </c>
      <c r="E182" s="60" t="str">
        <f t="shared" si="37"/>
        <v/>
      </c>
      <c r="F182" s="30" t="str">
        <f>IF($A182="","",IF(F$6="NÃO",0,Tabela!$H$34*ESTRUTURA!$I$4))</f>
        <v/>
      </c>
      <c r="G182" s="60" t="str">
        <f t="shared" si="37"/>
        <v/>
      </c>
      <c r="H182" s="30" t="str">
        <f>IF($A182="","",IF(H$6="NÃO",0,IF($A182=0,DATEDIF(ESTRUTURA!$F$3,ESTRUTURA!$F$4,"m")*Tabela!$H$6,Tabela!$H$6)))</f>
        <v/>
      </c>
      <c r="I182" s="60" t="str">
        <f t="shared" si="37"/>
        <v/>
      </c>
      <c r="J182" s="30" t="str">
        <f>IF($A182="","",IF(J$6="NÃO",0,IF($A182=0,DATEDIF(ESTRUTURA!$F$3,ESTRUTURA!$F$4,"m")*Tabela!$H$8,IF(J$6="NÃO",0,Tabela!$H$8))))</f>
        <v/>
      </c>
      <c r="K182" s="60" t="str">
        <f t="shared" si="37"/>
        <v/>
      </c>
      <c r="L182" s="30" t="str">
        <f t="shared" si="37"/>
        <v/>
      </c>
      <c r="M182" s="60" t="str">
        <f t="shared" si="37"/>
        <v/>
      </c>
      <c r="N182" s="30" t="str">
        <f t="shared" si="37"/>
        <v/>
      </c>
      <c r="O182" s="60" t="str">
        <f t="shared" si="37"/>
        <v/>
      </c>
      <c r="P182" s="30" t="str">
        <f t="shared" si="37"/>
        <v/>
      </c>
      <c r="Q182" s="60" t="str">
        <f t="shared" si="37"/>
        <v/>
      </c>
      <c r="R182" s="30" t="str">
        <f t="shared" si="37"/>
        <v/>
      </c>
      <c r="S182" s="60" t="str">
        <f>IF($A182="","",IF(S$6="NÃO",0,IF($A182=0,DATEDIF(ESTRUTURA!$F$3,ESTRUTURA!$F$4,"m")*Tabela!$H$17,Tabela!$H$17)))</f>
        <v/>
      </c>
      <c r="T182" s="30" t="str">
        <f>IF($A182="","",IF(T$6="NÃO",0,IF($A182=0,DATEDIF(ESTRUTURA!$F$3,ESTRUTURA!$F$4,"m")*Tabela!$H$18,Tabela!$H$18)))</f>
        <v/>
      </c>
      <c r="U182" s="60" t="str">
        <f t="shared" si="36"/>
        <v/>
      </c>
      <c r="V182" s="30" t="str">
        <f>IF($A182="","",IF(V$6="NÃO",0,IF($A182=0,DATEDIF(ESTRUTURA!$F$3,ESTRUTURA!$F$4,"m")*Tabela!$H$20,Tabela!$H$20)))</f>
        <v/>
      </c>
      <c r="W182" s="60" t="str">
        <f t="shared" si="36"/>
        <v/>
      </c>
      <c r="X182" s="30" t="str">
        <f t="shared" si="36"/>
        <v/>
      </c>
      <c r="Y182" s="60" t="str">
        <f>IF($A182="","",IF(Y$6="NÃO",0,IF(A182=0,Tabela!$H$23,IF(Y$7="mensal",Tabela!$H$23,IF(AND(MONTH(ESTRUTURA!C182)=MONTH(ESTRUTURA!$F$3),A182&gt;0),Tabela!$H$23,0)))))</f>
        <v/>
      </c>
      <c r="Z182" s="30" t="str">
        <f t="shared" si="36"/>
        <v/>
      </c>
      <c r="AA182" s="60" t="str">
        <f>IF($A182="","",IF(AA$6="NÃO",0,Tabela!$H$25*nm_séries))</f>
        <v/>
      </c>
      <c r="AB182" s="30" t="str">
        <f t="shared" si="36"/>
        <v/>
      </c>
      <c r="AC182" s="60" t="str">
        <f>IF($A182="","",IF(AC$6="NÃO",0,IF(A182=0,Tabela!$H$27,IF(MOD(A182,3)=0,Tabela!$H$27,0))))</f>
        <v/>
      </c>
      <c r="AD182" s="30" t="str">
        <f t="shared" si="36"/>
        <v/>
      </c>
      <c r="AE182" s="60" t="str">
        <f t="shared" si="36"/>
        <v/>
      </c>
      <c r="AF182" s="30" t="str">
        <f>IF($A182="","",IF(AF$6="NÃO",0,IF(AND(MONTH(ESTRUTURA!C182)=MONTH(ESTRUTURA!$F$3),A182&gt;0),Tabela!$H$30,0)))</f>
        <v/>
      </c>
      <c r="AG182" s="60" t="str">
        <f t="shared" si="36"/>
        <v/>
      </c>
      <c r="AH182" s="30" t="str">
        <f t="shared" si="36"/>
        <v/>
      </c>
      <c r="AI182" s="60" t="str">
        <f>IF($A182="","",IF(AI$6="NÃO",0,IF($A182=0,DATEDIF(ESTRUTURA!$F$3,ESTRUTURA!$F$4,"m")*Tabela!$H$33,Tabela!$H$33)))</f>
        <v/>
      </c>
      <c r="AJ182" s="30" t="str">
        <f t="shared" si="26"/>
        <v/>
      </c>
    </row>
    <row r="183" spans="1:36" x14ac:dyDescent="0.2">
      <c r="A183" s="66" t="str">
        <f>ESTRUTURA!A183</f>
        <v/>
      </c>
      <c r="B183" s="58">
        <f t="shared" si="32"/>
        <v>0</v>
      </c>
      <c r="C183" s="60" t="str">
        <f t="shared" si="37"/>
        <v/>
      </c>
      <c r="D183" s="30" t="str">
        <f t="shared" si="37"/>
        <v/>
      </c>
      <c r="E183" s="60" t="str">
        <f t="shared" si="37"/>
        <v/>
      </c>
      <c r="F183" s="30" t="str">
        <f>IF($A183="","",IF(F$6="NÃO",0,Tabela!$H$34*ESTRUTURA!$I$4))</f>
        <v/>
      </c>
      <c r="G183" s="60" t="str">
        <f t="shared" si="37"/>
        <v/>
      </c>
      <c r="H183" s="30" t="str">
        <f>IF($A183="","",IF(H$6="NÃO",0,IF($A183=0,DATEDIF(ESTRUTURA!$F$3,ESTRUTURA!$F$4,"m")*Tabela!$H$6,Tabela!$H$6)))</f>
        <v/>
      </c>
      <c r="I183" s="60" t="str">
        <f t="shared" si="37"/>
        <v/>
      </c>
      <c r="J183" s="30" t="str">
        <f>IF($A183="","",IF(J$6="NÃO",0,IF($A183=0,DATEDIF(ESTRUTURA!$F$3,ESTRUTURA!$F$4,"m")*Tabela!$H$8,IF(J$6="NÃO",0,Tabela!$H$8))))</f>
        <v/>
      </c>
      <c r="K183" s="60" t="str">
        <f t="shared" si="37"/>
        <v/>
      </c>
      <c r="L183" s="30" t="str">
        <f t="shared" si="37"/>
        <v/>
      </c>
      <c r="M183" s="60" t="str">
        <f t="shared" si="37"/>
        <v/>
      </c>
      <c r="N183" s="30" t="str">
        <f t="shared" si="37"/>
        <v/>
      </c>
      <c r="O183" s="60" t="str">
        <f t="shared" si="37"/>
        <v/>
      </c>
      <c r="P183" s="30" t="str">
        <f t="shared" si="37"/>
        <v/>
      </c>
      <c r="Q183" s="60" t="str">
        <f t="shared" si="37"/>
        <v/>
      </c>
      <c r="R183" s="30" t="str">
        <f t="shared" si="37"/>
        <v/>
      </c>
      <c r="S183" s="60" t="str">
        <f>IF($A183="","",IF(S$6="NÃO",0,IF($A183=0,DATEDIF(ESTRUTURA!$F$3,ESTRUTURA!$F$4,"m")*Tabela!$H$17,Tabela!$H$17)))</f>
        <v/>
      </c>
      <c r="T183" s="30" t="str">
        <f>IF($A183="","",IF(T$6="NÃO",0,IF($A183=0,DATEDIF(ESTRUTURA!$F$3,ESTRUTURA!$F$4,"m")*Tabela!$H$18,Tabela!$H$18)))</f>
        <v/>
      </c>
      <c r="U183" s="60" t="str">
        <f t="shared" si="36"/>
        <v/>
      </c>
      <c r="V183" s="30" t="str">
        <f>IF($A183="","",IF(V$6="NÃO",0,IF($A183=0,DATEDIF(ESTRUTURA!$F$3,ESTRUTURA!$F$4,"m")*Tabela!$H$20,Tabela!$H$20)))</f>
        <v/>
      </c>
      <c r="W183" s="60" t="str">
        <f t="shared" si="36"/>
        <v/>
      </c>
      <c r="X183" s="30" t="str">
        <f t="shared" si="36"/>
        <v/>
      </c>
      <c r="Y183" s="60" t="str">
        <f>IF($A183="","",IF(Y$6="NÃO",0,IF(A183=0,Tabela!$H$23,IF(Y$7="mensal",Tabela!$H$23,IF(AND(MONTH(ESTRUTURA!C183)=MONTH(ESTRUTURA!$F$3),A183&gt;0),Tabela!$H$23,0)))))</f>
        <v/>
      </c>
      <c r="Z183" s="30" t="str">
        <f t="shared" si="36"/>
        <v/>
      </c>
      <c r="AA183" s="60" t="str">
        <f>IF($A183="","",IF(AA$6="NÃO",0,Tabela!$H$25*nm_séries))</f>
        <v/>
      </c>
      <c r="AB183" s="30" t="str">
        <f t="shared" si="36"/>
        <v/>
      </c>
      <c r="AC183" s="60" t="str">
        <f>IF($A183="","",IF(AC$6="NÃO",0,IF(A183=0,Tabela!$H$27,IF(MOD(A183,3)=0,Tabela!$H$27,0))))</f>
        <v/>
      </c>
      <c r="AD183" s="30" t="str">
        <f t="shared" si="36"/>
        <v/>
      </c>
      <c r="AE183" s="60" t="str">
        <f t="shared" si="36"/>
        <v/>
      </c>
      <c r="AF183" s="30" t="str">
        <f>IF($A183="","",IF(AF$6="NÃO",0,IF(AND(MONTH(ESTRUTURA!C183)=MONTH(ESTRUTURA!$F$3),A183&gt;0),Tabela!$H$30,0)))</f>
        <v/>
      </c>
      <c r="AG183" s="60" t="str">
        <f t="shared" si="36"/>
        <v/>
      </c>
      <c r="AH183" s="30" t="str">
        <f t="shared" si="36"/>
        <v/>
      </c>
      <c r="AI183" s="60" t="str">
        <f>IF($A183="","",IF(AI$6="NÃO",0,IF($A183=0,DATEDIF(ESTRUTURA!$F$3,ESTRUTURA!$F$4,"m")*Tabela!$H$33,Tabela!$H$33)))</f>
        <v/>
      </c>
      <c r="AJ183" s="30" t="str">
        <f t="shared" si="26"/>
        <v/>
      </c>
    </row>
    <row r="184" spans="1:36" x14ac:dyDescent="0.2">
      <c r="A184" s="66" t="str">
        <f>ESTRUTURA!A184</f>
        <v/>
      </c>
      <c r="B184" s="58">
        <f t="shared" si="32"/>
        <v>0</v>
      </c>
      <c r="C184" s="60" t="str">
        <f t="shared" si="37"/>
        <v/>
      </c>
      <c r="D184" s="30" t="str">
        <f t="shared" si="37"/>
        <v/>
      </c>
      <c r="E184" s="60" t="str">
        <f t="shared" si="37"/>
        <v/>
      </c>
      <c r="F184" s="30" t="str">
        <f>IF($A184="","",IF(F$6="NÃO",0,Tabela!$H$34*ESTRUTURA!$I$4))</f>
        <v/>
      </c>
      <c r="G184" s="60" t="str">
        <f t="shared" si="37"/>
        <v/>
      </c>
      <c r="H184" s="30" t="str">
        <f>IF($A184="","",IF(H$6="NÃO",0,IF($A184=0,DATEDIF(ESTRUTURA!$F$3,ESTRUTURA!$F$4,"m")*Tabela!$H$6,Tabela!$H$6)))</f>
        <v/>
      </c>
      <c r="I184" s="60" t="str">
        <f t="shared" si="37"/>
        <v/>
      </c>
      <c r="J184" s="30" t="str">
        <f>IF($A184="","",IF(J$6="NÃO",0,IF($A184=0,DATEDIF(ESTRUTURA!$F$3,ESTRUTURA!$F$4,"m")*Tabela!$H$8,IF(J$6="NÃO",0,Tabela!$H$8))))</f>
        <v/>
      </c>
      <c r="K184" s="60" t="str">
        <f t="shared" si="37"/>
        <v/>
      </c>
      <c r="L184" s="30" t="str">
        <f t="shared" si="37"/>
        <v/>
      </c>
      <c r="M184" s="60" t="str">
        <f t="shared" si="37"/>
        <v/>
      </c>
      <c r="N184" s="30" t="str">
        <f t="shared" si="37"/>
        <v/>
      </c>
      <c r="O184" s="60" t="str">
        <f t="shared" si="37"/>
        <v/>
      </c>
      <c r="P184" s="30" t="str">
        <f t="shared" si="37"/>
        <v/>
      </c>
      <c r="Q184" s="60" t="str">
        <f t="shared" si="37"/>
        <v/>
      </c>
      <c r="R184" s="30" t="str">
        <f t="shared" si="37"/>
        <v/>
      </c>
      <c r="S184" s="60" t="str">
        <f>IF($A184="","",IF(S$6="NÃO",0,IF($A184=0,DATEDIF(ESTRUTURA!$F$3,ESTRUTURA!$F$4,"m")*Tabela!$H$17,Tabela!$H$17)))</f>
        <v/>
      </c>
      <c r="T184" s="30" t="str">
        <f>IF($A184="","",IF(T$6="NÃO",0,IF($A184=0,DATEDIF(ESTRUTURA!$F$3,ESTRUTURA!$F$4,"m")*Tabela!$H$18,Tabela!$H$18)))</f>
        <v/>
      </c>
      <c r="U184" s="60" t="str">
        <f t="shared" si="36"/>
        <v/>
      </c>
      <c r="V184" s="30" t="str">
        <f>IF($A184="","",IF(V$6="NÃO",0,IF($A184=0,DATEDIF(ESTRUTURA!$F$3,ESTRUTURA!$F$4,"m")*Tabela!$H$20,Tabela!$H$20)))</f>
        <v/>
      </c>
      <c r="W184" s="60" t="str">
        <f t="shared" si="36"/>
        <v/>
      </c>
      <c r="X184" s="30" t="str">
        <f t="shared" si="36"/>
        <v/>
      </c>
      <c r="Y184" s="60" t="str">
        <f>IF($A184="","",IF(Y$6="NÃO",0,IF(A184=0,Tabela!$H$23,IF(Y$7="mensal",Tabela!$H$23,IF(AND(MONTH(ESTRUTURA!C184)=MONTH(ESTRUTURA!$F$3),A184&gt;0),Tabela!$H$23,0)))))</f>
        <v/>
      </c>
      <c r="Z184" s="30" t="str">
        <f t="shared" si="36"/>
        <v/>
      </c>
      <c r="AA184" s="60" t="str">
        <f>IF($A184="","",IF(AA$6="NÃO",0,Tabela!$H$25*nm_séries))</f>
        <v/>
      </c>
      <c r="AB184" s="30" t="str">
        <f t="shared" si="36"/>
        <v/>
      </c>
      <c r="AC184" s="60" t="str">
        <f>IF($A184="","",IF(AC$6="NÃO",0,IF(A184=0,Tabela!$H$27,IF(MOD(A184,3)=0,Tabela!$H$27,0))))</f>
        <v/>
      </c>
      <c r="AD184" s="30" t="str">
        <f t="shared" si="36"/>
        <v/>
      </c>
      <c r="AE184" s="60" t="str">
        <f t="shared" si="36"/>
        <v/>
      </c>
      <c r="AF184" s="30" t="str">
        <f>IF($A184="","",IF(AF$6="NÃO",0,IF(AND(MONTH(ESTRUTURA!C184)=MONTH(ESTRUTURA!$F$3),A184&gt;0),Tabela!$H$30,0)))</f>
        <v/>
      </c>
      <c r="AG184" s="60" t="str">
        <f t="shared" si="36"/>
        <v/>
      </c>
      <c r="AH184" s="30" t="str">
        <f t="shared" si="36"/>
        <v/>
      </c>
      <c r="AI184" s="60" t="str">
        <f>IF($A184="","",IF(AI$6="NÃO",0,IF($A184=0,DATEDIF(ESTRUTURA!$F$3,ESTRUTURA!$F$4,"m")*Tabela!$H$33,Tabela!$H$33)))</f>
        <v/>
      </c>
      <c r="AJ184" s="30" t="str">
        <f t="shared" si="26"/>
        <v/>
      </c>
    </row>
    <row r="185" spans="1:36" x14ac:dyDescent="0.2">
      <c r="A185" s="66" t="str">
        <f>ESTRUTURA!A185</f>
        <v/>
      </c>
      <c r="B185" s="58">
        <f t="shared" si="32"/>
        <v>0</v>
      </c>
      <c r="C185" s="60" t="str">
        <f t="shared" si="37"/>
        <v/>
      </c>
      <c r="D185" s="30" t="str">
        <f t="shared" si="37"/>
        <v/>
      </c>
      <c r="E185" s="60" t="str">
        <f t="shared" si="37"/>
        <v/>
      </c>
      <c r="F185" s="30" t="str">
        <f>IF($A185="","",IF(F$6="NÃO",0,Tabela!$H$34*ESTRUTURA!$I$4))</f>
        <v/>
      </c>
      <c r="G185" s="60" t="str">
        <f t="shared" si="37"/>
        <v/>
      </c>
      <c r="H185" s="30" t="str">
        <f>IF($A185="","",IF(H$6="NÃO",0,IF($A185=0,DATEDIF(ESTRUTURA!$F$3,ESTRUTURA!$F$4,"m")*Tabela!$H$6,Tabela!$H$6)))</f>
        <v/>
      </c>
      <c r="I185" s="60" t="str">
        <f t="shared" si="37"/>
        <v/>
      </c>
      <c r="J185" s="30" t="str">
        <f>IF($A185="","",IF(J$6="NÃO",0,IF($A185=0,DATEDIF(ESTRUTURA!$F$3,ESTRUTURA!$F$4,"m")*Tabela!$H$8,IF(J$6="NÃO",0,Tabela!$H$8))))</f>
        <v/>
      </c>
      <c r="K185" s="60" t="str">
        <f t="shared" si="37"/>
        <v/>
      </c>
      <c r="L185" s="30" t="str">
        <f t="shared" si="37"/>
        <v/>
      </c>
      <c r="M185" s="60" t="str">
        <f t="shared" si="37"/>
        <v/>
      </c>
      <c r="N185" s="30" t="str">
        <f t="shared" si="37"/>
        <v/>
      </c>
      <c r="O185" s="60" t="str">
        <f t="shared" si="37"/>
        <v/>
      </c>
      <c r="P185" s="30" t="str">
        <f t="shared" si="37"/>
        <v/>
      </c>
      <c r="Q185" s="60" t="str">
        <f t="shared" si="37"/>
        <v/>
      </c>
      <c r="R185" s="30" t="str">
        <f t="shared" si="37"/>
        <v/>
      </c>
      <c r="S185" s="60" t="str">
        <f>IF($A185="","",IF(S$6="NÃO",0,IF($A185=0,DATEDIF(ESTRUTURA!$F$3,ESTRUTURA!$F$4,"m")*Tabela!$H$17,Tabela!$H$17)))</f>
        <v/>
      </c>
      <c r="T185" s="30" t="str">
        <f>IF($A185="","",IF(T$6="NÃO",0,IF($A185=0,DATEDIF(ESTRUTURA!$F$3,ESTRUTURA!$F$4,"m")*Tabela!$H$18,Tabela!$H$18)))</f>
        <v/>
      </c>
      <c r="U185" s="60" t="str">
        <f t="shared" si="36"/>
        <v/>
      </c>
      <c r="V185" s="30" t="str">
        <f>IF($A185="","",IF(V$6="NÃO",0,IF($A185=0,DATEDIF(ESTRUTURA!$F$3,ESTRUTURA!$F$4,"m")*Tabela!$H$20,Tabela!$H$20)))</f>
        <v/>
      </c>
      <c r="W185" s="60" t="str">
        <f t="shared" si="36"/>
        <v/>
      </c>
      <c r="X185" s="30" t="str">
        <f t="shared" si="36"/>
        <v/>
      </c>
      <c r="Y185" s="60" t="str">
        <f>IF($A185="","",IF(Y$6="NÃO",0,IF(A185=0,Tabela!$H$23,IF(Y$7="mensal",Tabela!$H$23,IF(AND(MONTH(ESTRUTURA!C185)=MONTH(ESTRUTURA!$F$3),A185&gt;0),Tabela!$H$23,0)))))</f>
        <v/>
      </c>
      <c r="Z185" s="30" t="str">
        <f t="shared" si="36"/>
        <v/>
      </c>
      <c r="AA185" s="60" t="str">
        <f>IF($A185="","",IF(AA$6="NÃO",0,Tabela!$H$25*nm_séries))</f>
        <v/>
      </c>
      <c r="AB185" s="30" t="str">
        <f t="shared" si="36"/>
        <v/>
      </c>
      <c r="AC185" s="60" t="str">
        <f>IF($A185="","",IF(AC$6="NÃO",0,IF(A185=0,Tabela!$H$27,IF(MOD(A185,3)=0,Tabela!$H$27,0))))</f>
        <v/>
      </c>
      <c r="AD185" s="30" t="str">
        <f t="shared" si="36"/>
        <v/>
      </c>
      <c r="AE185" s="60" t="str">
        <f t="shared" si="36"/>
        <v/>
      </c>
      <c r="AF185" s="30" t="str">
        <f>IF($A185="","",IF(AF$6="NÃO",0,IF(AND(MONTH(ESTRUTURA!C185)=MONTH(ESTRUTURA!$F$3),A185&gt;0),Tabela!$H$30,0)))</f>
        <v/>
      </c>
      <c r="AG185" s="60" t="str">
        <f t="shared" si="36"/>
        <v/>
      </c>
      <c r="AH185" s="30" t="str">
        <f t="shared" si="36"/>
        <v/>
      </c>
      <c r="AI185" s="60" t="str">
        <f>IF($A185="","",IF(AI$6="NÃO",0,IF($A185=0,DATEDIF(ESTRUTURA!$F$3,ESTRUTURA!$F$4,"m")*Tabela!$H$33,Tabela!$H$33)))</f>
        <v/>
      </c>
      <c r="AJ185" s="30" t="str">
        <f t="shared" ref="AJ185:AJ248" si="38">IF($A185="","",IF(AJ$6="NÃO",0,0))</f>
        <v/>
      </c>
    </row>
    <row r="186" spans="1:36" x14ac:dyDescent="0.2">
      <c r="A186" s="66" t="str">
        <f>ESTRUTURA!A186</f>
        <v/>
      </c>
      <c r="B186" s="58">
        <f t="shared" si="32"/>
        <v>0</v>
      </c>
      <c r="C186" s="60" t="str">
        <f t="shared" si="37"/>
        <v/>
      </c>
      <c r="D186" s="30" t="str">
        <f t="shared" si="37"/>
        <v/>
      </c>
      <c r="E186" s="60" t="str">
        <f t="shared" si="37"/>
        <v/>
      </c>
      <c r="F186" s="30" t="str">
        <f>IF($A186="","",IF(F$6="NÃO",0,Tabela!$H$34*ESTRUTURA!$I$4))</f>
        <v/>
      </c>
      <c r="G186" s="60" t="str">
        <f t="shared" si="37"/>
        <v/>
      </c>
      <c r="H186" s="30" t="str">
        <f>IF($A186="","",IF(H$6="NÃO",0,IF($A186=0,DATEDIF(ESTRUTURA!$F$3,ESTRUTURA!$F$4,"m")*Tabela!$H$6,Tabela!$H$6)))</f>
        <v/>
      </c>
      <c r="I186" s="60" t="str">
        <f t="shared" si="37"/>
        <v/>
      </c>
      <c r="J186" s="30" t="str">
        <f>IF($A186="","",IF(J$6="NÃO",0,IF($A186=0,DATEDIF(ESTRUTURA!$F$3,ESTRUTURA!$F$4,"m")*Tabela!$H$8,IF(J$6="NÃO",0,Tabela!$H$8))))</f>
        <v/>
      </c>
      <c r="K186" s="60" t="str">
        <f t="shared" si="37"/>
        <v/>
      </c>
      <c r="L186" s="30" t="str">
        <f t="shared" si="37"/>
        <v/>
      </c>
      <c r="M186" s="60" t="str">
        <f t="shared" si="37"/>
        <v/>
      </c>
      <c r="N186" s="30" t="str">
        <f t="shared" si="37"/>
        <v/>
      </c>
      <c r="O186" s="60" t="str">
        <f t="shared" si="37"/>
        <v/>
      </c>
      <c r="P186" s="30" t="str">
        <f t="shared" ref="P186:P203" si="39">IF($A186="","",IF(P$6="NÃO",0,0))</f>
        <v/>
      </c>
      <c r="Q186" s="60" t="str">
        <f t="shared" si="37"/>
        <v/>
      </c>
      <c r="R186" s="30" t="str">
        <f t="shared" si="37"/>
        <v/>
      </c>
      <c r="S186" s="60" t="str">
        <f>IF($A186="","",IF(S$6="NÃO",0,IF($A186=0,DATEDIF(ESTRUTURA!$F$3,ESTRUTURA!$F$4,"m")*Tabela!$H$17,Tabela!$H$17)))</f>
        <v/>
      </c>
      <c r="T186" s="30" t="str">
        <f>IF($A186="","",IF(T$6="NÃO",0,IF($A186=0,DATEDIF(ESTRUTURA!$F$3,ESTRUTURA!$F$4,"m")*Tabela!$H$18,Tabela!$H$18)))</f>
        <v/>
      </c>
      <c r="U186" s="60" t="str">
        <f t="shared" si="36"/>
        <v/>
      </c>
      <c r="V186" s="30" t="str">
        <f>IF($A186="","",IF(V$6="NÃO",0,IF($A186=0,DATEDIF(ESTRUTURA!$F$3,ESTRUTURA!$F$4,"m")*Tabela!$H$20,Tabela!$H$20)))</f>
        <v/>
      </c>
      <c r="W186" s="60" t="str">
        <f t="shared" si="36"/>
        <v/>
      </c>
      <c r="X186" s="30" t="str">
        <f t="shared" si="36"/>
        <v/>
      </c>
      <c r="Y186" s="60" t="str">
        <f>IF($A186="","",IF(Y$6="NÃO",0,IF(A186=0,Tabela!$H$23,IF(Y$7="mensal",Tabela!$H$23,IF(AND(MONTH(ESTRUTURA!C186)=MONTH(ESTRUTURA!$F$3),A186&gt;0),Tabela!$H$23,0)))))</f>
        <v/>
      </c>
      <c r="Z186" s="30" t="str">
        <f t="shared" si="36"/>
        <v/>
      </c>
      <c r="AA186" s="60" t="str">
        <f>IF($A186="","",IF(AA$6="NÃO",0,Tabela!$H$25*nm_séries))</f>
        <v/>
      </c>
      <c r="AB186" s="30" t="str">
        <f t="shared" si="36"/>
        <v/>
      </c>
      <c r="AC186" s="60" t="str">
        <f>IF($A186="","",IF(AC$6="NÃO",0,IF(A186=0,Tabela!$H$27,IF(MOD(A186,3)=0,Tabela!$H$27,0))))</f>
        <v/>
      </c>
      <c r="AD186" s="30" t="str">
        <f t="shared" si="36"/>
        <v/>
      </c>
      <c r="AE186" s="60" t="str">
        <f t="shared" si="36"/>
        <v/>
      </c>
      <c r="AF186" s="30" t="str">
        <f>IF($A186="","",IF(AF$6="NÃO",0,IF(AND(MONTH(ESTRUTURA!C186)=MONTH(ESTRUTURA!$F$3),A186&gt;0),Tabela!$H$30,0)))</f>
        <v/>
      </c>
      <c r="AG186" s="60" t="str">
        <f t="shared" si="36"/>
        <v/>
      </c>
      <c r="AH186" s="30" t="str">
        <f t="shared" si="36"/>
        <v/>
      </c>
      <c r="AI186" s="60" t="str">
        <f>IF($A186="","",IF(AI$6="NÃO",0,IF($A186=0,DATEDIF(ESTRUTURA!$F$3,ESTRUTURA!$F$4,"m")*Tabela!$H$33,Tabela!$H$33)))</f>
        <v/>
      </c>
      <c r="AJ186" s="30" t="str">
        <f t="shared" si="38"/>
        <v/>
      </c>
    </row>
    <row r="187" spans="1:36" x14ac:dyDescent="0.2">
      <c r="A187" s="66" t="str">
        <f>ESTRUTURA!A187</f>
        <v/>
      </c>
      <c r="B187" s="58">
        <f t="shared" si="32"/>
        <v>0</v>
      </c>
      <c r="C187" s="60" t="str">
        <f t="shared" si="37"/>
        <v/>
      </c>
      <c r="D187" s="30" t="str">
        <f t="shared" si="37"/>
        <v/>
      </c>
      <c r="E187" s="60" t="str">
        <f t="shared" si="37"/>
        <v/>
      </c>
      <c r="F187" s="30" t="str">
        <f>IF($A187="","",IF(F$6="NÃO",0,Tabela!$H$34*ESTRUTURA!$I$4))</f>
        <v/>
      </c>
      <c r="G187" s="60" t="str">
        <f t="shared" si="37"/>
        <v/>
      </c>
      <c r="H187" s="30" t="str">
        <f>IF($A187="","",IF(H$6="NÃO",0,IF($A187=0,DATEDIF(ESTRUTURA!$F$3,ESTRUTURA!$F$4,"m")*Tabela!$H$6,Tabela!$H$6)))</f>
        <v/>
      </c>
      <c r="I187" s="60" t="str">
        <f t="shared" si="37"/>
        <v/>
      </c>
      <c r="J187" s="30" t="str">
        <f>IF($A187="","",IF(J$6="NÃO",0,IF($A187=0,DATEDIF(ESTRUTURA!$F$3,ESTRUTURA!$F$4,"m")*Tabela!$H$8,IF(J$6="NÃO",0,Tabela!$H$8))))</f>
        <v/>
      </c>
      <c r="K187" s="60" t="str">
        <f t="shared" si="37"/>
        <v/>
      </c>
      <c r="L187" s="30" t="str">
        <f t="shared" si="37"/>
        <v/>
      </c>
      <c r="M187" s="60" t="str">
        <f t="shared" si="37"/>
        <v/>
      </c>
      <c r="N187" s="30" t="str">
        <f t="shared" si="37"/>
        <v/>
      </c>
      <c r="O187" s="60" t="str">
        <f t="shared" si="37"/>
        <v/>
      </c>
      <c r="P187" s="30" t="str">
        <f t="shared" si="39"/>
        <v/>
      </c>
      <c r="Q187" s="60" t="str">
        <f t="shared" si="37"/>
        <v/>
      </c>
      <c r="R187" s="30" t="str">
        <f t="shared" si="37"/>
        <v/>
      </c>
      <c r="S187" s="60" t="str">
        <f>IF($A187="","",IF(S$6="NÃO",0,IF($A187=0,DATEDIF(ESTRUTURA!$F$3,ESTRUTURA!$F$4,"m")*Tabela!$H$17,Tabela!$H$17)))</f>
        <v/>
      </c>
      <c r="T187" s="30" t="str">
        <f>IF($A187="","",IF(T$6="NÃO",0,IF($A187=0,DATEDIF(ESTRUTURA!$F$3,ESTRUTURA!$F$4,"m")*Tabela!$H$18,Tabela!$H$18)))</f>
        <v/>
      </c>
      <c r="U187" s="60" t="str">
        <f t="shared" ref="U187:AH202" si="40">IF($A187="","",IF(U$6="NÃO",0,0))</f>
        <v/>
      </c>
      <c r="V187" s="30" t="str">
        <f>IF($A187="","",IF(V$6="NÃO",0,IF($A187=0,DATEDIF(ESTRUTURA!$F$3,ESTRUTURA!$F$4,"m")*Tabela!$H$20,Tabela!$H$20)))</f>
        <v/>
      </c>
      <c r="W187" s="60" t="str">
        <f t="shared" si="40"/>
        <v/>
      </c>
      <c r="X187" s="30" t="str">
        <f t="shared" si="40"/>
        <v/>
      </c>
      <c r="Y187" s="60" t="str">
        <f>IF($A187="","",IF(Y$6="NÃO",0,IF(A187=0,Tabela!$H$23,IF(Y$7="mensal",Tabela!$H$23,IF(AND(MONTH(ESTRUTURA!C187)=MONTH(ESTRUTURA!$F$3),A187&gt;0),Tabela!$H$23,0)))))</f>
        <v/>
      </c>
      <c r="Z187" s="30" t="str">
        <f t="shared" si="40"/>
        <v/>
      </c>
      <c r="AA187" s="60" t="str">
        <f>IF($A187="","",IF(AA$6="NÃO",0,Tabela!$H$25*nm_séries))</f>
        <v/>
      </c>
      <c r="AB187" s="30" t="str">
        <f t="shared" si="40"/>
        <v/>
      </c>
      <c r="AC187" s="60" t="str">
        <f>IF($A187="","",IF(AC$6="NÃO",0,IF(A187=0,Tabela!$H$27,IF(MOD(A187,3)=0,Tabela!$H$27,0))))</f>
        <v/>
      </c>
      <c r="AD187" s="30" t="str">
        <f t="shared" si="40"/>
        <v/>
      </c>
      <c r="AE187" s="60" t="str">
        <f t="shared" si="40"/>
        <v/>
      </c>
      <c r="AF187" s="30" t="str">
        <f>IF($A187="","",IF(AF$6="NÃO",0,IF(AND(MONTH(ESTRUTURA!C187)=MONTH(ESTRUTURA!$F$3),A187&gt;0),Tabela!$H$30,0)))</f>
        <v/>
      </c>
      <c r="AG187" s="60" t="str">
        <f t="shared" si="40"/>
        <v/>
      </c>
      <c r="AH187" s="30" t="str">
        <f t="shared" si="40"/>
        <v/>
      </c>
      <c r="AI187" s="60" t="str">
        <f>IF($A187="","",IF(AI$6="NÃO",0,IF($A187=0,DATEDIF(ESTRUTURA!$F$3,ESTRUTURA!$F$4,"m")*Tabela!$H$33,Tabela!$H$33)))</f>
        <v/>
      </c>
      <c r="AJ187" s="30" t="str">
        <f t="shared" si="38"/>
        <v/>
      </c>
    </row>
    <row r="188" spans="1:36" x14ac:dyDescent="0.2">
      <c r="A188" s="66" t="str">
        <f>ESTRUTURA!A188</f>
        <v/>
      </c>
      <c r="B188" s="58">
        <f t="shared" si="32"/>
        <v>0</v>
      </c>
      <c r="C188" s="60" t="str">
        <f t="shared" ref="C188:R203" si="41">IF($A188="","",IF(C$6="NÃO",0,0))</f>
        <v/>
      </c>
      <c r="D188" s="30" t="str">
        <f t="shared" si="41"/>
        <v/>
      </c>
      <c r="E188" s="60" t="str">
        <f t="shared" si="41"/>
        <v/>
      </c>
      <c r="F188" s="30" t="str">
        <f>IF($A188="","",IF(F$6="NÃO",0,Tabela!$H$34*ESTRUTURA!$I$4))</f>
        <v/>
      </c>
      <c r="G188" s="60" t="str">
        <f t="shared" si="41"/>
        <v/>
      </c>
      <c r="H188" s="30" t="str">
        <f>IF($A188="","",IF(H$6="NÃO",0,IF($A188=0,DATEDIF(ESTRUTURA!$F$3,ESTRUTURA!$F$4,"m")*Tabela!$H$6,Tabela!$H$6)))</f>
        <v/>
      </c>
      <c r="I188" s="60" t="str">
        <f t="shared" si="41"/>
        <v/>
      </c>
      <c r="J188" s="30" t="str">
        <f>IF($A188="","",IF(J$6="NÃO",0,IF($A188=0,DATEDIF(ESTRUTURA!$F$3,ESTRUTURA!$F$4,"m")*Tabela!$H$8,IF(J$6="NÃO",0,Tabela!$H$8))))</f>
        <v/>
      </c>
      <c r="K188" s="60" t="str">
        <f t="shared" si="41"/>
        <v/>
      </c>
      <c r="L188" s="30" t="str">
        <f t="shared" si="41"/>
        <v/>
      </c>
      <c r="M188" s="60" t="str">
        <f t="shared" si="41"/>
        <v/>
      </c>
      <c r="N188" s="30" t="str">
        <f t="shared" si="41"/>
        <v/>
      </c>
      <c r="O188" s="60" t="str">
        <f t="shared" si="41"/>
        <v/>
      </c>
      <c r="P188" s="30" t="str">
        <f t="shared" si="39"/>
        <v/>
      </c>
      <c r="Q188" s="60" t="str">
        <f t="shared" si="41"/>
        <v/>
      </c>
      <c r="R188" s="30" t="str">
        <f t="shared" si="41"/>
        <v/>
      </c>
      <c r="S188" s="60" t="str">
        <f>IF($A188="","",IF(S$6="NÃO",0,IF($A188=0,DATEDIF(ESTRUTURA!$F$3,ESTRUTURA!$F$4,"m")*Tabela!$H$17,Tabela!$H$17)))</f>
        <v/>
      </c>
      <c r="T188" s="30" t="str">
        <f>IF($A188="","",IF(T$6="NÃO",0,IF($A188=0,DATEDIF(ESTRUTURA!$F$3,ESTRUTURA!$F$4,"m")*Tabela!$H$18,Tabela!$H$18)))</f>
        <v/>
      </c>
      <c r="U188" s="60" t="str">
        <f t="shared" si="40"/>
        <v/>
      </c>
      <c r="V188" s="30" t="str">
        <f>IF($A188="","",IF(V$6="NÃO",0,IF($A188=0,DATEDIF(ESTRUTURA!$F$3,ESTRUTURA!$F$4,"m")*Tabela!$H$20,Tabela!$H$20)))</f>
        <v/>
      </c>
      <c r="W188" s="60" t="str">
        <f t="shared" si="40"/>
        <v/>
      </c>
      <c r="X188" s="30" t="str">
        <f t="shared" si="40"/>
        <v/>
      </c>
      <c r="Y188" s="60" t="str">
        <f>IF($A188="","",IF(Y$6="NÃO",0,IF(A188=0,Tabela!$H$23,IF(Y$7="mensal",Tabela!$H$23,IF(AND(MONTH(ESTRUTURA!C188)=MONTH(ESTRUTURA!$F$3),A188&gt;0),Tabela!$H$23,0)))))</f>
        <v/>
      </c>
      <c r="Z188" s="30" t="str">
        <f t="shared" si="40"/>
        <v/>
      </c>
      <c r="AA188" s="60" t="str">
        <f>IF($A188="","",IF(AA$6="NÃO",0,Tabela!$H$25*nm_séries))</f>
        <v/>
      </c>
      <c r="AB188" s="30" t="str">
        <f t="shared" si="40"/>
        <v/>
      </c>
      <c r="AC188" s="60" t="str">
        <f>IF($A188="","",IF(AC$6="NÃO",0,IF(A188=0,Tabela!$H$27,IF(MOD(A188,3)=0,Tabela!$H$27,0))))</f>
        <v/>
      </c>
      <c r="AD188" s="30" t="str">
        <f t="shared" si="40"/>
        <v/>
      </c>
      <c r="AE188" s="60" t="str">
        <f t="shared" si="40"/>
        <v/>
      </c>
      <c r="AF188" s="30" t="str">
        <f>IF($A188="","",IF(AF$6="NÃO",0,IF(AND(MONTH(ESTRUTURA!C188)=MONTH(ESTRUTURA!$F$3),A188&gt;0),Tabela!$H$30,0)))</f>
        <v/>
      </c>
      <c r="AG188" s="60" t="str">
        <f t="shared" si="40"/>
        <v/>
      </c>
      <c r="AH188" s="30" t="str">
        <f t="shared" si="40"/>
        <v/>
      </c>
      <c r="AI188" s="60" t="str">
        <f>IF($A188="","",IF(AI$6="NÃO",0,IF($A188=0,DATEDIF(ESTRUTURA!$F$3,ESTRUTURA!$F$4,"m")*Tabela!$H$33,Tabela!$H$33)))</f>
        <v/>
      </c>
      <c r="AJ188" s="30" t="str">
        <f t="shared" si="38"/>
        <v/>
      </c>
    </row>
    <row r="189" spans="1:36" x14ac:dyDescent="0.2">
      <c r="A189" s="66" t="str">
        <f>ESTRUTURA!A189</f>
        <v/>
      </c>
      <c r="B189" s="58">
        <f t="shared" si="32"/>
        <v>0</v>
      </c>
      <c r="C189" s="60" t="str">
        <f t="shared" si="41"/>
        <v/>
      </c>
      <c r="D189" s="30" t="str">
        <f t="shared" si="41"/>
        <v/>
      </c>
      <c r="E189" s="60" t="str">
        <f t="shared" si="41"/>
        <v/>
      </c>
      <c r="F189" s="30" t="str">
        <f>IF($A189="","",IF(F$6="NÃO",0,Tabela!$H$34*ESTRUTURA!$I$4))</f>
        <v/>
      </c>
      <c r="G189" s="60" t="str">
        <f t="shared" si="41"/>
        <v/>
      </c>
      <c r="H189" s="30" t="str">
        <f>IF($A189="","",IF(H$6="NÃO",0,IF($A189=0,DATEDIF(ESTRUTURA!$F$3,ESTRUTURA!$F$4,"m")*Tabela!$H$6,Tabela!$H$6)))</f>
        <v/>
      </c>
      <c r="I189" s="60" t="str">
        <f t="shared" si="41"/>
        <v/>
      </c>
      <c r="J189" s="30" t="str">
        <f>IF($A189="","",IF(J$6="NÃO",0,IF($A189=0,DATEDIF(ESTRUTURA!$F$3,ESTRUTURA!$F$4,"m")*Tabela!$H$8,IF(J$6="NÃO",0,Tabela!$H$8))))</f>
        <v/>
      </c>
      <c r="K189" s="60" t="str">
        <f t="shared" si="41"/>
        <v/>
      </c>
      <c r="L189" s="30" t="str">
        <f t="shared" si="41"/>
        <v/>
      </c>
      <c r="M189" s="60" t="str">
        <f t="shared" si="41"/>
        <v/>
      </c>
      <c r="N189" s="30" t="str">
        <f t="shared" si="41"/>
        <v/>
      </c>
      <c r="O189" s="60" t="str">
        <f t="shared" si="41"/>
        <v/>
      </c>
      <c r="P189" s="30" t="str">
        <f t="shared" si="39"/>
        <v/>
      </c>
      <c r="Q189" s="60" t="str">
        <f t="shared" si="41"/>
        <v/>
      </c>
      <c r="R189" s="30" t="str">
        <f t="shared" si="41"/>
        <v/>
      </c>
      <c r="S189" s="60" t="str">
        <f>IF($A189="","",IF(S$6="NÃO",0,IF($A189=0,DATEDIF(ESTRUTURA!$F$3,ESTRUTURA!$F$4,"m")*Tabela!$H$17,Tabela!$H$17)))</f>
        <v/>
      </c>
      <c r="T189" s="30" t="str">
        <f>IF($A189="","",IF(T$6="NÃO",0,IF($A189=0,DATEDIF(ESTRUTURA!$F$3,ESTRUTURA!$F$4,"m")*Tabela!$H$18,Tabela!$H$18)))</f>
        <v/>
      </c>
      <c r="U189" s="60" t="str">
        <f t="shared" si="40"/>
        <v/>
      </c>
      <c r="V189" s="30" t="str">
        <f>IF($A189="","",IF(V$6="NÃO",0,IF($A189=0,DATEDIF(ESTRUTURA!$F$3,ESTRUTURA!$F$4,"m")*Tabela!$H$20,Tabela!$H$20)))</f>
        <v/>
      </c>
      <c r="W189" s="60" t="str">
        <f t="shared" si="40"/>
        <v/>
      </c>
      <c r="X189" s="30" t="str">
        <f t="shared" si="40"/>
        <v/>
      </c>
      <c r="Y189" s="60" t="str">
        <f>IF($A189="","",IF(Y$6="NÃO",0,IF(A189=0,Tabela!$H$23,IF(Y$7="mensal",Tabela!$H$23,IF(AND(MONTH(ESTRUTURA!C189)=MONTH(ESTRUTURA!$F$3),A189&gt;0),Tabela!$H$23,0)))))</f>
        <v/>
      </c>
      <c r="Z189" s="30" t="str">
        <f t="shared" si="40"/>
        <v/>
      </c>
      <c r="AA189" s="60" t="str">
        <f>IF($A189="","",IF(AA$6="NÃO",0,Tabela!$H$25*nm_séries))</f>
        <v/>
      </c>
      <c r="AB189" s="30" t="str">
        <f t="shared" si="40"/>
        <v/>
      </c>
      <c r="AC189" s="60" t="str">
        <f>IF($A189="","",IF(AC$6="NÃO",0,IF(A189=0,Tabela!$H$27,IF(MOD(A189,3)=0,Tabela!$H$27,0))))</f>
        <v/>
      </c>
      <c r="AD189" s="30" t="str">
        <f t="shared" si="40"/>
        <v/>
      </c>
      <c r="AE189" s="60" t="str">
        <f t="shared" si="40"/>
        <v/>
      </c>
      <c r="AF189" s="30" t="str">
        <f>IF($A189="","",IF(AF$6="NÃO",0,IF(AND(MONTH(ESTRUTURA!C189)=MONTH(ESTRUTURA!$F$3),A189&gt;0),Tabela!$H$30,0)))</f>
        <v/>
      </c>
      <c r="AG189" s="60" t="str">
        <f t="shared" si="40"/>
        <v/>
      </c>
      <c r="AH189" s="30" t="str">
        <f t="shared" si="40"/>
        <v/>
      </c>
      <c r="AI189" s="60" t="str">
        <f>IF($A189="","",IF(AI$6="NÃO",0,IF($A189=0,DATEDIF(ESTRUTURA!$F$3,ESTRUTURA!$F$4,"m")*Tabela!$H$33,Tabela!$H$33)))</f>
        <v/>
      </c>
      <c r="AJ189" s="30" t="str">
        <f t="shared" si="38"/>
        <v/>
      </c>
    </row>
    <row r="190" spans="1:36" x14ac:dyDescent="0.2">
      <c r="A190" s="66" t="str">
        <f>ESTRUTURA!A190</f>
        <v/>
      </c>
      <c r="B190" s="58">
        <f t="shared" si="32"/>
        <v>0</v>
      </c>
      <c r="C190" s="60" t="str">
        <f t="shared" si="41"/>
        <v/>
      </c>
      <c r="D190" s="30" t="str">
        <f t="shared" si="41"/>
        <v/>
      </c>
      <c r="E190" s="60" t="str">
        <f t="shared" si="41"/>
        <v/>
      </c>
      <c r="F190" s="30" t="str">
        <f>IF($A190="","",IF(F$6="NÃO",0,Tabela!$H$34*ESTRUTURA!$I$4))</f>
        <v/>
      </c>
      <c r="G190" s="60" t="str">
        <f t="shared" si="41"/>
        <v/>
      </c>
      <c r="H190" s="30" t="str">
        <f>IF($A190="","",IF(H$6="NÃO",0,IF($A190=0,DATEDIF(ESTRUTURA!$F$3,ESTRUTURA!$F$4,"m")*Tabela!$H$6,Tabela!$H$6)))</f>
        <v/>
      </c>
      <c r="I190" s="60" t="str">
        <f t="shared" si="41"/>
        <v/>
      </c>
      <c r="J190" s="30" t="str">
        <f>IF($A190="","",IF(J$6="NÃO",0,IF($A190=0,DATEDIF(ESTRUTURA!$F$3,ESTRUTURA!$F$4,"m")*Tabela!$H$8,IF(J$6="NÃO",0,Tabela!$H$8))))</f>
        <v/>
      </c>
      <c r="K190" s="60" t="str">
        <f t="shared" si="41"/>
        <v/>
      </c>
      <c r="L190" s="30" t="str">
        <f t="shared" si="41"/>
        <v/>
      </c>
      <c r="M190" s="60" t="str">
        <f t="shared" si="41"/>
        <v/>
      </c>
      <c r="N190" s="30" t="str">
        <f t="shared" si="41"/>
        <v/>
      </c>
      <c r="O190" s="60" t="str">
        <f t="shared" si="41"/>
        <v/>
      </c>
      <c r="P190" s="30" t="str">
        <f t="shared" si="39"/>
        <v/>
      </c>
      <c r="Q190" s="60" t="str">
        <f t="shared" si="41"/>
        <v/>
      </c>
      <c r="R190" s="30" t="str">
        <f t="shared" si="41"/>
        <v/>
      </c>
      <c r="S190" s="60" t="str">
        <f>IF($A190="","",IF(S$6="NÃO",0,IF($A190=0,DATEDIF(ESTRUTURA!$F$3,ESTRUTURA!$F$4,"m")*Tabela!$H$17,Tabela!$H$17)))</f>
        <v/>
      </c>
      <c r="T190" s="30" t="str">
        <f>IF($A190="","",IF(T$6="NÃO",0,IF($A190=0,DATEDIF(ESTRUTURA!$F$3,ESTRUTURA!$F$4,"m")*Tabela!$H$18,Tabela!$H$18)))</f>
        <v/>
      </c>
      <c r="U190" s="60" t="str">
        <f t="shared" si="40"/>
        <v/>
      </c>
      <c r="V190" s="30" t="str">
        <f>IF($A190="","",IF(V$6="NÃO",0,IF($A190=0,DATEDIF(ESTRUTURA!$F$3,ESTRUTURA!$F$4,"m")*Tabela!$H$20,Tabela!$H$20)))</f>
        <v/>
      </c>
      <c r="W190" s="60" t="str">
        <f t="shared" si="40"/>
        <v/>
      </c>
      <c r="X190" s="30" t="str">
        <f t="shared" si="40"/>
        <v/>
      </c>
      <c r="Y190" s="60" t="str">
        <f>IF($A190="","",IF(Y$6="NÃO",0,IF(A190=0,Tabela!$H$23,IF(Y$7="mensal",Tabela!$H$23,IF(AND(MONTH(ESTRUTURA!C190)=MONTH(ESTRUTURA!$F$3),A190&gt;0),Tabela!$H$23,0)))))</f>
        <v/>
      </c>
      <c r="Z190" s="30" t="str">
        <f t="shared" si="40"/>
        <v/>
      </c>
      <c r="AA190" s="60" t="str">
        <f>IF($A190="","",IF(AA$6="NÃO",0,Tabela!$H$25*nm_séries))</f>
        <v/>
      </c>
      <c r="AB190" s="30" t="str">
        <f t="shared" si="40"/>
        <v/>
      </c>
      <c r="AC190" s="60" t="str">
        <f>IF($A190="","",IF(AC$6="NÃO",0,IF(A190=0,Tabela!$H$27,IF(MOD(A190,3)=0,Tabela!$H$27,0))))</f>
        <v/>
      </c>
      <c r="AD190" s="30" t="str">
        <f t="shared" si="40"/>
        <v/>
      </c>
      <c r="AE190" s="60" t="str">
        <f t="shared" si="40"/>
        <v/>
      </c>
      <c r="AF190" s="30" t="str">
        <f>IF($A190="","",IF(AF$6="NÃO",0,IF(AND(MONTH(ESTRUTURA!C190)=MONTH(ESTRUTURA!$F$3),A190&gt;0),Tabela!$H$30,0)))</f>
        <v/>
      </c>
      <c r="AG190" s="60" t="str">
        <f t="shared" si="40"/>
        <v/>
      </c>
      <c r="AH190" s="30" t="str">
        <f t="shared" si="40"/>
        <v/>
      </c>
      <c r="AI190" s="60" t="str">
        <f>IF($A190="","",IF(AI$6="NÃO",0,IF($A190=0,DATEDIF(ESTRUTURA!$F$3,ESTRUTURA!$F$4,"m")*Tabela!$H$33,Tabela!$H$33)))</f>
        <v/>
      </c>
      <c r="AJ190" s="30" t="str">
        <f t="shared" si="38"/>
        <v/>
      </c>
    </row>
    <row r="191" spans="1:36" x14ac:dyDescent="0.2">
      <c r="A191" s="66" t="str">
        <f>ESTRUTURA!A191</f>
        <v/>
      </c>
      <c r="B191" s="58">
        <f t="shared" si="32"/>
        <v>0</v>
      </c>
      <c r="C191" s="60" t="str">
        <f t="shared" si="41"/>
        <v/>
      </c>
      <c r="D191" s="30" t="str">
        <f t="shared" si="41"/>
        <v/>
      </c>
      <c r="E191" s="60" t="str">
        <f t="shared" si="41"/>
        <v/>
      </c>
      <c r="F191" s="30" t="str">
        <f>IF($A191="","",IF(F$6="NÃO",0,Tabela!$H$34*ESTRUTURA!$I$4))</f>
        <v/>
      </c>
      <c r="G191" s="60" t="str">
        <f t="shared" si="41"/>
        <v/>
      </c>
      <c r="H191" s="30" t="str">
        <f>IF($A191="","",IF(H$6="NÃO",0,IF($A191=0,DATEDIF(ESTRUTURA!$F$3,ESTRUTURA!$F$4,"m")*Tabela!$H$6,Tabela!$H$6)))</f>
        <v/>
      </c>
      <c r="I191" s="60" t="str">
        <f t="shared" si="41"/>
        <v/>
      </c>
      <c r="J191" s="30" t="str">
        <f>IF($A191="","",IF(J$6="NÃO",0,IF($A191=0,DATEDIF(ESTRUTURA!$F$3,ESTRUTURA!$F$4,"m")*Tabela!$H$8,IF(J$6="NÃO",0,Tabela!$H$8))))</f>
        <v/>
      </c>
      <c r="K191" s="60" t="str">
        <f t="shared" si="41"/>
        <v/>
      </c>
      <c r="L191" s="30" t="str">
        <f t="shared" si="41"/>
        <v/>
      </c>
      <c r="M191" s="60" t="str">
        <f t="shared" si="41"/>
        <v/>
      </c>
      <c r="N191" s="30" t="str">
        <f t="shared" si="41"/>
        <v/>
      </c>
      <c r="O191" s="60" t="str">
        <f t="shared" si="41"/>
        <v/>
      </c>
      <c r="P191" s="30" t="str">
        <f t="shared" si="39"/>
        <v/>
      </c>
      <c r="Q191" s="60" t="str">
        <f t="shared" si="41"/>
        <v/>
      </c>
      <c r="R191" s="30" t="str">
        <f t="shared" si="41"/>
        <v/>
      </c>
      <c r="S191" s="60" t="str">
        <f>IF($A191="","",IF(S$6="NÃO",0,IF($A191=0,DATEDIF(ESTRUTURA!$F$3,ESTRUTURA!$F$4,"m")*Tabela!$H$17,Tabela!$H$17)))</f>
        <v/>
      </c>
      <c r="T191" s="30" t="str">
        <f>IF($A191="","",IF(T$6="NÃO",0,IF($A191=0,DATEDIF(ESTRUTURA!$F$3,ESTRUTURA!$F$4,"m")*Tabela!$H$18,Tabela!$H$18)))</f>
        <v/>
      </c>
      <c r="U191" s="60" t="str">
        <f t="shared" si="40"/>
        <v/>
      </c>
      <c r="V191" s="30" t="str">
        <f>IF($A191="","",IF(V$6="NÃO",0,IF($A191=0,DATEDIF(ESTRUTURA!$F$3,ESTRUTURA!$F$4,"m")*Tabela!$H$20,Tabela!$H$20)))</f>
        <v/>
      </c>
      <c r="W191" s="60" t="str">
        <f t="shared" si="40"/>
        <v/>
      </c>
      <c r="X191" s="30" t="str">
        <f t="shared" si="40"/>
        <v/>
      </c>
      <c r="Y191" s="60" t="str">
        <f>IF($A191="","",IF(Y$6="NÃO",0,IF(A191=0,Tabela!$H$23,IF(Y$7="mensal",Tabela!$H$23,IF(AND(MONTH(ESTRUTURA!C191)=MONTH(ESTRUTURA!$F$3),A191&gt;0),Tabela!$H$23,0)))))</f>
        <v/>
      </c>
      <c r="Z191" s="30" t="str">
        <f t="shared" si="40"/>
        <v/>
      </c>
      <c r="AA191" s="60" t="str">
        <f>IF($A191="","",IF(AA$6="NÃO",0,Tabela!$H$25*nm_séries))</f>
        <v/>
      </c>
      <c r="AB191" s="30" t="str">
        <f t="shared" si="40"/>
        <v/>
      </c>
      <c r="AC191" s="60" t="str">
        <f>IF($A191="","",IF(AC$6="NÃO",0,IF(A191=0,Tabela!$H$27,IF(MOD(A191,3)=0,Tabela!$H$27,0))))</f>
        <v/>
      </c>
      <c r="AD191" s="30" t="str">
        <f t="shared" si="40"/>
        <v/>
      </c>
      <c r="AE191" s="60" t="str">
        <f t="shared" si="40"/>
        <v/>
      </c>
      <c r="AF191" s="30" t="str">
        <f>IF($A191="","",IF(AF$6="NÃO",0,IF(AND(MONTH(ESTRUTURA!C191)=MONTH(ESTRUTURA!$F$3),A191&gt;0),Tabela!$H$30,0)))</f>
        <v/>
      </c>
      <c r="AG191" s="60" t="str">
        <f t="shared" si="40"/>
        <v/>
      </c>
      <c r="AH191" s="30" t="str">
        <f t="shared" si="40"/>
        <v/>
      </c>
      <c r="AI191" s="60" t="str">
        <f>IF($A191="","",IF(AI$6="NÃO",0,IF($A191=0,DATEDIF(ESTRUTURA!$F$3,ESTRUTURA!$F$4,"m")*Tabela!$H$33,Tabela!$H$33)))</f>
        <v/>
      </c>
      <c r="AJ191" s="30" t="str">
        <f t="shared" si="38"/>
        <v/>
      </c>
    </row>
    <row r="192" spans="1:36" x14ac:dyDescent="0.2">
      <c r="A192" s="66" t="str">
        <f>ESTRUTURA!A192</f>
        <v/>
      </c>
      <c r="B192" s="58">
        <f t="shared" si="32"/>
        <v>0</v>
      </c>
      <c r="C192" s="60" t="str">
        <f t="shared" si="41"/>
        <v/>
      </c>
      <c r="D192" s="30" t="str">
        <f t="shared" si="41"/>
        <v/>
      </c>
      <c r="E192" s="60" t="str">
        <f t="shared" si="41"/>
        <v/>
      </c>
      <c r="F192" s="30" t="str">
        <f>IF($A192="","",IF(F$6="NÃO",0,Tabela!$H$34*ESTRUTURA!$I$4))</f>
        <v/>
      </c>
      <c r="G192" s="60" t="str">
        <f t="shared" si="41"/>
        <v/>
      </c>
      <c r="H192" s="30" t="str">
        <f>IF($A192="","",IF(H$6="NÃO",0,IF($A192=0,DATEDIF(ESTRUTURA!$F$3,ESTRUTURA!$F$4,"m")*Tabela!$H$6,Tabela!$H$6)))</f>
        <v/>
      </c>
      <c r="I192" s="60" t="str">
        <f t="shared" si="41"/>
        <v/>
      </c>
      <c r="J192" s="30" t="str">
        <f>IF($A192="","",IF(J$6="NÃO",0,IF($A192=0,DATEDIF(ESTRUTURA!$F$3,ESTRUTURA!$F$4,"m")*Tabela!$H$8,IF(J$6="NÃO",0,Tabela!$H$8))))</f>
        <v/>
      </c>
      <c r="K192" s="60" t="str">
        <f t="shared" si="41"/>
        <v/>
      </c>
      <c r="L192" s="30" t="str">
        <f t="shared" si="41"/>
        <v/>
      </c>
      <c r="M192" s="60" t="str">
        <f t="shared" si="41"/>
        <v/>
      </c>
      <c r="N192" s="30" t="str">
        <f t="shared" si="41"/>
        <v/>
      </c>
      <c r="O192" s="60" t="str">
        <f t="shared" si="41"/>
        <v/>
      </c>
      <c r="P192" s="30" t="str">
        <f t="shared" si="39"/>
        <v/>
      </c>
      <c r="Q192" s="60" t="str">
        <f t="shared" si="41"/>
        <v/>
      </c>
      <c r="R192" s="30" t="str">
        <f t="shared" si="41"/>
        <v/>
      </c>
      <c r="S192" s="60" t="str">
        <f>IF($A192="","",IF(S$6="NÃO",0,IF($A192=0,DATEDIF(ESTRUTURA!$F$3,ESTRUTURA!$F$4,"m")*Tabela!$H$17,Tabela!$H$17)))</f>
        <v/>
      </c>
      <c r="T192" s="30" t="str">
        <f>IF($A192="","",IF(T$6="NÃO",0,IF($A192=0,DATEDIF(ESTRUTURA!$F$3,ESTRUTURA!$F$4,"m")*Tabela!$H$18,Tabela!$H$18)))</f>
        <v/>
      </c>
      <c r="U192" s="60" t="str">
        <f t="shared" si="40"/>
        <v/>
      </c>
      <c r="V192" s="30" t="str">
        <f>IF($A192="","",IF(V$6="NÃO",0,IF($A192=0,DATEDIF(ESTRUTURA!$F$3,ESTRUTURA!$F$4,"m")*Tabela!$H$20,Tabela!$H$20)))</f>
        <v/>
      </c>
      <c r="W192" s="60" t="str">
        <f t="shared" si="40"/>
        <v/>
      </c>
      <c r="X192" s="30" t="str">
        <f t="shared" si="40"/>
        <v/>
      </c>
      <c r="Y192" s="60" t="str">
        <f>IF($A192="","",IF(Y$6="NÃO",0,IF(A192=0,Tabela!$H$23,IF(Y$7="mensal",Tabela!$H$23,IF(AND(MONTH(ESTRUTURA!C192)=MONTH(ESTRUTURA!$F$3),A192&gt;0),Tabela!$H$23,0)))))</f>
        <v/>
      </c>
      <c r="Z192" s="30" t="str">
        <f t="shared" si="40"/>
        <v/>
      </c>
      <c r="AA192" s="60" t="str">
        <f>IF($A192="","",IF(AA$6="NÃO",0,Tabela!$H$25*nm_séries))</f>
        <v/>
      </c>
      <c r="AB192" s="30" t="str">
        <f t="shared" si="40"/>
        <v/>
      </c>
      <c r="AC192" s="60" t="str">
        <f>IF($A192="","",IF(AC$6="NÃO",0,IF(A192=0,Tabela!$H$27,IF(MOD(A192,3)=0,Tabela!$H$27,0))))</f>
        <v/>
      </c>
      <c r="AD192" s="30" t="str">
        <f t="shared" si="40"/>
        <v/>
      </c>
      <c r="AE192" s="60" t="str">
        <f t="shared" si="40"/>
        <v/>
      </c>
      <c r="AF192" s="30" t="str">
        <f>IF($A192="","",IF(AF$6="NÃO",0,IF(AND(MONTH(ESTRUTURA!C192)=MONTH(ESTRUTURA!$F$3),A192&gt;0),Tabela!$H$30,0)))</f>
        <v/>
      </c>
      <c r="AG192" s="60" t="str">
        <f t="shared" si="40"/>
        <v/>
      </c>
      <c r="AH192" s="30" t="str">
        <f t="shared" si="40"/>
        <v/>
      </c>
      <c r="AI192" s="60" t="str">
        <f>IF($A192="","",IF(AI$6="NÃO",0,IF($A192=0,DATEDIF(ESTRUTURA!$F$3,ESTRUTURA!$F$4,"m")*Tabela!$H$33,Tabela!$H$33)))</f>
        <v/>
      </c>
      <c r="AJ192" s="30" t="str">
        <f t="shared" si="38"/>
        <v/>
      </c>
    </row>
    <row r="193" spans="1:36" x14ac:dyDescent="0.2">
      <c r="A193" s="66" t="str">
        <f>ESTRUTURA!A193</f>
        <v/>
      </c>
      <c r="B193" s="58">
        <f t="shared" si="32"/>
        <v>0</v>
      </c>
      <c r="C193" s="60" t="str">
        <f t="shared" si="41"/>
        <v/>
      </c>
      <c r="D193" s="30" t="str">
        <f t="shared" si="41"/>
        <v/>
      </c>
      <c r="E193" s="60" t="str">
        <f t="shared" si="41"/>
        <v/>
      </c>
      <c r="F193" s="30" t="str">
        <f>IF($A193="","",IF(F$6="NÃO",0,Tabela!$H$34*ESTRUTURA!$I$4))</f>
        <v/>
      </c>
      <c r="G193" s="60" t="str">
        <f t="shared" si="41"/>
        <v/>
      </c>
      <c r="H193" s="30" t="str">
        <f>IF($A193="","",IF(H$6="NÃO",0,IF($A193=0,DATEDIF(ESTRUTURA!$F$3,ESTRUTURA!$F$4,"m")*Tabela!$H$6,Tabela!$H$6)))</f>
        <v/>
      </c>
      <c r="I193" s="60" t="str">
        <f t="shared" si="41"/>
        <v/>
      </c>
      <c r="J193" s="30" t="str">
        <f>IF($A193="","",IF(J$6="NÃO",0,IF($A193=0,DATEDIF(ESTRUTURA!$F$3,ESTRUTURA!$F$4,"m")*Tabela!$H$8,IF(J$6="NÃO",0,Tabela!$H$8))))</f>
        <v/>
      </c>
      <c r="K193" s="60" t="str">
        <f t="shared" si="41"/>
        <v/>
      </c>
      <c r="L193" s="30" t="str">
        <f t="shared" si="41"/>
        <v/>
      </c>
      <c r="M193" s="60" t="str">
        <f t="shared" si="41"/>
        <v/>
      </c>
      <c r="N193" s="30" t="str">
        <f t="shared" si="41"/>
        <v/>
      </c>
      <c r="O193" s="60" t="str">
        <f t="shared" si="41"/>
        <v/>
      </c>
      <c r="P193" s="30" t="str">
        <f t="shared" si="39"/>
        <v/>
      </c>
      <c r="Q193" s="60" t="str">
        <f t="shared" si="41"/>
        <v/>
      </c>
      <c r="R193" s="30" t="str">
        <f t="shared" si="41"/>
        <v/>
      </c>
      <c r="S193" s="60" t="str">
        <f>IF($A193="","",IF(S$6="NÃO",0,IF($A193=0,DATEDIF(ESTRUTURA!$F$3,ESTRUTURA!$F$4,"m")*Tabela!$H$17,Tabela!$H$17)))</f>
        <v/>
      </c>
      <c r="T193" s="30" t="str">
        <f>IF($A193="","",IF(T$6="NÃO",0,IF($A193=0,DATEDIF(ESTRUTURA!$F$3,ESTRUTURA!$F$4,"m")*Tabela!$H$18,Tabela!$H$18)))</f>
        <v/>
      </c>
      <c r="U193" s="60" t="str">
        <f t="shared" si="40"/>
        <v/>
      </c>
      <c r="V193" s="30" t="str">
        <f>IF($A193="","",IF(V$6="NÃO",0,IF($A193=0,DATEDIF(ESTRUTURA!$F$3,ESTRUTURA!$F$4,"m")*Tabela!$H$20,Tabela!$H$20)))</f>
        <v/>
      </c>
      <c r="W193" s="60" t="str">
        <f t="shared" si="40"/>
        <v/>
      </c>
      <c r="X193" s="30" t="str">
        <f t="shared" si="40"/>
        <v/>
      </c>
      <c r="Y193" s="60" t="str">
        <f>IF($A193="","",IF(Y$6="NÃO",0,IF(A193=0,Tabela!$H$23,IF(Y$7="mensal",Tabela!$H$23,IF(AND(MONTH(ESTRUTURA!C193)=MONTH(ESTRUTURA!$F$3),A193&gt;0),Tabela!$H$23,0)))))</f>
        <v/>
      </c>
      <c r="Z193" s="30" t="str">
        <f t="shared" si="40"/>
        <v/>
      </c>
      <c r="AA193" s="60" t="str">
        <f>IF($A193="","",IF(AA$6="NÃO",0,Tabela!$H$25*nm_séries))</f>
        <v/>
      </c>
      <c r="AB193" s="30" t="str">
        <f t="shared" si="40"/>
        <v/>
      </c>
      <c r="AC193" s="60" t="str">
        <f>IF($A193="","",IF(AC$6="NÃO",0,IF(A193=0,Tabela!$H$27,IF(MOD(A193,3)=0,Tabela!$H$27,0))))</f>
        <v/>
      </c>
      <c r="AD193" s="30" t="str">
        <f t="shared" si="40"/>
        <v/>
      </c>
      <c r="AE193" s="60" t="str">
        <f t="shared" si="40"/>
        <v/>
      </c>
      <c r="AF193" s="30" t="str">
        <f>IF($A193="","",IF(AF$6="NÃO",0,IF(AND(MONTH(ESTRUTURA!C193)=MONTH(ESTRUTURA!$F$3),A193&gt;0),Tabela!$H$30,0)))</f>
        <v/>
      </c>
      <c r="AG193" s="60" t="str">
        <f t="shared" si="40"/>
        <v/>
      </c>
      <c r="AH193" s="30" t="str">
        <f t="shared" si="40"/>
        <v/>
      </c>
      <c r="AI193" s="60" t="str">
        <f>IF($A193="","",IF(AI$6="NÃO",0,IF($A193=0,DATEDIF(ESTRUTURA!$F$3,ESTRUTURA!$F$4,"m")*Tabela!$H$33,Tabela!$H$33)))</f>
        <v/>
      </c>
      <c r="AJ193" s="30" t="str">
        <f t="shared" si="38"/>
        <v/>
      </c>
    </row>
    <row r="194" spans="1:36" x14ac:dyDescent="0.2">
      <c r="A194" s="66" t="str">
        <f>ESTRUTURA!A194</f>
        <v/>
      </c>
      <c r="B194" s="58">
        <f t="shared" si="32"/>
        <v>0</v>
      </c>
      <c r="C194" s="60" t="str">
        <f t="shared" si="41"/>
        <v/>
      </c>
      <c r="D194" s="30" t="str">
        <f t="shared" si="41"/>
        <v/>
      </c>
      <c r="E194" s="60" t="str">
        <f t="shared" si="41"/>
        <v/>
      </c>
      <c r="F194" s="30" t="str">
        <f>IF($A194="","",IF(F$6="NÃO",0,Tabela!$H$34*ESTRUTURA!$I$4))</f>
        <v/>
      </c>
      <c r="G194" s="60" t="str">
        <f t="shared" si="41"/>
        <v/>
      </c>
      <c r="H194" s="30" t="str">
        <f>IF($A194="","",IF(H$6="NÃO",0,IF($A194=0,DATEDIF(ESTRUTURA!$F$3,ESTRUTURA!$F$4,"m")*Tabela!$H$6,Tabela!$H$6)))</f>
        <v/>
      </c>
      <c r="I194" s="60" t="str">
        <f t="shared" si="41"/>
        <v/>
      </c>
      <c r="J194" s="30" t="str">
        <f>IF($A194="","",IF(J$6="NÃO",0,IF($A194=0,DATEDIF(ESTRUTURA!$F$3,ESTRUTURA!$F$4,"m")*Tabela!$H$8,IF(J$6="NÃO",0,Tabela!$H$8))))</f>
        <v/>
      </c>
      <c r="K194" s="60" t="str">
        <f t="shared" si="41"/>
        <v/>
      </c>
      <c r="L194" s="30" t="str">
        <f t="shared" si="41"/>
        <v/>
      </c>
      <c r="M194" s="60" t="str">
        <f t="shared" si="41"/>
        <v/>
      </c>
      <c r="N194" s="30" t="str">
        <f t="shared" si="41"/>
        <v/>
      </c>
      <c r="O194" s="60" t="str">
        <f t="shared" si="41"/>
        <v/>
      </c>
      <c r="P194" s="30" t="str">
        <f t="shared" si="39"/>
        <v/>
      </c>
      <c r="Q194" s="60" t="str">
        <f t="shared" si="41"/>
        <v/>
      </c>
      <c r="R194" s="30" t="str">
        <f t="shared" si="41"/>
        <v/>
      </c>
      <c r="S194" s="60" t="str">
        <f>IF($A194="","",IF(S$6="NÃO",0,IF($A194=0,DATEDIF(ESTRUTURA!$F$3,ESTRUTURA!$F$4,"m")*Tabela!$H$17,Tabela!$H$17)))</f>
        <v/>
      </c>
      <c r="T194" s="30" t="str">
        <f>IF($A194="","",IF(T$6="NÃO",0,IF($A194=0,DATEDIF(ESTRUTURA!$F$3,ESTRUTURA!$F$4,"m")*Tabela!$H$18,Tabela!$H$18)))</f>
        <v/>
      </c>
      <c r="U194" s="60" t="str">
        <f t="shared" si="40"/>
        <v/>
      </c>
      <c r="V194" s="30" t="str">
        <f>IF($A194="","",IF(V$6="NÃO",0,IF($A194=0,DATEDIF(ESTRUTURA!$F$3,ESTRUTURA!$F$4,"m")*Tabela!$H$20,Tabela!$H$20)))</f>
        <v/>
      </c>
      <c r="W194" s="60" t="str">
        <f t="shared" si="40"/>
        <v/>
      </c>
      <c r="X194" s="30" t="str">
        <f t="shared" si="40"/>
        <v/>
      </c>
      <c r="Y194" s="60" t="str">
        <f>IF($A194="","",IF(Y$6="NÃO",0,IF(A194=0,Tabela!$H$23,IF(Y$7="mensal",Tabela!$H$23,IF(AND(MONTH(ESTRUTURA!C194)=MONTH(ESTRUTURA!$F$3),A194&gt;0),Tabela!$H$23,0)))))</f>
        <v/>
      </c>
      <c r="Z194" s="30" t="str">
        <f t="shared" si="40"/>
        <v/>
      </c>
      <c r="AA194" s="60" t="str">
        <f>IF($A194="","",IF(AA$6="NÃO",0,Tabela!$H$25*nm_séries))</f>
        <v/>
      </c>
      <c r="AB194" s="30" t="str">
        <f t="shared" si="40"/>
        <v/>
      </c>
      <c r="AC194" s="60" t="str">
        <f>IF($A194="","",IF(AC$6="NÃO",0,IF(A194=0,Tabela!$H$27,IF(MOD(A194,3)=0,Tabela!$H$27,0))))</f>
        <v/>
      </c>
      <c r="AD194" s="30" t="str">
        <f t="shared" si="40"/>
        <v/>
      </c>
      <c r="AE194" s="60" t="str">
        <f t="shared" si="40"/>
        <v/>
      </c>
      <c r="AF194" s="30" t="str">
        <f>IF($A194="","",IF(AF$6="NÃO",0,IF(AND(MONTH(ESTRUTURA!C194)=MONTH(ESTRUTURA!$F$3),A194&gt;0),Tabela!$H$30,0)))</f>
        <v/>
      </c>
      <c r="AG194" s="60" t="str">
        <f t="shared" si="40"/>
        <v/>
      </c>
      <c r="AH194" s="30" t="str">
        <f t="shared" si="40"/>
        <v/>
      </c>
      <c r="AI194" s="60" t="str">
        <f>IF($A194="","",IF(AI$6="NÃO",0,IF($A194=0,DATEDIF(ESTRUTURA!$F$3,ESTRUTURA!$F$4,"m")*Tabela!$H$33,Tabela!$H$33)))</f>
        <v/>
      </c>
      <c r="AJ194" s="30" t="str">
        <f t="shared" si="38"/>
        <v/>
      </c>
    </row>
    <row r="195" spans="1:36" x14ac:dyDescent="0.2">
      <c r="A195" s="66" t="str">
        <f>ESTRUTURA!A195</f>
        <v/>
      </c>
      <c r="B195" s="58">
        <f t="shared" si="32"/>
        <v>0</v>
      </c>
      <c r="C195" s="60" t="str">
        <f t="shared" si="41"/>
        <v/>
      </c>
      <c r="D195" s="30" t="str">
        <f t="shared" si="41"/>
        <v/>
      </c>
      <c r="E195" s="60" t="str">
        <f t="shared" si="41"/>
        <v/>
      </c>
      <c r="F195" s="30" t="str">
        <f>IF($A195="","",IF(F$6="NÃO",0,Tabela!$H$34*ESTRUTURA!$I$4))</f>
        <v/>
      </c>
      <c r="G195" s="60" t="str">
        <f t="shared" si="41"/>
        <v/>
      </c>
      <c r="H195" s="30" t="str">
        <f>IF($A195="","",IF(H$6="NÃO",0,IF($A195=0,DATEDIF(ESTRUTURA!$F$3,ESTRUTURA!$F$4,"m")*Tabela!$H$6,Tabela!$H$6)))</f>
        <v/>
      </c>
      <c r="I195" s="60" t="str">
        <f t="shared" si="41"/>
        <v/>
      </c>
      <c r="J195" s="30" t="str">
        <f>IF($A195="","",IF(J$6="NÃO",0,IF($A195=0,DATEDIF(ESTRUTURA!$F$3,ESTRUTURA!$F$4,"m")*Tabela!$H$8,IF(J$6="NÃO",0,Tabela!$H$8))))</f>
        <v/>
      </c>
      <c r="K195" s="60" t="str">
        <f t="shared" si="41"/>
        <v/>
      </c>
      <c r="L195" s="30" t="str">
        <f t="shared" si="41"/>
        <v/>
      </c>
      <c r="M195" s="60" t="str">
        <f t="shared" si="41"/>
        <v/>
      </c>
      <c r="N195" s="30" t="str">
        <f t="shared" si="41"/>
        <v/>
      </c>
      <c r="O195" s="60" t="str">
        <f t="shared" si="41"/>
        <v/>
      </c>
      <c r="P195" s="30" t="str">
        <f t="shared" si="39"/>
        <v/>
      </c>
      <c r="Q195" s="60" t="str">
        <f t="shared" si="41"/>
        <v/>
      </c>
      <c r="R195" s="30" t="str">
        <f t="shared" si="41"/>
        <v/>
      </c>
      <c r="S195" s="60" t="str">
        <f>IF($A195="","",IF(S$6="NÃO",0,IF($A195=0,DATEDIF(ESTRUTURA!$F$3,ESTRUTURA!$F$4,"m")*Tabela!$H$17,Tabela!$H$17)))</f>
        <v/>
      </c>
      <c r="T195" s="30" t="str">
        <f>IF($A195="","",IF(T$6="NÃO",0,IF($A195=0,DATEDIF(ESTRUTURA!$F$3,ESTRUTURA!$F$4,"m")*Tabela!$H$18,Tabela!$H$18)))</f>
        <v/>
      </c>
      <c r="U195" s="60" t="str">
        <f t="shared" si="40"/>
        <v/>
      </c>
      <c r="V195" s="30" t="str">
        <f>IF($A195="","",IF(V$6="NÃO",0,IF($A195=0,DATEDIF(ESTRUTURA!$F$3,ESTRUTURA!$F$4,"m")*Tabela!$H$20,Tabela!$H$20)))</f>
        <v/>
      </c>
      <c r="W195" s="60" t="str">
        <f t="shared" si="40"/>
        <v/>
      </c>
      <c r="X195" s="30" t="str">
        <f t="shared" si="40"/>
        <v/>
      </c>
      <c r="Y195" s="60" t="str">
        <f>IF($A195="","",IF(Y$6="NÃO",0,IF(A195=0,Tabela!$H$23,IF(Y$7="mensal",Tabela!$H$23,IF(AND(MONTH(ESTRUTURA!C195)=MONTH(ESTRUTURA!$F$3),A195&gt;0),Tabela!$H$23,0)))))</f>
        <v/>
      </c>
      <c r="Z195" s="30" t="str">
        <f t="shared" si="40"/>
        <v/>
      </c>
      <c r="AA195" s="60" t="str">
        <f>IF($A195="","",IF(AA$6="NÃO",0,Tabela!$H$25*nm_séries))</f>
        <v/>
      </c>
      <c r="AB195" s="30" t="str">
        <f t="shared" si="40"/>
        <v/>
      </c>
      <c r="AC195" s="60" t="str">
        <f>IF($A195="","",IF(AC$6="NÃO",0,IF(A195=0,Tabela!$H$27,IF(MOD(A195,3)=0,Tabela!$H$27,0))))</f>
        <v/>
      </c>
      <c r="AD195" s="30" t="str">
        <f t="shared" si="40"/>
        <v/>
      </c>
      <c r="AE195" s="60" t="str">
        <f t="shared" si="40"/>
        <v/>
      </c>
      <c r="AF195" s="30" t="str">
        <f>IF($A195="","",IF(AF$6="NÃO",0,IF(AND(MONTH(ESTRUTURA!C195)=MONTH(ESTRUTURA!$F$3),A195&gt;0),Tabela!$H$30,0)))</f>
        <v/>
      </c>
      <c r="AG195" s="60" t="str">
        <f t="shared" si="40"/>
        <v/>
      </c>
      <c r="AH195" s="30" t="str">
        <f t="shared" si="40"/>
        <v/>
      </c>
      <c r="AI195" s="60" t="str">
        <f>IF($A195="","",IF(AI$6="NÃO",0,IF($A195=0,DATEDIF(ESTRUTURA!$F$3,ESTRUTURA!$F$4,"m")*Tabela!$H$33,Tabela!$H$33)))</f>
        <v/>
      </c>
      <c r="AJ195" s="30" t="str">
        <f t="shared" si="38"/>
        <v/>
      </c>
    </row>
    <row r="196" spans="1:36" x14ac:dyDescent="0.2">
      <c r="A196" s="66" t="str">
        <f>ESTRUTURA!A196</f>
        <v/>
      </c>
      <c r="B196" s="58">
        <f t="shared" si="32"/>
        <v>0</v>
      </c>
      <c r="C196" s="60" t="str">
        <f t="shared" si="41"/>
        <v/>
      </c>
      <c r="D196" s="30" t="str">
        <f t="shared" si="41"/>
        <v/>
      </c>
      <c r="E196" s="60" t="str">
        <f t="shared" si="41"/>
        <v/>
      </c>
      <c r="F196" s="30" t="str">
        <f>IF($A196="","",IF(F$6="NÃO",0,Tabela!$H$34*ESTRUTURA!$I$4))</f>
        <v/>
      </c>
      <c r="G196" s="60" t="str">
        <f t="shared" si="41"/>
        <v/>
      </c>
      <c r="H196" s="30" t="str">
        <f>IF($A196="","",IF(H$6="NÃO",0,IF($A196=0,DATEDIF(ESTRUTURA!$F$3,ESTRUTURA!$F$4,"m")*Tabela!$H$6,Tabela!$H$6)))</f>
        <v/>
      </c>
      <c r="I196" s="60" t="str">
        <f t="shared" si="41"/>
        <v/>
      </c>
      <c r="J196" s="30" t="str">
        <f>IF($A196="","",IF(J$6="NÃO",0,IF($A196=0,DATEDIF(ESTRUTURA!$F$3,ESTRUTURA!$F$4,"m")*Tabela!$H$8,IF(J$6="NÃO",0,Tabela!$H$8))))</f>
        <v/>
      </c>
      <c r="K196" s="60" t="str">
        <f t="shared" si="41"/>
        <v/>
      </c>
      <c r="L196" s="30" t="str">
        <f t="shared" si="41"/>
        <v/>
      </c>
      <c r="M196" s="60" t="str">
        <f t="shared" si="41"/>
        <v/>
      </c>
      <c r="N196" s="30" t="str">
        <f t="shared" si="41"/>
        <v/>
      </c>
      <c r="O196" s="60" t="str">
        <f t="shared" si="41"/>
        <v/>
      </c>
      <c r="P196" s="30" t="str">
        <f t="shared" si="39"/>
        <v/>
      </c>
      <c r="Q196" s="60" t="str">
        <f t="shared" si="41"/>
        <v/>
      </c>
      <c r="R196" s="30" t="str">
        <f t="shared" si="41"/>
        <v/>
      </c>
      <c r="S196" s="60" t="str">
        <f>IF($A196="","",IF(S$6="NÃO",0,IF($A196=0,DATEDIF(ESTRUTURA!$F$3,ESTRUTURA!$F$4,"m")*Tabela!$H$17,Tabela!$H$17)))</f>
        <v/>
      </c>
      <c r="T196" s="30" t="str">
        <f>IF($A196="","",IF(T$6="NÃO",0,IF($A196=0,DATEDIF(ESTRUTURA!$F$3,ESTRUTURA!$F$4,"m")*Tabela!$H$18,Tabela!$H$18)))</f>
        <v/>
      </c>
      <c r="U196" s="60" t="str">
        <f t="shared" si="40"/>
        <v/>
      </c>
      <c r="V196" s="30" t="str">
        <f>IF($A196="","",IF(V$6="NÃO",0,IF($A196=0,DATEDIF(ESTRUTURA!$F$3,ESTRUTURA!$F$4,"m")*Tabela!$H$20,Tabela!$H$20)))</f>
        <v/>
      </c>
      <c r="W196" s="60" t="str">
        <f t="shared" si="40"/>
        <v/>
      </c>
      <c r="X196" s="30" t="str">
        <f t="shared" si="40"/>
        <v/>
      </c>
      <c r="Y196" s="60" t="str">
        <f>IF($A196="","",IF(Y$6="NÃO",0,IF(A196=0,Tabela!$H$23,IF(Y$7="mensal",Tabela!$H$23,IF(AND(MONTH(ESTRUTURA!C196)=MONTH(ESTRUTURA!$F$3),A196&gt;0),Tabela!$H$23,0)))))</f>
        <v/>
      </c>
      <c r="Z196" s="30" t="str">
        <f t="shared" si="40"/>
        <v/>
      </c>
      <c r="AA196" s="60" t="str">
        <f>IF($A196="","",IF(AA$6="NÃO",0,Tabela!$H$25*nm_séries))</f>
        <v/>
      </c>
      <c r="AB196" s="30" t="str">
        <f t="shared" si="40"/>
        <v/>
      </c>
      <c r="AC196" s="60" t="str">
        <f>IF($A196="","",IF(AC$6="NÃO",0,IF(A196=0,Tabela!$H$27,IF(MOD(A196,3)=0,Tabela!$H$27,0))))</f>
        <v/>
      </c>
      <c r="AD196" s="30" t="str">
        <f t="shared" si="40"/>
        <v/>
      </c>
      <c r="AE196" s="60" t="str">
        <f t="shared" si="40"/>
        <v/>
      </c>
      <c r="AF196" s="30" t="str">
        <f>IF($A196="","",IF(AF$6="NÃO",0,IF(AND(MONTH(ESTRUTURA!C196)=MONTH(ESTRUTURA!$F$3),A196&gt;0),Tabela!$H$30,0)))</f>
        <v/>
      </c>
      <c r="AG196" s="60" t="str">
        <f t="shared" si="40"/>
        <v/>
      </c>
      <c r="AH196" s="30" t="str">
        <f t="shared" si="40"/>
        <v/>
      </c>
      <c r="AI196" s="60" t="str">
        <f>IF($A196="","",IF(AI$6="NÃO",0,IF($A196=0,DATEDIF(ESTRUTURA!$F$3,ESTRUTURA!$F$4,"m")*Tabela!$H$33,Tabela!$H$33)))</f>
        <v/>
      </c>
      <c r="AJ196" s="30" t="str">
        <f t="shared" si="38"/>
        <v/>
      </c>
    </row>
    <row r="197" spans="1:36" x14ac:dyDescent="0.2">
      <c r="A197" s="66" t="str">
        <f>ESTRUTURA!A197</f>
        <v/>
      </c>
      <c r="B197" s="58">
        <f t="shared" si="32"/>
        <v>0</v>
      </c>
      <c r="C197" s="60" t="str">
        <f t="shared" si="41"/>
        <v/>
      </c>
      <c r="D197" s="30" t="str">
        <f t="shared" si="41"/>
        <v/>
      </c>
      <c r="E197" s="60" t="str">
        <f t="shared" si="41"/>
        <v/>
      </c>
      <c r="F197" s="30" t="str">
        <f>IF($A197="","",IF(F$6="NÃO",0,Tabela!$H$34*ESTRUTURA!$I$4))</f>
        <v/>
      </c>
      <c r="G197" s="60" t="str">
        <f t="shared" si="41"/>
        <v/>
      </c>
      <c r="H197" s="30" t="str">
        <f>IF($A197="","",IF(H$6="NÃO",0,IF($A197=0,DATEDIF(ESTRUTURA!$F$3,ESTRUTURA!$F$4,"m")*Tabela!$H$6,Tabela!$H$6)))</f>
        <v/>
      </c>
      <c r="I197" s="60" t="str">
        <f t="shared" si="41"/>
        <v/>
      </c>
      <c r="J197" s="30" t="str">
        <f>IF($A197="","",IF(J$6="NÃO",0,IF($A197=0,DATEDIF(ESTRUTURA!$F$3,ESTRUTURA!$F$4,"m")*Tabela!$H$8,IF(J$6="NÃO",0,Tabela!$H$8))))</f>
        <v/>
      </c>
      <c r="K197" s="60" t="str">
        <f t="shared" si="41"/>
        <v/>
      </c>
      <c r="L197" s="30" t="str">
        <f t="shared" si="41"/>
        <v/>
      </c>
      <c r="M197" s="60" t="str">
        <f t="shared" si="41"/>
        <v/>
      </c>
      <c r="N197" s="30" t="str">
        <f t="shared" si="41"/>
        <v/>
      </c>
      <c r="O197" s="60" t="str">
        <f t="shared" si="41"/>
        <v/>
      </c>
      <c r="P197" s="30" t="str">
        <f t="shared" si="39"/>
        <v/>
      </c>
      <c r="Q197" s="60" t="str">
        <f t="shared" si="41"/>
        <v/>
      </c>
      <c r="R197" s="30" t="str">
        <f t="shared" si="41"/>
        <v/>
      </c>
      <c r="S197" s="60" t="str">
        <f>IF($A197="","",IF(S$6="NÃO",0,IF($A197=0,DATEDIF(ESTRUTURA!$F$3,ESTRUTURA!$F$4,"m")*Tabela!$H$17,Tabela!$H$17)))</f>
        <v/>
      </c>
      <c r="T197" s="30" t="str">
        <f>IF($A197="","",IF(T$6="NÃO",0,IF($A197=0,DATEDIF(ESTRUTURA!$F$3,ESTRUTURA!$F$4,"m")*Tabela!$H$18,Tabela!$H$18)))</f>
        <v/>
      </c>
      <c r="U197" s="60" t="str">
        <f t="shared" si="40"/>
        <v/>
      </c>
      <c r="V197" s="30" t="str">
        <f>IF($A197="","",IF(V$6="NÃO",0,IF($A197=0,DATEDIF(ESTRUTURA!$F$3,ESTRUTURA!$F$4,"m")*Tabela!$H$20,Tabela!$H$20)))</f>
        <v/>
      </c>
      <c r="W197" s="60" t="str">
        <f t="shared" si="40"/>
        <v/>
      </c>
      <c r="X197" s="30" t="str">
        <f t="shared" si="40"/>
        <v/>
      </c>
      <c r="Y197" s="60" t="str">
        <f>IF($A197="","",IF(Y$6="NÃO",0,IF(A197=0,Tabela!$H$23,IF(Y$7="mensal",Tabela!$H$23,IF(AND(MONTH(ESTRUTURA!C197)=MONTH(ESTRUTURA!$F$3),A197&gt;0),Tabela!$H$23,0)))))</f>
        <v/>
      </c>
      <c r="Z197" s="30" t="str">
        <f t="shared" si="40"/>
        <v/>
      </c>
      <c r="AA197" s="60" t="str">
        <f>IF($A197="","",IF(AA$6="NÃO",0,Tabela!$H$25*nm_séries))</f>
        <v/>
      </c>
      <c r="AB197" s="30" t="str">
        <f t="shared" si="40"/>
        <v/>
      </c>
      <c r="AC197" s="60" t="str">
        <f>IF($A197="","",IF(AC$6="NÃO",0,IF(A197=0,Tabela!$H$27,IF(MOD(A197,3)=0,Tabela!$H$27,0))))</f>
        <v/>
      </c>
      <c r="AD197" s="30" t="str">
        <f t="shared" si="40"/>
        <v/>
      </c>
      <c r="AE197" s="60" t="str">
        <f t="shared" si="40"/>
        <v/>
      </c>
      <c r="AF197" s="30" t="str">
        <f>IF($A197="","",IF(AF$6="NÃO",0,IF(AND(MONTH(ESTRUTURA!C197)=MONTH(ESTRUTURA!$F$3),A197&gt;0),Tabela!$H$30,0)))</f>
        <v/>
      </c>
      <c r="AG197" s="60" t="str">
        <f t="shared" si="40"/>
        <v/>
      </c>
      <c r="AH197" s="30" t="str">
        <f t="shared" si="40"/>
        <v/>
      </c>
      <c r="AI197" s="60" t="str">
        <f>IF($A197="","",IF(AI$6="NÃO",0,IF($A197=0,DATEDIF(ESTRUTURA!$F$3,ESTRUTURA!$F$4,"m")*Tabela!$H$33,Tabela!$H$33)))</f>
        <v/>
      </c>
      <c r="AJ197" s="30" t="str">
        <f t="shared" si="38"/>
        <v/>
      </c>
    </row>
    <row r="198" spans="1:36" x14ac:dyDescent="0.2">
      <c r="A198" s="66" t="str">
        <f>ESTRUTURA!A198</f>
        <v/>
      </c>
      <c r="B198" s="58">
        <f t="shared" si="32"/>
        <v>0</v>
      </c>
      <c r="C198" s="60" t="str">
        <f t="shared" si="41"/>
        <v/>
      </c>
      <c r="D198" s="30" t="str">
        <f t="shared" si="41"/>
        <v/>
      </c>
      <c r="E198" s="60" t="str">
        <f t="shared" si="41"/>
        <v/>
      </c>
      <c r="F198" s="30" t="str">
        <f>IF($A198="","",IF(F$6="NÃO",0,Tabela!$H$34*ESTRUTURA!$I$4))</f>
        <v/>
      </c>
      <c r="G198" s="60" t="str">
        <f t="shared" si="41"/>
        <v/>
      </c>
      <c r="H198" s="30" t="str">
        <f>IF($A198="","",IF(H$6="NÃO",0,IF($A198=0,DATEDIF(ESTRUTURA!$F$3,ESTRUTURA!$F$4,"m")*Tabela!$H$6,Tabela!$H$6)))</f>
        <v/>
      </c>
      <c r="I198" s="60" t="str">
        <f t="shared" si="41"/>
        <v/>
      </c>
      <c r="J198" s="30" t="str">
        <f>IF($A198="","",IF(J$6="NÃO",0,IF($A198=0,DATEDIF(ESTRUTURA!$F$3,ESTRUTURA!$F$4,"m")*Tabela!$H$8,IF(J$6="NÃO",0,Tabela!$H$8))))</f>
        <v/>
      </c>
      <c r="K198" s="60" t="str">
        <f t="shared" si="41"/>
        <v/>
      </c>
      <c r="L198" s="30" t="str">
        <f t="shared" si="41"/>
        <v/>
      </c>
      <c r="M198" s="60" t="str">
        <f t="shared" si="41"/>
        <v/>
      </c>
      <c r="N198" s="30" t="str">
        <f t="shared" si="41"/>
        <v/>
      </c>
      <c r="O198" s="60" t="str">
        <f t="shared" si="41"/>
        <v/>
      </c>
      <c r="P198" s="30" t="str">
        <f t="shared" si="39"/>
        <v/>
      </c>
      <c r="Q198" s="60" t="str">
        <f t="shared" si="41"/>
        <v/>
      </c>
      <c r="R198" s="30" t="str">
        <f t="shared" si="41"/>
        <v/>
      </c>
      <c r="S198" s="60" t="str">
        <f>IF($A198="","",IF(S$6="NÃO",0,IF($A198=0,DATEDIF(ESTRUTURA!$F$3,ESTRUTURA!$F$4,"m")*Tabela!$H$17,Tabela!$H$17)))</f>
        <v/>
      </c>
      <c r="T198" s="30" t="str">
        <f>IF($A198="","",IF(T$6="NÃO",0,IF($A198=0,DATEDIF(ESTRUTURA!$F$3,ESTRUTURA!$F$4,"m")*Tabela!$H$18,Tabela!$H$18)))</f>
        <v/>
      </c>
      <c r="U198" s="60" t="str">
        <f t="shared" si="40"/>
        <v/>
      </c>
      <c r="V198" s="30" t="str">
        <f>IF($A198="","",IF(V$6="NÃO",0,IF($A198=0,DATEDIF(ESTRUTURA!$F$3,ESTRUTURA!$F$4,"m")*Tabela!$H$20,Tabela!$H$20)))</f>
        <v/>
      </c>
      <c r="W198" s="60" t="str">
        <f t="shared" si="40"/>
        <v/>
      </c>
      <c r="X198" s="30" t="str">
        <f t="shared" si="40"/>
        <v/>
      </c>
      <c r="Y198" s="60" t="str">
        <f>IF($A198="","",IF(Y$6="NÃO",0,IF(A198=0,Tabela!$H$23,IF(Y$7="mensal",Tabela!$H$23,IF(AND(MONTH(ESTRUTURA!C198)=MONTH(ESTRUTURA!$F$3),A198&gt;0),Tabela!$H$23,0)))))</f>
        <v/>
      </c>
      <c r="Z198" s="30" t="str">
        <f t="shared" si="40"/>
        <v/>
      </c>
      <c r="AA198" s="60" t="str">
        <f>IF($A198="","",IF(AA$6="NÃO",0,Tabela!$H$25*nm_séries))</f>
        <v/>
      </c>
      <c r="AB198" s="30" t="str">
        <f t="shared" si="40"/>
        <v/>
      </c>
      <c r="AC198" s="60" t="str">
        <f>IF($A198="","",IF(AC$6="NÃO",0,IF(A198=0,Tabela!$H$27,IF(MOD(A198,3)=0,Tabela!$H$27,0))))</f>
        <v/>
      </c>
      <c r="AD198" s="30" t="str">
        <f t="shared" si="40"/>
        <v/>
      </c>
      <c r="AE198" s="60" t="str">
        <f t="shared" si="40"/>
        <v/>
      </c>
      <c r="AF198" s="30" t="str">
        <f>IF($A198="","",IF(AF$6="NÃO",0,IF(AND(MONTH(ESTRUTURA!C198)=MONTH(ESTRUTURA!$F$3),A198&gt;0),Tabela!$H$30,0)))</f>
        <v/>
      </c>
      <c r="AG198" s="60" t="str">
        <f t="shared" si="40"/>
        <v/>
      </c>
      <c r="AH198" s="30" t="str">
        <f t="shared" si="40"/>
        <v/>
      </c>
      <c r="AI198" s="60" t="str">
        <f>IF($A198="","",IF(AI$6="NÃO",0,IF($A198=0,DATEDIF(ESTRUTURA!$F$3,ESTRUTURA!$F$4,"m")*Tabela!$H$33,Tabela!$H$33)))</f>
        <v/>
      </c>
      <c r="AJ198" s="30" t="str">
        <f t="shared" si="38"/>
        <v/>
      </c>
    </row>
    <row r="199" spans="1:36" x14ac:dyDescent="0.2">
      <c r="A199" s="66" t="str">
        <f>ESTRUTURA!A199</f>
        <v/>
      </c>
      <c r="B199" s="58">
        <f t="shared" si="32"/>
        <v>0</v>
      </c>
      <c r="C199" s="60" t="str">
        <f t="shared" si="41"/>
        <v/>
      </c>
      <c r="D199" s="30" t="str">
        <f t="shared" si="41"/>
        <v/>
      </c>
      <c r="E199" s="60" t="str">
        <f t="shared" si="41"/>
        <v/>
      </c>
      <c r="F199" s="30" t="str">
        <f>IF($A199="","",IF(F$6="NÃO",0,Tabela!$H$34*ESTRUTURA!$I$4))</f>
        <v/>
      </c>
      <c r="G199" s="60" t="str">
        <f t="shared" si="41"/>
        <v/>
      </c>
      <c r="H199" s="30" t="str">
        <f>IF($A199="","",IF(H$6="NÃO",0,IF($A199=0,DATEDIF(ESTRUTURA!$F$3,ESTRUTURA!$F$4,"m")*Tabela!$H$6,Tabela!$H$6)))</f>
        <v/>
      </c>
      <c r="I199" s="60" t="str">
        <f t="shared" si="41"/>
        <v/>
      </c>
      <c r="J199" s="30" t="str">
        <f>IF($A199="","",IF(J$6="NÃO",0,IF($A199=0,DATEDIF(ESTRUTURA!$F$3,ESTRUTURA!$F$4,"m")*Tabela!$H$8,IF(J$6="NÃO",0,Tabela!$H$8))))</f>
        <v/>
      </c>
      <c r="K199" s="60" t="str">
        <f t="shared" si="41"/>
        <v/>
      </c>
      <c r="L199" s="30" t="str">
        <f t="shared" si="41"/>
        <v/>
      </c>
      <c r="M199" s="60" t="str">
        <f t="shared" si="41"/>
        <v/>
      </c>
      <c r="N199" s="30" t="str">
        <f t="shared" si="41"/>
        <v/>
      </c>
      <c r="O199" s="60" t="str">
        <f t="shared" si="41"/>
        <v/>
      </c>
      <c r="P199" s="30" t="str">
        <f t="shared" si="39"/>
        <v/>
      </c>
      <c r="Q199" s="60" t="str">
        <f t="shared" si="41"/>
        <v/>
      </c>
      <c r="R199" s="30" t="str">
        <f t="shared" si="41"/>
        <v/>
      </c>
      <c r="S199" s="60" t="str">
        <f>IF($A199="","",IF(S$6="NÃO",0,IF($A199=0,DATEDIF(ESTRUTURA!$F$3,ESTRUTURA!$F$4,"m")*Tabela!$H$17,Tabela!$H$17)))</f>
        <v/>
      </c>
      <c r="T199" s="30" t="str">
        <f>IF($A199="","",IF(T$6="NÃO",0,IF($A199=0,DATEDIF(ESTRUTURA!$F$3,ESTRUTURA!$F$4,"m")*Tabela!$H$18,Tabela!$H$18)))</f>
        <v/>
      </c>
      <c r="U199" s="60" t="str">
        <f t="shared" si="40"/>
        <v/>
      </c>
      <c r="V199" s="30" t="str">
        <f>IF($A199="","",IF(V$6="NÃO",0,IF($A199=0,DATEDIF(ESTRUTURA!$F$3,ESTRUTURA!$F$4,"m")*Tabela!$H$20,Tabela!$H$20)))</f>
        <v/>
      </c>
      <c r="W199" s="60" t="str">
        <f t="shared" si="40"/>
        <v/>
      </c>
      <c r="X199" s="30" t="str">
        <f t="shared" si="40"/>
        <v/>
      </c>
      <c r="Y199" s="60" t="str">
        <f>IF($A199="","",IF(Y$6="NÃO",0,IF(A199=0,Tabela!$H$23,IF(Y$7="mensal",Tabela!$H$23,IF(AND(MONTH(ESTRUTURA!C199)=MONTH(ESTRUTURA!$F$3),A199&gt;0),Tabela!$H$23,0)))))</f>
        <v/>
      </c>
      <c r="Z199" s="30" t="str">
        <f t="shared" si="40"/>
        <v/>
      </c>
      <c r="AA199" s="60" t="str">
        <f>IF($A199="","",IF(AA$6="NÃO",0,Tabela!$H$25*nm_séries))</f>
        <v/>
      </c>
      <c r="AB199" s="30" t="str">
        <f t="shared" si="40"/>
        <v/>
      </c>
      <c r="AC199" s="60" t="str">
        <f>IF($A199="","",IF(AC$6="NÃO",0,IF(A199=0,Tabela!$H$27,IF(MOD(A199,3)=0,Tabela!$H$27,0))))</f>
        <v/>
      </c>
      <c r="AD199" s="30" t="str">
        <f t="shared" si="40"/>
        <v/>
      </c>
      <c r="AE199" s="60" t="str">
        <f t="shared" si="40"/>
        <v/>
      </c>
      <c r="AF199" s="30" t="str">
        <f>IF($A199="","",IF(AF$6="NÃO",0,IF(AND(MONTH(ESTRUTURA!C199)=MONTH(ESTRUTURA!$F$3),A199&gt;0),Tabela!$H$30,0)))</f>
        <v/>
      </c>
      <c r="AG199" s="60" t="str">
        <f t="shared" si="40"/>
        <v/>
      </c>
      <c r="AH199" s="30" t="str">
        <f t="shared" si="40"/>
        <v/>
      </c>
      <c r="AI199" s="60" t="str">
        <f>IF($A199="","",IF(AI$6="NÃO",0,IF($A199=0,DATEDIF(ESTRUTURA!$F$3,ESTRUTURA!$F$4,"m")*Tabela!$H$33,Tabela!$H$33)))</f>
        <v/>
      </c>
      <c r="AJ199" s="30" t="str">
        <f t="shared" si="38"/>
        <v/>
      </c>
    </row>
    <row r="200" spans="1:36" x14ac:dyDescent="0.2">
      <c r="A200" s="66" t="str">
        <f>ESTRUTURA!A200</f>
        <v/>
      </c>
      <c r="B200" s="58">
        <f t="shared" si="32"/>
        <v>0</v>
      </c>
      <c r="C200" s="60" t="str">
        <f t="shared" si="41"/>
        <v/>
      </c>
      <c r="D200" s="30" t="str">
        <f t="shared" si="41"/>
        <v/>
      </c>
      <c r="E200" s="60" t="str">
        <f t="shared" si="41"/>
        <v/>
      </c>
      <c r="F200" s="30" t="str">
        <f>IF($A200="","",IF(F$6="NÃO",0,Tabela!$H$34*ESTRUTURA!$I$4))</f>
        <v/>
      </c>
      <c r="G200" s="60" t="str">
        <f t="shared" si="41"/>
        <v/>
      </c>
      <c r="H200" s="30" t="str">
        <f>IF($A200="","",IF(H$6="NÃO",0,IF($A200=0,DATEDIF(ESTRUTURA!$F$3,ESTRUTURA!$F$4,"m")*Tabela!$H$6,Tabela!$H$6)))</f>
        <v/>
      </c>
      <c r="I200" s="60" t="str">
        <f t="shared" si="41"/>
        <v/>
      </c>
      <c r="J200" s="30" t="str">
        <f>IF($A200="","",IF(J$6="NÃO",0,IF($A200=0,DATEDIF(ESTRUTURA!$F$3,ESTRUTURA!$F$4,"m")*Tabela!$H$8,IF(J$6="NÃO",0,Tabela!$H$8))))</f>
        <v/>
      </c>
      <c r="K200" s="60" t="str">
        <f t="shared" si="41"/>
        <v/>
      </c>
      <c r="L200" s="30" t="str">
        <f t="shared" si="41"/>
        <v/>
      </c>
      <c r="M200" s="60" t="str">
        <f t="shared" si="41"/>
        <v/>
      </c>
      <c r="N200" s="30" t="str">
        <f t="shared" si="41"/>
        <v/>
      </c>
      <c r="O200" s="60" t="str">
        <f t="shared" si="41"/>
        <v/>
      </c>
      <c r="P200" s="30" t="str">
        <f t="shared" si="39"/>
        <v/>
      </c>
      <c r="Q200" s="60" t="str">
        <f t="shared" si="41"/>
        <v/>
      </c>
      <c r="R200" s="30" t="str">
        <f t="shared" si="41"/>
        <v/>
      </c>
      <c r="S200" s="60" t="str">
        <f>IF($A200="","",IF(S$6="NÃO",0,IF($A200=0,DATEDIF(ESTRUTURA!$F$3,ESTRUTURA!$F$4,"m")*Tabela!$H$17,Tabela!$H$17)))</f>
        <v/>
      </c>
      <c r="T200" s="30" t="str">
        <f>IF($A200="","",IF(T$6="NÃO",0,IF($A200=0,DATEDIF(ESTRUTURA!$F$3,ESTRUTURA!$F$4,"m")*Tabela!$H$18,Tabela!$H$18)))</f>
        <v/>
      </c>
      <c r="U200" s="60" t="str">
        <f t="shared" si="40"/>
        <v/>
      </c>
      <c r="V200" s="30" t="str">
        <f>IF($A200="","",IF(V$6="NÃO",0,IF($A200=0,DATEDIF(ESTRUTURA!$F$3,ESTRUTURA!$F$4,"m")*Tabela!$H$20,Tabela!$H$20)))</f>
        <v/>
      </c>
      <c r="W200" s="60" t="str">
        <f t="shared" si="40"/>
        <v/>
      </c>
      <c r="X200" s="30" t="str">
        <f t="shared" si="40"/>
        <v/>
      </c>
      <c r="Y200" s="60" t="str">
        <f>IF($A200="","",IF(Y$6="NÃO",0,IF(A200=0,Tabela!$H$23,IF(Y$7="mensal",Tabela!$H$23,IF(AND(MONTH(ESTRUTURA!C200)=MONTH(ESTRUTURA!$F$3),A200&gt;0),Tabela!$H$23,0)))))</f>
        <v/>
      </c>
      <c r="Z200" s="30" t="str">
        <f t="shared" si="40"/>
        <v/>
      </c>
      <c r="AA200" s="60" t="str">
        <f>IF($A200="","",IF(AA$6="NÃO",0,Tabela!$H$25*nm_séries))</f>
        <v/>
      </c>
      <c r="AB200" s="30" t="str">
        <f t="shared" si="40"/>
        <v/>
      </c>
      <c r="AC200" s="60" t="str">
        <f>IF($A200="","",IF(AC$6="NÃO",0,IF(A200=0,Tabela!$H$27,IF(MOD(A200,3)=0,Tabela!$H$27,0))))</f>
        <v/>
      </c>
      <c r="AD200" s="30" t="str">
        <f t="shared" si="40"/>
        <v/>
      </c>
      <c r="AE200" s="60" t="str">
        <f t="shared" si="40"/>
        <v/>
      </c>
      <c r="AF200" s="30" t="str">
        <f>IF($A200="","",IF(AF$6="NÃO",0,IF(AND(MONTH(ESTRUTURA!C200)=MONTH(ESTRUTURA!$F$3),A200&gt;0),Tabela!$H$30,0)))</f>
        <v/>
      </c>
      <c r="AG200" s="60" t="str">
        <f t="shared" si="40"/>
        <v/>
      </c>
      <c r="AH200" s="30" t="str">
        <f t="shared" si="40"/>
        <v/>
      </c>
      <c r="AI200" s="60" t="str">
        <f>IF($A200="","",IF(AI$6="NÃO",0,IF($A200=0,DATEDIF(ESTRUTURA!$F$3,ESTRUTURA!$F$4,"m")*Tabela!$H$33,Tabela!$H$33)))</f>
        <v/>
      </c>
      <c r="AJ200" s="30" t="str">
        <f t="shared" si="38"/>
        <v/>
      </c>
    </row>
    <row r="201" spans="1:36" x14ac:dyDescent="0.2">
      <c r="A201" s="66" t="str">
        <f>ESTRUTURA!A201</f>
        <v/>
      </c>
      <c r="B201" s="58">
        <f t="shared" si="32"/>
        <v>0</v>
      </c>
      <c r="C201" s="60" t="str">
        <f t="shared" si="41"/>
        <v/>
      </c>
      <c r="D201" s="30" t="str">
        <f t="shared" si="41"/>
        <v/>
      </c>
      <c r="E201" s="60" t="str">
        <f t="shared" si="41"/>
        <v/>
      </c>
      <c r="F201" s="30" t="str">
        <f>IF($A201="","",IF(F$6="NÃO",0,Tabela!$H$34*ESTRUTURA!$I$4))</f>
        <v/>
      </c>
      <c r="G201" s="60" t="str">
        <f t="shared" si="41"/>
        <v/>
      </c>
      <c r="H201" s="30" t="str">
        <f>IF($A201="","",IF(H$6="NÃO",0,IF($A201=0,DATEDIF(ESTRUTURA!$F$3,ESTRUTURA!$F$4,"m")*Tabela!$H$6,Tabela!$H$6)))</f>
        <v/>
      </c>
      <c r="I201" s="60" t="str">
        <f t="shared" si="41"/>
        <v/>
      </c>
      <c r="J201" s="30" t="str">
        <f>IF($A201="","",IF(J$6="NÃO",0,IF($A201=0,DATEDIF(ESTRUTURA!$F$3,ESTRUTURA!$F$4,"m")*Tabela!$H$8,IF(J$6="NÃO",0,Tabela!$H$8))))</f>
        <v/>
      </c>
      <c r="K201" s="60" t="str">
        <f t="shared" si="41"/>
        <v/>
      </c>
      <c r="L201" s="30" t="str">
        <f t="shared" si="41"/>
        <v/>
      </c>
      <c r="M201" s="60" t="str">
        <f t="shared" si="41"/>
        <v/>
      </c>
      <c r="N201" s="30" t="str">
        <f t="shared" si="41"/>
        <v/>
      </c>
      <c r="O201" s="60" t="str">
        <f t="shared" si="41"/>
        <v/>
      </c>
      <c r="P201" s="30" t="str">
        <f t="shared" si="39"/>
        <v/>
      </c>
      <c r="Q201" s="60" t="str">
        <f t="shared" si="41"/>
        <v/>
      </c>
      <c r="R201" s="30" t="str">
        <f t="shared" si="41"/>
        <v/>
      </c>
      <c r="S201" s="60" t="str">
        <f>IF($A201="","",IF(S$6="NÃO",0,IF($A201=0,DATEDIF(ESTRUTURA!$F$3,ESTRUTURA!$F$4,"m")*Tabela!$H$17,Tabela!$H$17)))</f>
        <v/>
      </c>
      <c r="T201" s="30" t="str">
        <f>IF($A201="","",IF(T$6="NÃO",0,IF($A201=0,DATEDIF(ESTRUTURA!$F$3,ESTRUTURA!$F$4,"m")*Tabela!$H$18,Tabela!$H$18)))</f>
        <v/>
      </c>
      <c r="U201" s="60" t="str">
        <f t="shared" si="40"/>
        <v/>
      </c>
      <c r="V201" s="30" t="str">
        <f>IF($A201="","",IF(V$6="NÃO",0,IF($A201=0,DATEDIF(ESTRUTURA!$F$3,ESTRUTURA!$F$4,"m")*Tabela!$H$20,Tabela!$H$20)))</f>
        <v/>
      </c>
      <c r="W201" s="60" t="str">
        <f t="shared" si="40"/>
        <v/>
      </c>
      <c r="X201" s="30" t="str">
        <f t="shared" si="40"/>
        <v/>
      </c>
      <c r="Y201" s="60" t="str">
        <f>IF($A201="","",IF(Y$6="NÃO",0,IF(A201=0,Tabela!$H$23,IF(Y$7="mensal",Tabela!$H$23,IF(AND(MONTH(ESTRUTURA!C201)=MONTH(ESTRUTURA!$F$3),A201&gt;0),Tabela!$H$23,0)))))</f>
        <v/>
      </c>
      <c r="Z201" s="30" t="str">
        <f t="shared" si="40"/>
        <v/>
      </c>
      <c r="AA201" s="60" t="str">
        <f>IF($A201="","",IF(AA$6="NÃO",0,Tabela!$H$25*nm_séries))</f>
        <v/>
      </c>
      <c r="AB201" s="30" t="str">
        <f t="shared" si="40"/>
        <v/>
      </c>
      <c r="AC201" s="60" t="str">
        <f>IF($A201="","",IF(AC$6="NÃO",0,IF(A201=0,Tabela!$H$27,IF(MOD(A201,3)=0,Tabela!$H$27,0))))</f>
        <v/>
      </c>
      <c r="AD201" s="30" t="str">
        <f t="shared" si="40"/>
        <v/>
      </c>
      <c r="AE201" s="60" t="str">
        <f t="shared" si="40"/>
        <v/>
      </c>
      <c r="AF201" s="30" t="str">
        <f>IF($A201="","",IF(AF$6="NÃO",0,IF(AND(MONTH(ESTRUTURA!C201)=MONTH(ESTRUTURA!$F$3),A201&gt;0),Tabela!$H$30,0)))</f>
        <v/>
      </c>
      <c r="AG201" s="60" t="str">
        <f t="shared" si="40"/>
        <v/>
      </c>
      <c r="AH201" s="30" t="str">
        <f t="shared" si="40"/>
        <v/>
      </c>
      <c r="AI201" s="60" t="str">
        <f>IF($A201="","",IF(AI$6="NÃO",0,IF($A201=0,DATEDIF(ESTRUTURA!$F$3,ESTRUTURA!$F$4,"m")*Tabela!$H$33,Tabela!$H$33)))</f>
        <v/>
      </c>
      <c r="AJ201" s="30" t="str">
        <f t="shared" si="38"/>
        <v/>
      </c>
    </row>
    <row r="202" spans="1:36" x14ac:dyDescent="0.2">
      <c r="A202" s="66" t="str">
        <f>ESTRUTURA!A202</f>
        <v/>
      </c>
      <c r="B202" s="58">
        <f t="shared" si="32"/>
        <v>0</v>
      </c>
      <c r="C202" s="60" t="str">
        <f t="shared" si="41"/>
        <v/>
      </c>
      <c r="D202" s="30" t="str">
        <f t="shared" si="41"/>
        <v/>
      </c>
      <c r="E202" s="60" t="str">
        <f t="shared" si="41"/>
        <v/>
      </c>
      <c r="F202" s="30" t="str">
        <f>IF($A202="","",IF(F$6="NÃO",0,Tabela!$H$34*ESTRUTURA!$I$4))</f>
        <v/>
      </c>
      <c r="G202" s="60" t="str">
        <f t="shared" si="41"/>
        <v/>
      </c>
      <c r="H202" s="30" t="str">
        <f>IF($A202="","",IF(H$6="NÃO",0,IF($A202=0,DATEDIF(ESTRUTURA!$F$3,ESTRUTURA!$F$4,"m")*Tabela!$H$6,Tabela!$H$6)))</f>
        <v/>
      </c>
      <c r="I202" s="60" t="str">
        <f t="shared" si="41"/>
        <v/>
      </c>
      <c r="J202" s="30" t="str">
        <f>IF($A202="","",IF(J$6="NÃO",0,IF($A202=0,DATEDIF(ESTRUTURA!$F$3,ESTRUTURA!$F$4,"m")*Tabela!$H$8,IF(J$6="NÃO",0,Tabela!$H$8))))</f>
        <v/>
      </c>
      <c r="K202" s="60" t="str">
        <f t="shared" si="41"/>
        <v/>
      </c>
      <c r="L202" s="30" t="str">
        <f t="shared" si="41"/>
        <v/>
      </c>
      <c r="M202" s="60" t="str">
        <f t="shared" si="41"/>
        <v/>
      </c>
      <c r="N202" s="30" t="str">
        <f t="shared" si="41"/>
        <v/>
      </c>
      <c r="O202" s="60" t="str">
        <f t="shared" si="41"/>
        <v/>
      </c>
      <c r="P202" s="30" t="str">
        <f t="shared" si="39"/>
        <v/>
      </c>
      <c r="Q202" s="60" t="str">
        <f t="shared" si="41"/>
        <v/>
      </c>
      <c r="R202" s="30" t="str">
        <f t="shared" si="41"/>
        <v/>
      </c>
      <c r="S202" s="60" t="str">
        <f>IF($A202="","",IF(S$6="NÃO",0,IF($A202=0,DATEDIF(ESTRUTURA!$F$3,ESTRUTURA!$F$4,"m")*Tabela!$H$17,Tabela!$H$17)))</f>
        <v/>
      </c>
      <c r="T202" s="30" t="str">
        <f>IF($A202="","",IF(T$6="NÃO",0,IF($A202=0,DATEDIF(ESTRUTURA!$F$3,ESTRUTURA!$F$4,"m")*Tabela!$H$18,Tabela!$H$18)))</f>
        <v/>
      </c>
      <c r="U202" s="60" t="str">
        <f t="shared" si="40"/>
        <v/>
      </c>
      <c r="V202" s="30" t="str">
        <f>IF($A202="","",IF(V$6="NÃO",0,IF($A202=0,DATEDIF(ESTRUTURA!$F$3,ESTRUTURA!$F$4,"m")*Tabela!$H$20,Tabela!$H$20)))</f>
        <v/>
      </c>
      <c r="W202" s="60" t="str">
        <f t="shared" si="40"/>
        <v/>
      </c>
      <c r="X202" s="30" t="str">
        <f t="shared" si="40"/>
        <v/>
      </c>
      <c r="Y202" s="60" t="str">
        <f>IF($A202="","",IF(Y$6="NÃO",0,IF(A202=0,Tabela!$H$23,IF(Y$7="mensal",Tabela!$H$23,IF(AND(MONTH(ESTRUTURA!C202)=MONTH(ESTRUTURA!$F$3),A202&gt;0),Tabela!$H$23,0)))))</f>
        <v/>
      </c>
      <c r="Z202" s="30" t="str">
        <f t="shared" si="40"/>
        <v/>
      </c>
      <c r="AA202" s="60" t="str">
        <f>IF($A202="","",IF(AA$6="NÃO",0,Tabela!$H$25*nm_séries))</f>
        <v/>
      </c>
      <c r="AB202" s="30" t="str">
        <f t="shared" si="40"/>
        <v/>
      </c>
      <c r="AC202" s="60" t="str">
        <f>IF($A202="","",IF(AC$6="NÃO",0,IF(A202=0,Tabela!$H$27,IF(MOD(A202,3)=0,Tabela!$H$27,0))))</f>
        <v/>
      </c>
      <c r="AD202" s="30" t="str">
        <f t="shared" si="40"/>
        <v/>
      </c>
      <c r="AE202" s="60" t="str">
        <f t="shared" si="40"/>
        <v/>
      </c>
      <c r="AF202" s="30" t="str">
        <f>IF($A202="","",IF(AF$6="NÃO",0,IF(AND(MONTH(ESTRUTURA!C202)=MONTH(ESTRUTURA!$F$3),A202&gt;0),Tabela!$H$30,0)))</f>
        <v/>
      </c>
      <c r="AG202" s="60" t="str">
        <f t="shared" si="40"/>
        <v/>
      </c>
      <c r="AH202" s="30" t="str">
        <f t="shared" si="40"/>
        <v/>
      </c>
      <c r="AI202" s="60" t="str">
        <f>IF($A202="","",IF(AI$6="NÃO",0,IF($A202=0,DATEDIF(ESTRUTURA!$F$3,ESTRUTURA!$F$4,"m")*Tabela!$H$33,Tabela!$H$33)))</f>
        <v/>
      </c>
      <c r="AJ202" s="30" t="str">
        <f t="shared" si="38"/>
        <v/>
      </c>
    </row>
    <row r="203" spans="1:36" x14ac:dyDescent="0.2">
      <c r="A203" s="66" t="str">
        <f>ESTRUTURA!A203</f>
        <v/>
      </c>
      <c r="B203" s="58">
        <f t="shared" si="32"/>
        <v>0</v>
      </c>
      <c r="C203" s="60" t="str">
        <f t="shared" si="41"/>
        <v/>
      </c>
      <c r="D203" s="30" t="str">
        <f t="shared" si="41"/>
        <v/>
      </c>
      <c r="E203" s="60" t="str">
        <f t="shared" si="41"/>
        <v/>
      </c>
      <c r="F203" s="30" t="str">
        <f>IF($A203="","",IF(F$6="NÃO",0,Tabela!$H$34*ESTRUTURA!$I$4))</f>
        <v/>
      </c>
      <c r="G203" s="60" t="str">
        <f t="shared" si="41"/>
        <v/>
      </c>
      <c r="H203" s="30" t="str">
        <f>IF($A203="","",IF(H$6="NÃO",0,IF($A203=0,DATEDIF(ESTRUTURA!$F$3,ESTRUTURA!$F$4,"m")*Tabela!$H$6,Tabela!$H$6)))</f>
        <v/>
      </c>
      <c r="I203" s="60" t="str">
        <f t="shared" si="41"/>
        <v/>
      </c>
      <c r="J203" s="30" t="str">
        <f>IF($A203="","",IF(J$6="NÃO",0,IF($A203=0,DATEDIF(ESTRUTURA!$F$3,ESTRUTURA!$F$4,"m")*Tabela!$H$8,IF(J$6="NÃO",0,Tabela!$H$8))))</f>
        <v/>
      </c>
      <c r="K203" s="60" t="str">
        <f t="shared" si="41"/>
        <v/>
      </c>
      <c r="L203" s="30" t="str">
        <f t="shared" si="41"/>
        <v/>
      </c>
      <c r="M203" s="60" t="str">
        <f t="shared" si="41"/>
        <v/>
      </c>
      <c r="N203" s="30" t="str">
        <f t="shared" si="41"/>
        <v/>
      </c>
      <c r="O203" s="60" t="str">
        <f t="shared" si="41"/>
        <v/>
      </c>
      <c r="P203" s="30" t="str">
        <f t="shared" si="39"/>
        <v/>
      </c>
      <c r="Q203" s="60" t="str">
        <f t="shared" si="41"/>
        <v/>
      </c>
      <c r="R203" s="30" t="str">
        <f t="shared" si="41"/>
        <v/>
      </c>
      <c r="S203" s="60" t="str">
        <f>IF($A203="","",IF(S$6="NÃO",0,IF($A203=0,DATEDIF(ESTRUTURA!$F$3,ESTRUTURA!$F$4,"m")*Tabela!$H$17,Tabela!$H$17)))</f>
        <v/>
      </c>
      <c r="T203" s="30" t="str">
        <f>IF($A203="","",IF(T$6="NÃO",0,IF($A203=0,DATEDIF(ESTRUTURA!$F$3,ESTRUTURA!$F$4,"m")*Tabela!$H$18,Tabela!$H$18)))</f>
        <v/>
      </c>
      <c r="U203" s="60" t="str">
        <f t="shared" ref="U203:AH218" si="42">IF($A203="","",IF(U$6="NÃO",0,0))</f>
        <v/>
      </c>
      <c r="V203" s="30" t="str">
        <f>IF($A203="","",IF(V$6="NÃO",0,IF($A203=0,DATEDIF(ESTRUTURA!$F$3,ESTRUTURA!$F$4,"m")*Tabela!$H$20,Tabela!$H$20)))</f>
        <v/>
      </c>
      <c r="W203" s="60" t="str">
        <f t="shared" si="42"/>
        <v/>
      </c>
      <c r="X203" s="30" t="str">
        <f t="shared" si="42"/>
        <v/>
      </c>
      <c r="Y203" s="60" t="str">
        <f>IF($A203="","",IF(Y$6="NÃO",0,IF(A203=0,Tabela!$H$23,IF(Y$7="mensal",Tabela!$H$23,IF(AND(MONTH(ESTRUTURA!C203)=MONTH(ESTRUTURA!$F$3),A203&gt;0),Tabela!$H$23,0)))))</f>
        <v/>
      </c>
      <c r="Z203" s="30" t="str">
        <f t="shared" si="42"/>
        <v/>
      </c>
      <c r="AA203" s="60" t="str">
        <f>IF($A203="","",IF(AA$6="NÃO",0,Tabela!$H$25*nm_séries))</f>
        <v/>
      </c>
      <c r="AB203" s="30" t="str">
        <f t="shared" si="42"/>
        <v/>
      </c>
      <c r="AC203" s="60" t="str">
        <f>IF($A203="","",IF(AC$6="NÃO",0,IF(A203=0,Tabela!$H$27,IF(MOD(A203,3)=0,Tabela!$H$27,0))))</f>
        <v/>
      </c>
      <c r="AD203" s="30" t="str">
        <f t="shared" si="42"/>
        <v/>
      </c>
      <c r="AE203" s="60" t="str">
        <f t="shared" si="42"/>
        <v/>
      </c>
      <c r="AF203" s="30" t="str">
        <f>IF($A203="","",IF(AF$6="NÃO",0,IF(AND(MONTH(ESTRUTURA!C203)=MONTH(ESTRUTURA!$F$3),A203&gt;0),Tabela!$H$30,0)))</f>
        <v/>
      </c>
      <c r="AG203" s="60" t="str">
        <f t="shared" si="42"/>
        <v/>
      </c>
      <c r="AH203" s="30" t="str">
        <f t="shared" si="42"/>
        <v/>
      </c>
      <c r="AI203" s="60" t="str">
        <f>IF($A203="","",IF(AI$6="NÃO",0,IF($A203=0,DATEDIF(ESTRUTURA!$F$3,ESTRUTURA!$F$4,"m")*Tabela!$H$33,Tabela!$H$33)))</f>
        <v/>
      </c>
      <c r="AJ203" s="30" t="str">
        <f t="shared" si="38"/>
        <v/>
      </c>
    </row>
    <row r="204" spans="1:36" x14ac:dyDescent="0.2">
      <c r="A204" s="66" t="str">
        <f>ESTRUTURA!A204</f>
        <v/>
      </c>
      <c r="B204" s="58">
        <f t="shared" si="32"/>
        <v>0</v>
      </c>
      <c r="C204" s="60" t="str">
        <f t="shared" ref="C204:R219" si="43">IF($A204="","",IF(C$6="NÃO",0,0))</f>
        <v/>
      </c>
      <c r="D204" s="30" t="str">
        <f t="shared" si="43"/>
        <v/>
      </c>
      <c r="E204" s="60" t="str">
        <f t="shared" si="43"/>
        <v/>
      </c>
      <c r="F204" s="30" t="str">
        <f>IF($A204="","",IF(F$6="NÃO",0,Tabela!$H$34*ESTRUTURA!$I$4))</f>
        <v/>
      </c>
      <c r="G204" s="60" t="str">
        <f t="shared" si="43"/>
        <v/>
      </c>
      <c r="H204" s="30" t="str">
        <f>IF($A204="","",IF(H$6="NÃO",0,IF($A204=0,DATEDIF(ESTRUTURA!$F$3,ESTRUTURA!$F$4,"m")*Tabela!$H$6,Tabela!$H$6)))</f>
        <v/>
      </c>
      <c r="I204" s="60" t="str">
        <f t="shared" si="43"/>
        <v/>
      </c>
      <c r="J204" s="30" t="str">
        <f>IF($A204="","",IF(J$6="NÃO",0,IF($A204=0,DATEDIF(ESTRUTURA!$F$3,ESTRUTURA!$F$4,"m")*Tabela!$H$8,IF(J$6="NÃO",0,Tabela!$H$8))))</f>
        <v/>
      </c>
      <c r="K204" s="60" t="str">
        <f t="shared" si="43"/>
        <v/>
      </c>
      <c r="L204" s="30" t="str">
        <f t="shared" si="43"/>
        <v/>
      </c>
      <c r="M204" s="60" t="str">
        <f t="shared" si="43"/>
        <v/>
      </c>
      <c r="N204" s="30" t="str">
        <f t="shared" si="43"/>
        <v/>
      </c>
      <c r="O204" s="60" t="str">
        <f t="shared" si="43"/>
        <v/>
      </c>
      <c r="P204" s="30" t="str">
        <f t="shared" si="43"/>
        <v/>
      </c>
      <c r="Q204" s="60" t="str">
        <f t="shared" si="43"/>
        <v/>
      </c>
      <c r="R204" s="30" t="str">
        <f t="shared" si="43"/>
        <v/>
      </c>
      <c r="S204" s="60" t="str">
        <f>IF($A204="","",IF(S$6="NÃO",0,IF($A204=0,DATEDIF(ESTRUTURA!$F$3,ESTRUTURA!$F$4,"m")*Tabela!$H$17,Tabela!$H$17)))</f>
        <v/>
      </c>
      <c r="T204" s="30" t="str">
        <f>IF($A204="","",IF(T$6="NÃO",0,IF($A204=0,DATEDIF(ESTRUTURA!$F$3,ESTRUTURA!$F$4,"m")*Tabela!$H$18,Tabela!$H$18)))</f>
        <v/>
      </c>
      <c r="U204" s="60" t="str">
        <f t="shared" si="42"/>
        <v/>
      </c>
      <c r="V204" s="30" t="str">
        <f>IF($A204="","",IF(V$6="NÃO",0,IF($A204=0,DATEDIF(ESTRUTURA!$F$3,ESTRUTURA!$F$4,"m")*Tabela!$H$20,Tabela!$H$20)))</f>
        <v/>
      </c>
      <c r="W204" s="60" t="str">
        <f t="shared" si="42"/>
        <v/>
      </c>
      <c r="X204" s="30" t="str">
        <f t="shared" si="42"/>
        <v/>
      </c>
      <c r="Y204" s="60" t="str">
        <f>IF($A204="","",IF(Y$6="NÃO",0,IF(A204=0,Tabela!$H$23,IF(Y$7="mensal",Tabela!$H$23,IF(AND(MONTH(ESTRUTURA!C204)=MONTH(ESTRUTURA!$F$3),A204&gt;0),Tabela!$H$23,0)))))</f>
        <v/>
      </c>
      <c r="Z204" s="30" t="str">
        <f t="shared" si="42"/>
        <v/>
      </c>
      <c r="AA204" s="60" t="str">
        <f>IF($A204="","",IF(AA$6="NÃO",0,Tabela!$H$25*nm_séries))</f>
        <v/>
      </c>
      <c r="AB204" s="30" t="str">
        <f t="shared" si="42"/>
        <v/>
      </c>
      <c r="AC204" s="60" t="str">
        <f>IF($A204="","",IF(AC$6="NÃO",0,IF(A204=0,Tabela!$H$27,IF(MOD(A204,3)=0,Tabela!$H$27,0))))</f>
        <v/>
      </c>
      <c r="AD204" s="30" t="str">
        <f t="shared" si="42"/>
        <v/>
      </c>
      <c r="AE204" s="60" t="str">
        <f t="shared" si="42"/>
        <v/>
      </c>
      <c r="AF204" s="30" t="str">
        <f>IF($A204="","",IF(AF$6="NÃO",0,IF(AND(MONTH(ESTRUTURA!C204)=MONTH(ESTRUTURA!$F$3),A204&gt;0),Tabela!$H$30,0)))</f>
        <v/>
      </c>
      <c r="AG204" s="60" t="str">
        <f t="shared" si="42"/>
        <v/>
      </c>
      <c r="AH204" s="30" t="str">
        <f t="shared" si="42"/>
        <v/>
      </c>
      <c r="AI204" s="60" t="str">
        <f>IF($A204="","",IF(AI$6="NÃO",0,IF($A204=0,DATEDIF(ESTRUTURA!$F$3,ESTRUTURA!$F$4,"m")*Tabela!$H$33,Tabela!$H$33)))</f>
        <v/>
      </c>
      <c r="AJ204" s="30" t="str">
        <f t="shared" si="38"/>
        <v/>
      </c>
    </row>
    <row r="205" spans="1:36" x14ac:dyDescent="0.2">
      <c r="A205" s="66" t="str">
        <f>ESTRUTURA!A205</f>
        <v/>
      </c>
      <c r="B205" s="58">
        <f t="shared" ref="B205:B268" si="44">IF($C$2="SIM",0,-SUM(C205:AJ205))</f>
        <v>0</v>
      </c>
      <c r="C205" s="60" t="str">
        <f t="shared" si="43"/>
        <v/>
      </c>
      <c r="D205" s="30" t="str">
        <f t="shared" si="43"/>
        <v/>
      </c>
      <c r="E205" s="60" t="str">
        <f t="shared" si="43"/>
        <v/>
      </c>
      <c r="F205" s="30" t="str">
        <f>IF($A205="","",IF(F$6="NÃO",0,Tabela!$H$34*ESTRUTURA!$I$4))</f>
        <v/>
      </c>
      <c r="G205" s="60" t="str">
        <f t="shared" si="43"/>
        <v/>
      </c>
      <c r="H205" s="30" t="str">
        <f>IF($A205="","",IF(H$6="NÃO",0,IF($A205=0,DATEDIF(ESTRUTURA!$F$3,ESTRUTURA!$F$4,"m")*Tabela!$H$6,Tabela!$H$6)))</f>
        <v/>
      </c>
      <c r="I205" s="60" t="str">
        <f t="shared" si="43"/>
        <v/>
      </c>
      <c r="J205" s="30" t="str">
        <f>IF($A205="","",IF(J$6="NÃO",0,IF($A205=0,DATEDIF(ESTRUTURA!$F$3,ESTRUTURA!$F$4,"m")*Tabela!$H$8,IF(J$6="NÃO",0,Tabela!$H$8))))</f>
        <v/>
      </c>
      <c r="K205" s="60" t="str">
        <f t="shared" si="43"/>
        <v/>
      </c>
      <c r="L205" s="30" t="str">
        <f t="shared" si="43"/>
        <v/>
      </c>
      <c r="M205" s="60" t="str">
        <f t="shared" si="43"/>
        <v/>
      </c>
      <c r="N205" s="30" t="str">
        <f t="shared" si="43"/>
        <v/>
      </c>
      <c r="O205" s="60" t="str">
        <f t="shared" si="43"/>
        <v/>
      </c>
      <c r="P205" s="30" t="str">
        <f t="shared" si="43"/>
        <v/>
      </c>
      <c r="Q205" s="60" t="str">
        <f t="shared" si="43"/>
        <v/>
      </c>
      <c r="R205" s="30" t="str">
        <f t="shared" si="43"/>
        <v/>
      </c>
      <c r="S205" s="60" t="str">
        <f>IF($A205="","",IF(S$6="NÃO",0,IF($A205=0,DATEDIF(ESTRUTURA!$F$3,ESTRUTURA!$F$4,"m")*Tabela!$H$17,Tabela!$H$17)))</f>
        <v/>
      </c>
      <c r="T205" s="30" t="str">
        <f>IF($A205="","",IF(T$6="NÃO",0,IF($A205=0,DATEDIF(ESTRUTURA!$F$3,ESTRUTURA!$F$4,"m")*Tabela!$H$18,Tabela!$H$18)))</f>
        <v/>
      </c>
      <c r="U205" s="60" t="str">
        <f t="shared" si="42"/>
        <v/>
      </c>
      <c r="V205" s="30" t="str">
        <f>IF($A205="","",IF(V$6="NÃO",0,IF($A205=0,DATEDIF(ESTRUTURA!$F$3,ESTRUTURA!$F$4,"m")*Tabela!$H$20,Tabela!$H$20)))</f>
        <v/>
      </c>
      <c r="W205" s="60" t="str">
        <f t="shared" si="42"/>
        <v/>
      </c>
      <c r="X205" s="30" t="str">
        <f t="shared" si="42"/>
        <v/>
      </c>
      <c r="Y205" s="60" t="str">
        <f>IF($A205="","",IF(Y$6="NÃO",0,IF(A205=0,Tabela!$H$23,IF(Y$7="mensal",Tabela!$H$23,IF(AND(MONTH(ESTRUTURA!C205)=MONTH(ESTRUTURA!$F$3),A205&gt;0),Tabela!$H$23,0)))))</f>
        <v/>
      </c>
      <c r="Z205" s="30" t="str">
        <f t="shared" si="42"/>
        <v/>
      </c>
      <c r="AA205" s="60" t="str">
        <f>IF($A205="","",IF(AA$6="NÃO",0,Tabela!$H$25*nm_séries))</f>
        <v/>
      </c>
      <c r="AB205" s="30" t="str">
        <f t="shared" si="42"/>
        <v/>
      </c>
      <c r="AC205" s="60" t="str">
        <f>IF($A205="","",IF(AC$6="NÃO",0,IF(A205=0,Tabela!$H$27,IF(MOD(A205,3)=0,Tabela!$H$27,0))))</f>
        <v/>
      </c>
      <c r="AD205" s="30" t="str">
        <f t="shared" si="42"/>
        <v/>
      </c>
      <c r="AE205" s="60" t="str">
        <f t="shared" si="42"/>
        <v/>
      </c>
      <c r="AF205" s="30" t="str">
        <f>IF($A205="","",IF(AF$6="NÃO",0,IF(AND(MONTH(ESTRUTURA!C205)=MONTH(ESTRUTURA!$F$3),A205&gt;0),Tabela!$H$30,0)))</f>
        <v/>
      </c>
      <c r="AG205" s="60" t="str">
        <f t="shared" si="42"/>
        <v/>
      </c>
      <c r="AH205" s="30" t="str">
        <f t="shared" si="42"/>
        <v/>
      </c>
      <c r="AI205" s="60" t="str">
        <f>IF($A205="","",IF(AI$6="NÃO",0,IF($A205=0,DATEDIF(ESTRUTURA!$F$3,ESTRUTURA!$F$4,"m")*Tabela!$H$33,Tabela!$H$33)))</f>
        <v/>
      </c>
      <c r="AJ205" s="30" t="str">
        <f t="shared" si="38"/>
        <v/>
      </c>
    </row>
    <row r="206" spans="1:36" x14ac:dyDescent="0.2">
      <c r="A206" s="66" t="str">
        <f>ESTRUTURA!A206</f>
        <v/>
      </c>
      <c r="B206" s="58">
        <f t="shared" si="44"/>
        <v>0</v>
      </c>
      <c r="C206" s="60" t="str">
        <f t="shared" si="43"/>
        <v/>
      </c>
      <c r="D206" s="30" t="str">
        <f t="shared" si="43"/>
        <v/>
      </c>
      <c r="E206" s="60" t="str">
        <f t="shared" si="43"/>
        <v/>
      </c>
      <c r="F206" s="30" t="str">
        <f>IF($A206="","",IF(F$6="NÃO",0,Tabela!$H$34*ESTRUTURA!$I$4))</f>
        <v/>
      </c>
      <c r="G206" s="60" t="str">
        <f t="shared" si="43"/>
        <v/>
      </c>
      <c r="H206" s="30" t="str">
        <f>IF($A206="","",IF(H$6="NÃO",0,IF($A206=0,DATEDIF(ESTRUTURA!$F$3,ESTRUTURA!$F$4,"m")*Tabela!$H$6,Tabela!$H$6)))</f>
        <v/>
      </c>
      <c r="I206" s="60" t="str">
        <f t="shared" si="43"/>
        <v/>
      </c>
      <c r="J206" s="30" t="str">
        <f>IF($A206="","",IF(J$6="NÃO",0,IF($A206=0,DATEDIF(ESTRUTURA!$F$3,ESTRUTURA!$F$4,"m")*Tabela!$H$8,IF(J$6="NÃO",0,Tabela!$H$8))))</f>
        <v/>
      </c>
      <c r="K206" s="60" t="str">
        <f t="shared" si="43"/>
        <v/>
      </c>
      <c r="L206" s="30" t="str">
        <f t="shared" si="43"/>
        <v/>
      </c>
      <c r="M206" s="60" t="str">
        <f t="shared" si="43"/>
        <v/>
      </c>
      <c r="N206" s="30" t="str">
        <f t="shared" si="43"/>
        <v/>
      </c>
      <c r="O206" s="60" t="str">
        <f t="shared" si="43"/>
        <v/>
      </c>
      <c r="P206" s="30" t="str">
        <f t="shared" si="43"/>
        <v/>
      </c>
      <c r="Q206" s="60" t="str">
        <f t="shared" si="43"/>
        <v/>
      </c>
      <c r="R206" s="30" t="str">
        <f t="shared" si="43"/>
        <v/>
      </c>
      <c r="S206" s="60" t="str">
        <f>IF($A206="","",IF(S$6="NÃO",0,IF($A206=0,DATEDIF(ESTRUTURA!$F$3,ESTRUTURA!$F$4,"m")*Tabela!$H$17,Tabela!$H$17)))</f>
        <v/>
      </c>
      <c r="T206" s="30" t="str">
        <f>IF($A206="","",IF(T$6="NÃO",0,IF($A206=0,DATEDIF(ESTRUTURA!$F$3,ESTRUTURA!$F$4,"m")*Tabela!$H$18,Tabela!$H$18)))</f>
        <v/>
      </c>
      <c r="U206" s="60" t="str">
        <f t="shared" si="42"/>
        <v/>
      </c>
      <c r="V206" s="30" t="str">
        <f>IF($A206="","",IF(V$6="NÃO",0,IF($A206=0,DATEDIF(ESTRUTURA!$F$3,ESTRUTURA!$F$4,"m")*Tabela!$H$20,Tabela!$H$20)))</f>
        <v/>
      </c>
      <c r="W206" s="60" t="str">
        <f t="shared" si="42"/>
        <v/>
      </c>
      <c r="X206" s="30" t="str">
        <f t="shared" si="42"/>
        <v/>
      </c>
      <c r="Y206" s="60" t="str">
        <f>IF($A206="","",IF(Y$6="NÃO",0,IF(A206=0,Tabela!$H$23,IF(Y$7="mensal",Tabela!$H$23,IF(AND(MONTH(ESTRUTURA!C206)=MONTH(ESTRUTURA!$F$3),A206&gt;0),Tabela!$H$23,0)))))</f>
        <v/>
      </c>
      <c r="Z206" s="30" t="str">
        <f t="shared" si="42"/>
        <v/>
      </c>
      <c r="AA206" s="60" t="str">
        <f>IF($A206="","",IF(AA$6="NÃO",0,Tabela!$H$25*nm_séries))</f>
        <v/>
      </c>
      <c r="AB206" s="30" t="str">
        <f t="shared" si="42"/>
        <v/>
      </c>
      <c r="AC206" s="60" t="str">
        <f>IF($A206="","",IF(AC$6="NÃO",0,IF(A206=0,Tabela!$H$27,IF(MOD(A206,3)=0,Tabela!$H$27,0))))</f>
        <v/>
      </c>
      <c r="AD206" s="30" t="str">
        <f t="shared" si="42"/>
        <v/>
      </c>
      <c r="AE206" s="60" t="str">
        <f t="shared" si="42"/>
        <v/>
      </c>
      <c r="AF206" s="30" t="str">
        <f>IF($A206="","",IF(AF$6="NÃO",0,IF(AND(MONTH(ESTRUTURA!C206)=MONTH(ESTRUTURA!$F$3),A206&gt;0),Tabela!$H$30,0)))</f>
        <v/>
      </c>
      <c r="AG206" s="60" t="str">
        <f t="shared" si="42"/>
        <v/>
      </c>
      <c r="AH206" s="30" t="str">
        <f t="shared" si="42"/>
        <v/>
      </c>
      <c r="AI206" s="60" t="str">
        <f>IF($A206="","",IF(AI$6="NÃO",0,IF($A206=0,DATEDIF(ESTRUTURA!$F$3,ESTRUTURA!$F$4,"m")*Tabela!$H$33,Tabela!$H$33)))</f>
        <v/>
      </c>
      <c r="AJ206" s="30" t="str">
        <f t="shared" si="38"/>
        <v/>
      </c>
    </row>
    <row r="207" spans="1:36" x14ac:dyDescent="0.2">
      <c r="A207" s="66" t="str">
        <f>ESTRUTURA!A207</f>
        <v/>
      </c>
      <c r="B207" s="58">
        <f t="shared" si="44"/>
        <v>0</v>
      </c>
      <c r="C207" s="60" t="str">
        <f t="shared" si="43"/>
        <v/>
      </c>
      <c r="D207" s="30" t="str">
        <f t="shared" si="43"/>
        <v/>
      </c>
      <c r="E207" s="60" t="str">
        <f t="shared" si="43"/>
        <v/>
      </c>
      <c r="F207" s="30" t="str">
        <f>IF($A207="","",IF(F$6="NÃO",0,Tabela!$H$34*ESTRUTURA!$I$4))</f>
        <v/>
      </c>
      <c r="G207" s="60" t="str">
        <f t="shared" si="43"/>
        <v/>
      </c>
      <c r="H207" s="30" t="str">
        <f>IF($A207="","",IF(H$6="NÃO",0,IF($A207=0,DATEDIF(ESTRUTURA!$F$3,ESTRUTURA!$F$4,"m")*Tabela!$H$6,Tabela!$H$6)))</f>
        <v/>
      </c>
      <c r="I207" s="60" t="str">
        <f t="shared" si="43"/>
        <v/>
      </c>
      <c r="J207" s="30" t="str">
        <f>IF($A207="","",IF(J$6="NÃO",0,IF($A207=0,DATEDIF(ESTRUTURA!$F$3,ESTRUTURA!$F$4,"m")*Tabela!$H$8,IF(J$6="NÃO",0,Tabela!$H$8))))</f>
        <v/>
      </c>
      <c r="K207" s="60" t="str">
        <f t="shared" si="43"/>
        <v/>
      </c>
      <c r="L207" s="30" t="str">
        <f t="shared" si="43"/>
        <v/>
      </c>
      <c r="M207" s="60" t="str">
        <f t="shared" si="43"/>
        <v/>
      </c>
      <c r="N207" s="30" t="str">
        <f t="shared" si="43"/>
        <v/>
      </c>
      <c r="O207" s="60" t="str">
        <f t="shared" si="43"/>
        <v/>
      </c>
      <c r="P207" s="30" t="str">
        <f t="shared" si="43"/>
        <v/>
      </c>
      <c r="Q207" s="60" t="str">
        <f t="shared" si="43"/>
        <v/>
      </c>
      <c r="R207" s="30" t="str">
        <f t="shared" si="43"/>
        <v/>
      </c>
      <c r="S207" s="60" t="str">
        <f>IF($A207="","",IF(S$6="NÃO",0,IF($A207=0,DATEDIF(ESTRUTURA!$F$3,ESTRUTURA!$F$4,"m")*Tabela!$H$17,Tabela!$H$17)))</f>
        <v/>
      </c>
      <c r="T207" s="30" t="str">
        <f>IF($A207="","",IF(T$6="NÃO",0,IF($A207=0,DATEDIF(ESTRUTURA!$F$3,ESTRUTURA!$F$4,"m")*Tabela!$H$18,Tabela!$H$18)))</f>
        <v/>
      </c>
      <c r="U207" s="60" t="str">
        <f t="shared" si="42"/>
        <v/>
      </c>
      <c r="V207" s="30" t="str">
        <f>IF($A207="","",IF(V$6="NÃO",0,IF($A207=0,DATEDIF(ESTRUTURA!$F$3,ESTRUTURA!$F$4,"m")*Tabela!$H$20,Tabela!$H$20)))</f>
        <v/>
      </c>
      <c r="W207" s="60" t="str">
        <f t="shared" si="42"/>
        <v/>
      </c>
      <c r="X207" s="30" t="str">
        <f t="shared" si="42"/>
        <v/>
      </c>
      <c r="Y207" s="60" t="str">
        <f>IF($A207="","",IF(Y$6="NÃO",0,IF(A207=0,Tabela!$H$23,IF(Y$7="mensal",Tabela!$H$23,IF(AND(MONTH(ESTRUTURA!C207)=MONTH(ESTRUTURA!$F$3),A207&gt;0),Tabela!$H$23,0)))))</f>
        <v/>
      </c>
      <c r="Z207" s="30" t="str">
        <f t="shared" si="42"/>
        <v/>
      </c>
      <c r="AA207" s="60" t="str">
        <f>IF($A207="","",IF(AA$6="NÃO",0,Tabela!$H$25*nm_séries))</f>
        <v/>
      </c>
      <c r="AB207" s="30" t="str">
        <f t="shared" si="42"/>
        <v/>
      </c>
      <c r="AC207" s="60" t="str">
        <f>IF($A207="","",IF(AC$6="NÃO",0,IF(A207=0,Tabela!$H$27,IF(MOD(A207,3)=0,Tabela!$H$27,0))))</f>
        <v/>
      </c>
      <c r="AD207" s="30" t="str">
        <f t="shared" si="42"/>
        <v/>
      </c>
      <c r="AE207" s="60" t="str">
        <f t="shared" si="42"/>
        <v/>
      </c>
      <c r="AF207" s="30" t="str">
        <f>IF($A207="","",IF(AF$6="NÃO",0,IF(AND(MONTH(ESTRUTURA!C207)=MONTH(ESTRUTURA!$F$3),A207&gt;0),Tabela!$H$30,0)))</f>
        <v/>
      </c>
      <c r="AG207" s="60" t="str">
        <f t="shared" si="42"/>
        <v/>
      </c>
      <c r="AH207" s="30" t="str">
        <f t="shared" si="42"/>
        <v/>
      </c>
      <c r="AI207" s="60" t="str">
        <f>IF($A207="","",IF(AI$6="NÃO",0,IF($A207=0,DATEDIF(ESTRUTURA!$F$3,ESTRUTURA!$F$4,"m")*Tabela!$H$33,Tabela!$H$33)))</f>
        <v/>
      </c>
      <c r="AJ207" s="30" t="str">
        <f t="shared" si="38"/>
        <v/>
      </c>
    </row>
    <row r="208" spans="1:36" x14ac:dyDescent="0.2">
      <c r="A208" s="66" t="str">
        <f>ESTRUTURA!A208</f>
        <v/>
      </c>
      <c r="B208" s="58">
        <f t="shared" si="44"/>
        <v>0</v>
      </c>
      <c r="C208" s="60" t="str">
        <f t="shared" si="43"/>
        <v/>
      </c>
      <c r="D208" s="30" t="str">
        <f t="shared" si="43"/>
        <v/>
      </c>
      <c r="E208" s="60" t="str">
        <f t="shared" si="43"/>
        <v/>
      </c>
      <c r="F208" s="30" t="str">
        <f>IF($A208="","",IF(F$6="NÃO",0,Tabela!$H$34*ESTRUTURA!$I$4))</f>
        <v/>
      </c>
      <c r="G208" s="60" t="str">
        <f t="shared" si="43"/>
        <v/>
      </c>
      <c r="H208" s="30" t="str">
        <f>IF($A208="","",IF(H$6="NÃO",0,IF($A208=0,DATEDIF(ESTRUTURA!$F$3,ESTRUTURA!$F$4,"m")*Tabela!$H$6,Tabela!$H$6)))</f>
        <v/>
      </c>
      <c r="I208" s="60" t="str">
        <f t="shared" si="43"/>
        <v/>
      </c>
      <c r="J208" s="30" t="str">
        <f>IF($A208="","",IF(J$6="NÃO",0,IF($A208=0,DATEDIF(ESTRUTURA!$F$3,ESTRUTURA!$F$4,"m")*Tabela!$H$8,IF(J$6="NÃO",0,Tabela!$H$8))))</f>
        <v/>
      </c>
      <c r="K208" s="60" t="str">
        <f t="shared" si="43"/>
        <v/>
      </c>
      <c r="L208" s="30" t="str">
        <f t="shared" si="43"/>
        <v/>
      </c>
      <c r="M208" s="60" t="str">
        <f t="shared" si="43"/>
        <v/>
      </c>
      <c r="N208" s="30" t="str">
        <f t="shared" si="43"/>
        <v/>
      </c>
      <c r="O208" s="60" t="str">
        <f t="shared" si="43"/>
        <v/>
      </c>
      <c r="P208" s="30" t="str">
        <f t="shared" si="43"/>
        <v/>
      </c>
      <c r="Q208" s="60" t="str">
        <f t="shared" si="43"/>
        <v/>
      </c>
      <c r="R208" s="30" t="str">
        <f t="shared" si="43"/>
        <v/>
      </c>
      <c r="S208" s="60" t="str">
        <f>IF($A208="","",IF(S$6="NÃO",0,IF($A208=0,DATEDIF(ESTRUTURA!$F$3,ESTRUTURA!$F$4,"m")*Tabela!$H$17,Tabela!$H$17)))</f>
        <v/>
      </c>
      <c r="T208" s="30" t="str">
        <f>IF($A208="","",IF(T$6="NÃO",0,IF($A208=0,DATEDIF(ESTRUTURA!$F$3,ESTRUTURA!$F$4,"m")*Tabela!$H$18,Tabela!$H$18)))</f>
        <v/>
      </c>
      <c r="U208" s="60" t="str">
        <f t="shared" si="42"/>
        <v/>
      </c>
      <c r="V208" s="30" t="str">
        <f>IF($A208="","",IF(V$6="NÃO",0,IF($A208=0,DATEDIF(ESTRUTURA!$F$3,ESTRUTURA!$F$4,"m")*Tabela!$H$20,Tabela!$H$20)))</f>
        <v/>
      </c>
      <c r="W208" s="60" t="str">
        <f t="shared" si="42"/>
        <v/>
      </c>
      <c r="X208" s="30" t="str">
        <f t="shared" si="42"/>
        <v/>
      </c>
      <c r="Y208" s="60" t="str">
        <f>IF($A208="","",IF(Y$6="NÃO",0,IF(A208=0,Tabela!$H$23,IF(Y$7="mensal",Tabela!$H$23,IF(AND(MONTH(ESTRUTURA!C208)=MONTH(ESTRUTURA!$F$3),A208&gt;0),Tabela!$H$23,0)))))</f>
        <v/>
      </c>
      <c r="Z208" s="30" t="str">
        <f t="shared" si="42"/>
        <v/>
      </c>
      <c r="AA208" s="60" t="str">
        <f>IF($A208="","",IF(AA$6="NÃO",0,Tabela!$H$25*nm_séries))</f>
        <v/>
      </c>
      <c r="AB208" s="30" t="str">
        <f t="shared" si="42"/>
        <v/>
      </c>
      <c r="AC208" s="60" t="str">
        <f>IF($A208="","",IF(AC$6="NÃO",0,IF(A208=0,Tabela!$H$27,IF(MOD(A208,3)=0,Tabela!$H$27,0))))</f>
        <v/>
      </c>
      <c r="AD208" s="30" t="str">
        <f t="shared" si="42"/>
        <v/>
      </c>
      <c r="AE208" s="60" t="str">
        <f t="shared" si="42"/>
        <v/>
      </c>
      <c r="AF208" s="30" t="str">
        <f>IF($A208="","",IF(AF$6="NÃO",0,IF(AND(MONTH(ESTRUTURA!C208)=MONTH(ESTRUTURA!$F$3),A208&gt;0),Tabela!$H$30,0)))</f>
        <v/>
      </c>
      <c r="AG208" s="60" t="str">
        <f t="shared" si="42"/>
        <v/>
      </c>
      <c r="AH208" s="30" t="str">
        <f t="shared" si="42"/>
        <v/>
      </c>
      <c r="AI208" s="60" t="str">
        <f>IF($A208="","",IF(AI$6="NÃO",0,IF($A208=0,DATEDIF(ESTRUTURA!$F$3,ESTRUTURA!$F$4,"m")*Tabela!$H$33,Tabela!$H$33)))</f>
        <v/>
      </c>
      <c r="AJ208" s="30" t="str">
        <f t="shared" si="38"/>
        <v/>
      </c>
    </row>
    <row r="209" spans="1:36" x14ac:dyDescent="0.2">
      <c r="A209" s="66" t="str">
        <f>ESTRUTURA!A209</f>
        <v/>
      </c>
      <c r="B209" s="58">
        <f t="shared" si="44"/>
        <v>0</v>
      </c>
      <c r="C209" s="60" t="str">
        <f t="shared" si="43"/>
        <v/>
      </c>
      <c r="D209" s="30" t="str">
        <f t="shared" si="43"/>
        <v/>
      </c>
      <c r="E209" s="60" t="str">
        <f t="shared" si="43"/>
        <v/>
      </c>
      <c r="F209" s="30" t="str">
        <f>IF($A209="","",IF(F$6="NÃO",0,Tabela!$H$34*ESTRUTURA!$I$4))</f>
        <v/>
      </c>
      <c r="G209" s="60" t="str">
        <f t="shared" si="43"/>
        <v/>
      </c>
      <c r="H209" s="30" t="str">
        <f>IF($A209="","",IF(H$6="NÃO",0,IF($A209=0,DATEDIF(ESTRUTURA!$F$3,ESTRUTURA!$F$4,"m")*Tabela!$H$6,Tabela!$H$6)))</f>
        <v/>
      </c>
      <c r="I209" s="60" t="str">
        <f t="shared" si="43"/>
        <v/>
      </c>
      <c r="J209" s="30" t="str">
        <f>IF($A209="","",IF(J$6="NÃO",0,IF($A209=0,DATEDIF(ESTRUTURA!$F$3,ESTRUTURA!$F$4,"m")*Tabela!$H$8,IF(J$6="NÃO",0,Tabela!$H$8))))</f>
        <v/>
      </c>
      <c r="K209" s="60" t="str">
        <f t="shared" si="43"/>
        <v/>
      </c>
      <c r="L209" s="30" t="str">
        <f t="shared" si="43"/>
        <v/>
      </c>
      <c r="M209" s="60" t="str">
        <f t="shared" si="43"/>
        <v/>
      </c>
      <c r="N209" s="30" t="str">
        <f t="shared" si="43"/>
        <v/>
      </c>
      <c r="O209" s="60" t="str">
        <f t="shared" si="43"/>
        <v/>
      </c>
      <c r="P209" s="30" t="str">
        <f t="shared" si="43"/>
        <v/>
      </c>
      <c r="Q209" s="60" t="str">
        <f t="shared" si="43"/>
        <v/>
      </c>
      <c r="R209" s="30" t="str">
        <f t="shared" si="43"/>
        <v/>
      </c>
      <c r="S209" s="60" t="str">
        <f>IF($A209="","",IF(S$6="NÃO",0,IF($A209=0,DATEDIF(ESTRUTURA!$F$3,ESTRUTURA!$F$4,"m")*Tabela!$H$17,Tabela!$H$17)))</f>
        <v/>
      </c>
      <c r="T209" s="30" t="str">
        <f>IF($A209="","",IF(T$6="NÃO",0,IF($A209=0,DATEDIF(ESTRUTURA!$F$3,ESTRUTURA!$F$4,"m")*Tabela!$H$18,Tabela!$H$18)))</f>
        <v/>
      </c>
      <c r="U209" s="60" t="str">
        <f t="shared" si="42"/>
        <v/>
      </c>
      <c r="V209" s="30" t="str">
        <f>IF($A209="","",IF(V$6="NÃO",0,IF($A209=0,DATEDIF(ESTRUTURA!$F$3,ESTRUTURA!$F$4,"m")*Tabela!$H$20,Tabela!$H$20)))</f>
        <v/>
      </c>
      <c r="W209" s="60" t="str">
        <f t="shared" si="42"/>
        <v/>
      </c>
      <c r="X209" s="30" t="str">
        <f t="shared" si="42"/>
        <v/>
      </c>
      <c r="Y209" s="60" t="str">
        <f>IF($A209="","",IF(Y$6="NÃO",0,IF(A209=0,Tabela!$H$23,IF(Y$7="mensal",Tabela!$H$23,IF(AND(MONTH(ESTRUTURA!C209)=MONTH(ESTRUTURA!$F$3),A209&gt;0),Tabela!$H$23,0)))))</f>
        <v/>
      </c>
      <c r="Z209" s="30" t="str">
        <f t="shared" si="42"/>
        <v/>
      </c>
      <c r="AA209" s="60" t="str">
        <f>IF($A209="","",IF(AA$6="NÃO",0,Tabela!$H$25*nm_séries))</f>
        <v/>
      </c>
      <c r="AB209" s="30" t="str">
        <f t="shared" si="42"/>
        <v/>
      </c>
      <c r="AC209" s="60" t="str">
        <f>IF($A209="","",IF(AC$6="NÃO",0,IF(A209=0,Tabela!$H$27,IF(MOD(A209,3)=0,Tabela!$H$27,0))))</f>
        <v/>
      </c>
      <c r="AD209" s="30" t="str">
        <f t="shared" si="42"/>
        <v/>
      </c>
      <c r="AE209" s="60" t="str">
        <f t="shared" si="42"/>
        <v/>
      </c>
      <c r="AF209" s="30" t="str">
        <f>IF($A209="","",IF(AF$6="NÃO",0,IF(AND(MONTH(ESTRUTURA!C209)=MONTH(ESTRUTURA!$F$3),A209&gt;0),Tabela!$H$30,0)))</f>
        <v/>
      </c>
      <c r="AG209" s="60" t="str">
        <f t="shared" si="42"/>
        <v/>
      </c>
      <c r="AH209" s="30" t="str">
        <f t="shared" si="42"/>
        <v/>
      </c>
      <c r="AI209" s="60" t="str">
        <f>IF($A209="","",IF(AI$6="NÃO",0,IF($A209=0,DATEDIF(ESTRUTURA!$F$3,ESTRUTURA!$F$4,"m")*Tabela!$H$33,Tabela!$H$33)))</f>
        <v/>
      </c>
      <c r="AJ209" s="30" t="str">
        <f t="shared" si="38"/>
        <v/>
      </c>
    </row>
    <row r="210" spans="1:36" x14ac:dyDescent="0.2">
      <c r="A210" s="66" t="str">
        <f>ESTRUTURA!A210</f>
        <v/>
      </c>
      <c r="B210" s="58">
        <f t="shared" si="44"/>
        <v>0</v>
      </c>
      <c r="C210" s="60" t="str">
        <f t="shared" si="43"/>
        <v/>
      </c>
      <c r="D210" s="30" t="str">
        <f t="shared" si="43"/>
        <v/>
      </c>
      <c r="E210" s="60" t="str">
        <f t="shared" si="43"/>
        <v/>
      </c>
      <c r="F210" s="30" t="str">
        <f>IF($A210="","",IF(F$6="NÃO",0,Tabela!$H$34*ESTRUTURA!$I$4))</f>
        <v/>
      </c>
      <c r="G210" s="60" t="str">
        <f t="shared" si="43"/>
        <v/>
      </c>
      <c r="H210" s="30" t="str">
        <f>IF($A210="","",IF(H$6="NÃO",0,IF($A210=0,DATEDIF(ESTRUTURA!$F$3,ESTRUTURA!$F$4,"m")*Tabela!$H$6,Tabela!$H$6)))</f>
        <v/>
      </c>
      <c r="I210" s="60" t="str">
        <f t="shared" si="43"/>
        <v/>
      </c>
      <c r="J210" s="30" t="str">
        <f>IF($A210="","",IF(J$6="NÃO",0,IF($A210=0,DATEDIF(ESTRUTURA!$F$3,ESTRUTURA!$F$4,"m")*Tabela!$H$8,IF(J$6="NÃO",0,Tabela!$H$8))))</f>
        <v/>
      </c>
      <c r="K210" s="60" t="str">
        <f t="shared" si="43"/>
        <v/>
      </c>
      <c r="L210" s="30" t="str">
        <f t="shared" si="43"/>
        <v/>
      </c>
      <c r="M210" s="60" t="str">
        <f t="shared" si="43"/>
        <v/>
      </c>
      <c r="N210" s="30" t="str">
        <f t="shared" si="43"/>
        <v/>
      </c>
      <c r="O210" s="60" t="str">
        <f t="shared" si="43"/>
        <v/>
      </c>
      <c r="P210" s="30" t="str">
        <f t="shared" si="43"/>
        <v/>
      </c>
      <c r="Q210" s="60" t="str">
        <f t="shared" si="43"/>
        <v/>
      </c>
      <c r="R210" s="30" t="str">
        <f t="shared" si="43"/>
        <v/>
      </c>
      <c r="S210" s="60" t="str">
        <f>IF($A210="","",IF(S$6="NÃO",0,IF($A210=0,DATEDIF(ESTRUTURA!$F$3,ESTRUTURA!$F$4,"m")*Tabela!$H$17,Tabela!$H$17)))</f>
        <v/>
      </c>
      <c r="T210" s="30" t="str">
        <f>IF($A210="","",IF(T$6="NÃO",0,IF($A210=0,DATEDIF(ESTRUTURA!$F$3,ESTRUTURA!$F$4,"m")*Tabela!$H$18,Tabela!$H$18)))</f>
        <v/>
      </c>
      <c r="U210" s="60" t="str">
        <f t="shared" si="42"/>
        <v/>
      </c>
      <c r="V210" s="30" t="str">
        <f>IF($A210="","",IF(V$6="NÃO",0,IF($A210=0,DATEDIF(ESTRUTURA!$F$3,ESTRUTURA!$F$4,"m")*Tabela!$H$20,Tabela!$H$20)))</f>
        <v/>
      </c>
      <c r="W210" s="60" t="str">
        <f t="shared" si="42"/>
        <v/>
      </c>
      <c r="X210" s="30" t="str">
        <f t="shared" si="42"/>
        <v/>
      </c>
      <c r="Y210" s="60" t="str">
        <f>IF($A210="","",IF(Y$6="NÃO",0,IF(A210=0,Tabela!$H$23,IF(Y$7="mensal",Tabela!$H$23,IF(AND(MONTH(ESTRUTURA!C210)=MONTH(ESTRUTURA!$F$3),A210&gt;0),Tabela!$H$23,0)))))</f>
        <v/>
      </c>
      <c r="Z210" s="30" t="str">
        <f t="shared" si="42"/>
        <v/>
      </c>
      <c r="AA210" s="60" t="str">
        <f>IF($A210="","",IF(AA$6="NÃO",0,Tabela!$H$25*nm_séries))</f>
        <v/>
      </c>
      <c r="AB210" s="30" t="str">
        <f t="shared" si="42"/>
        <v/>
      </c>
      <c r="AC210" s="60" t="str">
        <f>IF($A210="","",IF(AC$6="NÃO",0,IF(A210=0,Tabela!$H$27,IF(MOD(A210,3)=0,Tabela!$H$27,0))))</f>
        <v/>
      </c>
      <c r="AD210" s="30" t="str">
        <f t="shared" si="42"/>
        <v/>
      </c>
      <c r="AE210" s="60" t="str">
        <f t="shared" si="42"/>
        <v/>
      </c>
      <c r="AF210" s="30" t="str">
        <f>IF($A210="","",IF(AF$6="NÃO",0,IF(AND(MONTH(ESTRUTURA!C210)=MONTH(ESTRUTURA!$F$3),A210&gt;0),Tabela!$H$30,0)))</f>
        <v/>
      </c>
      <c r="AG210" s="60" t="str">
        <f t="shared" si="42"/>
        <v/>
      </c>
      <c r="AH210" s="30" t="str">
        <f t="shared" si="42"/>
        <v/>
      </c>
      <c r="AI210" s="60" t="str">
        <f>IF($A210="","",IF(AI$6="NÃO",0,IF($A210=0,DATEDIF(ESTRUTURA!$F$3,ESTRUTURA!$F$4,"m")*Tabela!$H$33,Tabela!$H$33)))</f>
        <v/>
      </c>
      <c r="AJ210" s="30" t="str">
        <f t="shared" si="38"/>
        <v/>
      </c>
    </row>
    <row r="211" spans="1:36" x14ac:dyDescent="0.2">
      <c r="A211" s="66" t="str">
        <f>ESTRUTURA!A211</f>
        <v/>
      </c>
      <c r="B211" s="58">
        <f t="shared" si="44"/>
        <v>0</v>
      </c>
      <c r="C211" s="60" t="str">
        <f t="shared" si="43"/>
        <v/>
      </c>
      <c r="D211" s="30" t="str">
        <f t="shared" si="43"/>
        <v/>
      </c>
      <c r="E211" s="60" t="str">
        <f t="shared" si="43"/>
        <v/>
      </c>
      <c r="F211" s="30" t="str">
        <f>IF($A211="","",IF(F$6="NÃO",0,Tabela!$H$34*ESTRUTURA!$I$4))</f>
        <v/>
      </c>
      <c r="G211" s="60" t="str">
        <f t="shared" si="43"/>
        <v/>
      </c>
      <c r="H211" s="30" t="str">
        <f>IF($A211="","",IF(H$6="NÃO",0,IF($A211=0,DATEDIF(ESTRUTURA!$F$3,ESTRUTURA!$F$4,"m")*Tabela!$H$6,Tabela!$H$6)))</f>
        <v/>
      </c>
      <c r="I211" s="60" t="str">
        <f t="shared" si="43"/>
        <v/>
      </c>
      <c r="J211" s="30" t="str">
        <f>IF($A211="","",IF(J$6="NÃO",0,IF($A211=0,DATEDIF(ESTRUTURA!$F$3,ESTRUTURA!$F$4,"m")*Tabela!$H$8,IF(J$6="NÃO",0,Tabela!$H$8))))</f>
        <v/>
      </c>
      <c r="K211" s="60" t="str">
        <f t="shared" si="43"/>
        <v/>
      </c>
      <c r="L211" s="30" t="str">
        <f t="shared" si="43"/>
        <v/>
      </c>
      <c r="M211" s="60" t="str">
        <f t="shared" si="43"/>
        <v/>
      </c>
      <c r="N211" s="30" t="str">
        <f t="shared" si="43"/>
        <v/>
      </c>
      <c r="O211" s="60" t="str">
        <f t="shared" si="43"/>
        <v/>
      </c>
      <c r="P211" s="30" t="str">
        <f t="shared" si="43"/>
        <v/>
      </c>
      <c r="Q211" s="60" t="str">
        <f t="shared" si="43"/>
        <v/>
      </c>
      <c r="R211" s="30" t="str">
        <f t="shared" si="43"/>
        <v/>
      </c>
      <c r="S211" s="60" t="str">
        <f>IF($A211="","",IF(S$6="NÃO",0,IF($A211=0,DATEDIF(ESTRUTURA!$F$3,ESTRUTURA!$F$4,"m")*Tabela!$H$17,Tabela!$H$17)))</f>
        <v/>
      </c>
      <c r="T211" s="30" t="str">
        <f>IF($A211="","",IF(T$6="NÃO",0,IF($A211=0,DATEDIF(ESTRUTURA!$F$3,ESTRUTURA!$F$4,"m")*Tabela!$H$18,Tabela!$H$18)))</f>
        <v/>
      </c>
      <c r="U211" s="60" t="str">
        <f t="shared" si="42"/>
        <v/>
      </c>
      <c r="V211" s="30" t="str">
        <f>IF($A211="","",IF(V$6="NÃO",0,IF($A211=0,DATEDIF(ESTRUTURA!$F$3,ESTRUTURA!$F$4,"m")*Tabela!$H$20,Tabela!$H$20)))</f>
        <v/>
      </c>
      <c r="W211" s="60" t="str">
        <f t="shared" si="42"/>
        <v/>
      </c>
      <c r="X211" s="30" t="str">
        <f t="shared" si="42"/>
        <v/>
      </c>
      <c r="Y211" s="60" t="str">
        <f>IF($A211="","",IF(Y$6="NÃO",0,IF(A211=0,Tabela!$H$23,IF(Y$7="mensal",Tabela!$H$23,IF(AND(MONTH(ESTRUTURA!C211)=MONTH(ESTRUTURA!$F$3),A211&gt;0),Tabela!$H$23,0)))))</f>
        <v/>
      </c>
      <c r="Z211" s="30" t="str">
        <f t="shared" si="42"/>
        <v/>
      </c>
      <c r="AA211" s="60" t="str">
        <f>IF($A211="","",IF(AA$6="NÃO",0,Tabela!$H$25*nm_séries))</f>
        <v/>
      </c>
      <c r="AB211" s="30" t="str">
        <f t="shared" si="42"/>
        <v/>
      </c>
      <c r="AC211" s="60" t="str">
        <f>IF($A211="","",IF(AC$6="NÃO",0,IF(A211=0,Tabela!$H$27,IF(MOD(A211,3)=0,Tabela!$H$27,0))))</f>
        <v/>
      </c>
      <c r="AD211" s="30" t="str">
        <f t="shared" si="42"/>
        <v/>
      </c>
      <c r="AE211" s="60" t="str">
        <f t="shared" si="42"/>
        <v/>
      </c>
      <c r="AF211" s="30" t="str">
        <f>IF($A211="","",IF(AF$6="NÃO",0,IF(AND(MONTH(ESTRUTURA!C211)=MONTH(ESTRUTURA!$F$3),A211&gt;0),Tabela!$H$30,0)))</f>
        <v/>
      </c>
      <c r="AG211" s="60" t="str">
        <f t="shared" si="42"/>
        <v/>
      </c>
      <c r="AH211" s="30" t="str">
        <f t="shared" si="42"/>
        <v/>
      </c>
      <c r="AI211" s="60" t="str">
        <f>IF($A211="","",IF(AI$6="NÃO",0,IF($A211=0,DATEDIF(ESTRUTURA!$F$3,ESTRUTURA!$F$4,"m")*Tabela!$H$33,Tabela!$H$33)))</f>
        <v/>
      </c>
      <c r="AJ211" s="30" t="str">
        <f t="shared" si="38"/>
        <v/>
      </c>
    </row>
    <row r="212" spans="1:36" x14ac:dyDescent="0.2">
      <c r="A212" s="66" t="str">
        <f>ESTRUTURA!A212</f>
        <v/>
      </c>
      <c r="B212" s="58">
        <f t="shared" si="44"/>
        <v>0</v>
      </c>
      <c r="C212" s="60" t="str">
        <f t="shared" si="43"/>
        <v/>
      </c>
      <c r="D212" s="30" t="str">
        <f t="shared" si="43"/>
        <v/>
      </c>
      <c r="E212" s="60" t="str">
        <f t="shared" si="43"/>
        <v/>
      </c>
      <c r="F212" s="30" t="str">
        <f>IF($A212="","",IF(F$6="NÃO",0,Tabela!$H$34*ESTRUTURA!$I$4))</f>
        <v/>
      </c>
      <c r="G212" s="60" t="str">
        <f t="shared" si="43"/>
        <v/>
      </c>
      <c r="H212" s="30" t="str">
        <f>IF($A212="","",IF(H$6="NÃO",0,IF($A212=0,DATEDIF(ESTRUTURA!$F$3,ESTRUTURA!$F$4,"m")*Tabela!$H$6,Tabela!$H$6)))</f>
        <v/>
      </c>
      <c r="I212" s="60" t="str">
        <f t="shared" si="43"/>
        <v/>
      </c>
      <c r="J212" s="30" t="str">
        <f>IF($A212="","",IF(J$6="NÃO",0,IF($A212=0,DATEDIF(ESTRUTURA!$F$3,ESTRUTURA!$F$4,"m")*Tabela!$H$8,IF(J$6="NÃO",0,Tabela!$H$8))))</f>
        <v/>
      </c>
      <c r="K212" s="60" t="str">
        <f t="shared" si="43"/>
        <v/>
      </c>
      <c r="L212" s="30" t="str">
        <f t="shared" si="43"/>
        <v/>
      </c>
      <c r="M212" s="60" t="str">
        <f t="shared" si="43"/>
        <v/>
      </c>
      <c r="N212" s="30" t="str">
        <f t="shared" si="43"/>
        <v/>
      </c>
      <c r="O212" s="60" t="str">
        <f t="shared" si="43"/>
        <v/>
      </c>
      <c r="P212" s="30" t="str">
        <f t="shared" si="43"/>
        <v/>
      </c>
      <c r="Q212" s="60" t="str">
        <f t="shared" si="43"/>
        <v/>
      </c>
      <c r="R212" s="30" t="str">
        <f t="shared" si="43"/>
        <v/>
      </c>
      <c r="S212" s="60" t="str">
        <f>IF($A212="","",IF(S$6="NÃO",0,IF($A212=0,DATEDIF(ESTRUTURA!$F$3,ESTRUTURA!$F$4,"m")*Tabela!$H$17,Tabela!$H$17)))</f>
        <v/>
      </c>
      <c r="T212" s="30" t="str">
        <f>IF($A212="","",IF(T$6="NÃO",0,IF($A212=0,DATEDIF(ESTRUTURA!$F$3,ESTRUTURA!$F$4,"m")*Tabela!$H$18,Tabela!$H$18)))</f>
        <v/>
      </c>
      <c r="U212" s="60" t="str">
        <f t="shared" si="42"/>
        <v/>
      </c>
      <c r="V212" s="30" t="str">
        <f>IF($A212="","",IF(V$6="NÃO",0,IF($A212=0,DATEDIF(ESTRUTURA!$F$3,ESTRUTURA!$F$4,"m")*Tabela!$H$20,Tabela!$H$20)))</f>
        <v/>
      </c>
      <c r="W212" s="60" t="str">
        <f t="shared" si="42"/>
        <v/>
      </c>
      <c r="X212" s="30" t="str">
        <f t="shared" si="42"/>
        <v/>
      </c>
      <c r="Y212" s="60" t="str">
        <f>IF($A212="","",IF(Y$6="NÃO",0,IF(A212=0,Tabela!$H$23,IF(Y$7="mensal",Tabela!$H$23,IF(AND(MONTH(ESTRUTURA!C212)=MONTH(ESTRUTURA!$F$3),A212&gt;0),Tabela!$H$23,0)))))</f>
        <v/>
      </c>
      <c r="Z212" s="30" t="str">
        <f t="shared" si="42"/>
        <v/>
      </c>
      <c r="AA212" s="60" t="str">
        <f>IF($A212="","",IF(AA$6="NÃO",0,Tabela!$H$25*nm_séries))</f>
        <v/>
      </c>
      <c r="AB212" s="30" t="str">
        <f t="shared" si="42"/>
        <v/>
      </c>
      <c r="AC212" s="60" t="str">
        <f>IF($A212="","",IF(AC$6="NÃO",0,IF(A212=0,Tabela!$H$27,IF(MOD(A212,3)=0,Tabela!$H$27,0))))</f>
        <v/>
      </c>
      <c r="AD212" s="30" t="str">
        <f t="shared" si="42"/>
        <v/>
      </c>
      <c r="AE212" s="60" t="str">
        <f t="shared" si="42"/>
        <v/>
      </c>
      <c r="AF212" s="30" t="str">
        <f>IF($A212="","",IF(AF$6="NÃO",0,IF(AND(MONTH(ESTRUTURA!C212)=MONTH(ESTRUTURA!$F$3),A212&gt;0),Tabela!$H$30,0)))</f>
        <v/>
      </c>
      <c r="AG212" s="60" t="str">
        <f t="shared" si="42"/>
        <v/>
      </c>
      <c r="AH212" s="30" t="str">
        <f t="shared" si="42"/>
        <v/>
      </c>
      <c r="AI212" s="60" t="str">
        <f>IF($A212="","",IF(AI$6="NÃO",0,IF($A212=0,DATEDIF(ESTRUTURA!$F$3,ESTRUTURA!$F$4,"m")*Tabela!$H$33,Tabela!$H$33)))</f>
        <v/>
      </c>
      <c r="AJ212" s="30" t="str">
        <f t="shared" si="38"/>
        <v/>
      </c>
    </row>
    <row r="213" spans="1:36" x14ac:dyDescent="0.2">
      <c r="A213" s="66" t="str">
        <f>ESTRUTURA!A213</f>
        <v/>
      </c>
      <c r="B213" s="58">
        <f t="shared" si="44"/>
        <v>0</v>
      </c>
      <c r="C213" s="60" t="str">
        <f t="shared" si="43"/>
        <v/>
      </c>
      <c r="D213" s="30" t="str">
        <f t="shared" si="43"/>
        <v/>
      </c>
      <c r="E213" s="60" t="str">
        <f t="shared" si="43"/>
        <v/>
      </c>
      <c r="F213" s="30" t="str">
        <f>IF($A213="","",IF(F$6="NÃO",0,Tabela!$H$34*ESTRUTURA!$I$4))</f>
        <v/>
      </c>
      <c r="G213" s="60" t="str">
        <f t="shared" si="43"/>
        <v/>
      </c>
      <c r="H213" s="30" t="str">
        <f>IF($A213="","",IF(H$6="NÃO",0,IF($A213=0,DATEDIF(ESTRUTURA!$F$3,ESTRUTURA!$F$4,"m")*Tabela!$H$6,Tabela!$H$6)))</f>
        <v/>
      </c>
      <c r="I213" s="60" t="str">
        <f t="shared" si="43"/>
        <v/>
      </c>
      <c r="J213" s="30" t="str">
        <f>IF($A213="","",IF(J$6="NÃO",0,IF($A213=0,DATEDIF(ESTRUTURA!$F$3,ESTRUTURA!$F$4,"m")*Tabela!$H$8,IF(J$6="NÃO",0,Tabela!$H$8))))</f>
        <v/>
      </c>
      <c r="K213" s="60" t="str">
        <f t="shared" si="43"/>
        <v/>
      </c>
      <c r="L213" s="30" t="str">
        <f t="shared" si="43"/>
        <v/>
      </c>
      <c r="M213" s="60" t="str">
        <f t="shared" si="43"/>
        <v/>
      </c>
      <c r="N213" s="30" t="str">
        <f t="shared" si="43"/>
        <v/>
      </c>
      <c r="O213" s="60" t="str">
        <f t="shared" si="43"/>
        <v/>
      </c>
      <c r="P213" s="30" t="str">
        <f t="shared" si="43"/>
        <v/>
      </c>
      <c r="Q213" s="60" t="str">
        <f t="shared" si="43"/>
        <v/>
      </c>
      <c r="R213" s="30" t="str">
        <f t="shared" si="43"/>
        <v/>
      </c>
      <c r="S213" s="60" t="str">
        <f>IF($A213="","",IF(S$6="NÃO",0,IF($A213=0,DATEDIF(ESTRUTURA!$F$3,ESTRUTURA!$F$4,"m")*Tabela!$H$17,Tabela!$H$17)))</f>
        <v/>
      </c>
      <c r="T213" s="30" t="str">
        <f>IF($A213="","",IF(T$6="NÃO",0,IF($A213=0,DATEDIF(ESTRUTURA!$F$3,ESTRUTURA!$F$4,"m")*Tabela!$H$18,Tabela!$H$18)))</f>
        <v/>
      </c>
      <c r="U213" s="60" t="str">
        <f t="shared" si="42"/>
        <v/>
      </c>
      <c r="V213" s="30" t="str">
        <f>IF($A213="","",IF(V$6="NÃO",0,IF($A213=0,DATEDIF(ESTRUTURA!$F$3,ESTRUTURA!$F$4,"m")*Tabela!$H$20,Tabela!$H$20)))</f>
        <v/>
      </c>
      <c r="W213" s="60" t="str">
        <f t="shared" si="42"/>
        <v/>
      </c>
      <c r="X213" s="30" t="str">
        <f t="shared" si="42"/>
        <v/>
      </c>
      <c r="Y213" s="60" t="str">
        <f>IF($A213="","",IF(Y$6="NÃO",0,IF(A213=0,Tabela!$H$23,IF(Y$7="mensal",Tabela!$H$23,IF(AND(MONTH(ESTRUTURA!C213)=MONTH(ESTRUTURA!$F$3),A213&gt;0),Tabela!$H$23,0)))))</f>
        <v/>
      </c>
      <c r="Z213" s="30" t="str">
        <f t="shared" si="42"/>
        <v/>
      </c>
      <c r="AA213" s="60" t="str">
        <f>IF($A213="","",IF(AA$6="NÃO",0,Tabela!$H$25*nm_séries))</f>
        <v/>
      </c>
      <c r="AB213" s="30" t="str">
        <f t="shared" si="42"/>
        <v/>
      </c>
      <c r="AC213" s="60" t="str">
        <f>IF($A213="","",IF(AC$6="NÃO",0,IF(A213=0,Tabela!$H$27,IF(MOD(A213,3)=0,Tabela!$H$27,0))))</f>
        <v/>
      </c>
      <c r="AD213" s="30" t="str">
        <f t="shared" si="42"/>
        <v/>
      </c>
      <c r="AE213" s="60" t="str">
        <f t="shared" si="42"/>
        <v/>
      </c>
      <c r="AF213" s="30" t="str">
        <f>IF($A213="","",IF(AF$6="NÃO",0,IF(AND(MONTH(ESTRUTURA!C213)=MONTH(ESTRUTURA!$F$3),A213&gt;0),Tabela!$H$30,0)))</f>
        <v/>
      </c>
      <c r="AG213" s="60" t="str">
        <f t="shared" si="42"/>
        <v/>
      </c>
      <c r="AH213" s="30" t="str">
        <f t="shared" si="42"/>
        <v/>
      </c>
      <c r="AI213" s="60" t="str">
        <f>IF($A213="","",IF(AI$6="NÃO",0,IF($A213=0,DATEDIF(ESTRUTURA!$F$3,ESTRUTURA!$F$4,"m")*Tabela!$H$33,Tabela!$H$33)))</f>
        <v/>
      </c>
      <c r="AJ213" s="30" t="str">
        <f t="shared" si="38"/>
        <v/>
      </c>
    </row>
    <row r="214" spans="1:36" x14ac:dyDescent="0.2">
      <c r="A214" s="66" t="str">
        <f>ESTRUTURA!A214</f>
        <v/>
      </c>
      <c r="B214" s="58">
        <f t="shared" si="44"/>
        <v>0</v>
      </c>
      <c r="C214" s="60" t="str">
        <f t="shared" si="43"/>
        <v/>
      </c>
      <c r="D214" s="30" t="str">
        <f t="shared" si="43"/>
        <v/>
      </c>
      <c r="E214" s="60" t="str">
        <f t="shared" si="43"/>
        <v/>
      </c>
      <c r="F214" s="30" t="str">
        <f>IF($A214="","",IF(F$6="NÃO",0,Tabela!$H$34*ESTRUTURA!$I$4))</f>
        <v/>
      </c>
      <c r="G214" s="60" t="str">
        <f t="shared" si="43"/>
        <v/>
      </c>
      <c r="H214" s="30" t="str">
        <f>IF($A214="","",IF(H$6="NÃO",0,IF($A214=0,DATEDIF(ESTRUTURA!$F$3,ESTRUTURA!$F$4,"m")*Tabela!$H$6,Tabela!$H$6)))</f>
        <v/>
      </c>
      <c r="I214" s="60" t="str">
        <f t="shared" si="43"/>
        <v/>
      </c>
      <c r="J214" s="30" t="str">
        <f>IF($A214="","",IF(J$6="NÃO",0,IF($A214=0,DATEDIF(ESTRUTURA!$F$3,ESTRUTURA!$F$4,"m")*Tabela!$H$8,IF(J$6="NÃO",0,Tabela!$H$8))))</f>
        <v/>
      </c>
      <c r="K214" s="60" t="str">
        <f t="shared" si="43"/>
        <v/>
      </c>
      <c r="L214" s="30" t="str">
        <f t="shared" si="43"/>
        <v/>
      </c>
      <c r="M214" s="60" t="str">
        <f t="shared" si="43"/>
        <v/>
      </c>
      <c r="N214" s="30" t="str">
        <f t="shared" si="43"/>
        <v/>
      </c>
      <c r="O214" s="60" t="str">
        <f t="shared" si="43"/>
        <v/>
      </c>
      <c r="P214" s="30" t="str">
        <f t="shared" si="43"/>
        <v/>
      </c>
      <c r="Q214" s="60" t="str">
        <f t="shared" si="43"/>
        <v/>
      </c>
      <c r="R214" s="30" t="str">
        <f t="shared" si="43"/>
        <v/>
      </c>
      <c r="S214" s="60" t="str">
        <f>IF($A214="","",IF(S$6="NÃO",0,IF($A214=0,DATEDIF(ESTRUTURA!$F$3,ESTRUTURA!$F$4,"m")*Tabela!$H$17,Tabela!$H$17)))</f>
        <v/>
      </c>
      <c r="T214" s="30" t="str">
        <f>IF($A214="","",IF(T$6="NÃO",0,IF($A214=0,DATEDIF(ESTRUTURA!$F$3,ESTRUTURA!$F$4,"m")*Tabela!$H$18,Tabela!$H$18)))</f>
        <v/>
      </c>
      <c r="U214" s="60" t="str">
        <f t="shared" si="42"/>
        <v/>
      </c>
      <c r="V214" s="30" t="str">
        <f>IF($A214="","",IF(V$6="NÃO",0,IF($A214=0,DATEDIF(ESTRUTURA!$F$3,ESTRUTURA!$F$4,"m")*Tabela!$H$20,Tabela!$H$20)))</f>
        <v/>
      </c>
      <c r="W214" s="60" t="str">
        <f t="shared" si="42"/>
        <v/>
      </c>
      <c r="X214" s="30" t="str">
        <f t="shared" si="42"/>
        <v/>
      </c>
      <c r="Y214" s="60" t="str">
        <f>IF($A214="","",IF(Y$6="NÃO",0,IF(A214=0,Tabela!$H$23,IF(Y$7="mensal",Tabela!$H$23,IF(AND(MONTH(ESTRUTURA!C214)=MONTH(ESTRUTURA!$F$3),A214&gt;0),Tabela!$H$23,0)))))</f>
        <v/>
      </c>
      <c r="Z214" s="30" t="str">
        <f t="shared" si="42"/>
        <v/>
      </c>
      <c r="AA214" s="60" t="str">
        <f>IF($A214="","",IF(AA$6="NÃO",0,Tabela!$H$25*nm_séries))</f>
        <v/>
      </c>
      <c r="AB214" s="30" t="str">
        <f t="shared" si="42"/>
        <v/>
      </c>
      <c r="AC214" s="60" t="str">
        <f>IF($A214="","",IF(AC$6="NÃO",0,IF(A214=0,Tabela!$H$27,IF(MOD(A214,3)=0,Tabela!$H$27,0))))</f>
        <v/>
      </c>
      <c r="AD214" s="30" t="str">
        <f t="shared" si="42"/>
        <v/>
      </c>
      <c r="AE214" s="60" t="str">
        <f t="shared" si="42"/>
        <v/>
      </c>
      <c r="AF214" s="30" t="str">
        <f>IF($A214="","",IF(AF$6="NÃO",0,IF(AND(MONTH(ESTRUTURA!C214)=MONTH(ESTRUTURA!$F$3),A214&gt;0),Tabela!$H$30,0)))</f>
        <v/>
      </c>
      <c r="AG214" s="60" t="str">
        <f t="shared" si="42"/>
        <v/>
      </c>
      <c r="AH214" s="30" t="str">
        <f t="shared" si="42"/>
        <v/>
      </c>
      <c r="AI214" s="60" t="str">
        <f>IF($A214="","",IF(AI$6="NÃO",0,IF($A214=0,DATEDIF(ESTRUTURA!$F$3,ESTRUTURA!$F$4,"m")*Tabela!$H$33,Tabela!$H$33)))</f>
        <v/>
      </c>
      <c r="AJ214" s="30" t="str">
        <f t="shared" si="38"/>
        <v/>
      </c>
    </row>
    <row r="215" spans="1:36" x14ac:dyDescent="0.2">
      <c r="A215" s="66" t="str">
        <f>ESTRUTURA!A215</f>
        <v/>
      </c>
      <c r="B215" s="58">
        <f t="shared" si="44"/>
        <v>0</v>
      </c>
      <c r="C215" s="60" t="str">
        <f t="shared" si="43"/>
        <v/>
      </c>
      <c r="D215" s="30" t="str">
        <f t="shared" si="43"/>
        <v/>
      </c>
      <c r="E215" s="60" t="str">
        <f t="shared" si="43"/>
        <v/>
      </c>
      <c r="F215" s="30" t="str">
        <f>IF($A215="","",IF(F$6="NÃO",0,Tabela!$H$34*ESTRUTURA!$I$4))</f>
        <v/>
      </c>
      <c r="G215" s="60" t="str">
        <f t="shared" si="43"/>
        <v/>
      </c>
      <c r="H215" s="30" t="str">
        <f>IF($A215="","",IF(H$6="NÃO",0,IF($A215=0,DATEDIF(ESTRUTURA!$F$3,ESTRUTURA!$F$4,"m")*Tabela!$H$6,Tabela!$H$6)))</f>
        <v/>
      </c>
      <c r="I215" s="60" t="str">
        <f t="shared" si="43"/>
        <v/>
      </c>
      <c r="J215" s="30" t="str">
        <f>IF($A215="","",IF(J$6="NÃO",0,IF($A215=0,DATEDIF(ESTRUTURA!$F$3,ESTRUTURA!$F$4,"m")*Tabela!$H$8,IF(J$6="NÃO",0,Tabela!$H$8))))</f>
        <v/>
      </c>
      <c r="K215" s="60" t="str">
        <f t="shared" si="43"/>
        <v/>
      </c>
      <c r="L215" s="30" t="str">
        <f t="shared" si="43"/>
        <v/>
      </c>
      <c r="M215" s="60" t="str">
        <f t="shared" si="43"/>
        <v/>
      </c>
      <c r="N215" s="30" t="str">
        <f t="shared" si="43"/>
        <v/>
      </c>
      <c r="O215" s="60" t="str">
        <f t="shared" si="43"/>
        <v/>
      </c>
      <c r="P215" s="30" t="str">
        <f t="shared" si="43"/>
        <v/>
      </c>
      <c r="Q215" s="60" t="str">
        <f t="shared" si="43"/>
        <v/>
      </c>
      <c r="R215" s="30" t="str">
        <f t="shared" si="43"/>
        <v/>
      </c>
      <c r="S215" s="60" t="str">
        <f>IF($A215="","",IF(S$6="NÃO",0,IF($A215=0,DATEDIF(ESTRUTURA!$F$3,ESTRUTURA!$F$4,"m")*Tabela!$H$17,Tabela!$H$17)))</f>
        <v/>
      </c>
      <c r="T215" s="30" t="str">
        <f>IF($A215="","",IF(T$6="NÃO",0,IF($A215=0,DATEDIF(ESTRUTURA!$F$3,ESTRUTURA!$F$4,"m")*Tabela!$H$18,Tabela!$H$18)))</f>
        <v/>
      </c>
      <c r="U215" s="60" t="str">
        <f t="shared" si="42"/>
        <v/>
      </c>
      <c r="V215" s="30" t="str">
        <f>IF($A215="","",IF(V$6="NÃO",0,IF($A215=0,DATEDIF(ESTRUTURA!$F$3,ESTRUTURA!$F$4,"m")*Tabela!$H$20,Tabela!$H$20)))</f>
        <v/>
      </c>
      <c r="W215" s="60" t="str">
        <f t="shared" si="42"/>
        <v/>
      </c>
      <c r="X215" s="30" t="str">
        <f t="shared" si="42"/>
        <v/>
      </c>
      <c r="Y215" s="60" t="str">
        <f>IF($A215="","",IF(Y$6="NÃO",0,IF(A215=0,Tabela!$H$23,IF(Y$7="mensal",Tabela!$H$23,IF(AND(MONTH(ESTRUTURA!C215)=MONTH(ESTRUTURA!$F$3),A215&gt;0),Tabela!$H$23,0)))))</f>
        <v/>
      </c>
      <c r="Z215" s="30" t="str">
        <f t="shared" si="42"/>
        <v/>
      </c>
      <c r="AA215" s="60" t="str">
        <f>IF($A215="","",IF(AA$6="NÃO",0,Tabela!$H$25*nm_séries))</f>
        <v/>
      </c>
      <c r="AB215" s="30" t="str">
        <f t="shared" si="42"/>
        <v/>
      </c>
      <c r="AC215" s="60" t="str">
        <f>IF($A215="","",IF(AC$6="NÃO",0,IF(A215=0,Tabela!$H$27,IF(MOD(A215,3)=0,Tabela!$H$27,0))))</f>
        <v/>
      </c>
      <c r="AD215" s="30" t="str">
        <f t="shared" si="42"/>
        <v/>
      </c>
      <c r="AE215" s="60" t="str">
        <f t="shared" si="42"/>
        <v/>
      </c>
      <c r="AF215" s="30" t="str">
        <f>IF($A215="","",IF(AF$6="NÃO",0,IF(AND(MONTH(ESTRUTURA!C215)=MONTH(ESTRUTURA!$F$3),A215&gt;0),Tabela!$H$30,0)))</f>
        <v/>
      </c>
      <c r="AG215" s="60" t="str">
        <f t="shared" si="42"/>
        <v/>
      </c>
      <c r="AH215" s="30" t="str">
        <f t="shared" si="42"/>
        <v/>
      </c>
      <c r="AI215" s="60" t="str">
        <f>IF($A215="","",IF(AI$6="NÃO",0,IF($A215=0,DATEDIF(ESTRUTURA!$F$3,ESTRUTURA!$F$4,"m")*Tabela!$H$33,Tabela!$H$33)))</f>
        <v/>
      </c>
      <c r="AJ215" s="30" t="str">
        <f t="shared" si="38"/>
        <v/>
      </c>
    </row>
    <row r="216" spans="1:36" x14ac:dyDescent="0.2">
      <c r="A216" s="66" t="str">
        <f>ESTRUTURA!A216</f>
        <v/>
      </c>
      <c r="B216" s="58">
        <f t="shared" si="44"/>
        <v>0</v>
      </c>
      <c r="C216" s="60" t="str">
        <f t="shared" si="43"/>
        <v/>
      </c>
      <c r="D216" s="30" t="str">
        <f t="shared" si="43"/>
        <v/>
      </c>
      <c r="E216" s="60" t="str">
        <f t="shared" si="43"/>
        <v/>
      </c>
      <c r="F216" s="30" t="str">
        <f>IF($A216="","",IF(F$6="NÃO",0,Tabela!$H$34*ESTRUTURA!$I$4))</f>
        <v/>
      </c>
      <c r="G216" s="60" t="str">
        <f t="shared" si="43"/>
        <v/>
      </c>
      <c r="H216" s="30" t="str">
        <f>IF($A216="","",IF(H$6="NÃO",0,IF($A216=0,DATEDIF(ESTRUTURA!$F$3,ESTRUTURA!$F$4,"m")*Tabela!$H$6,Tabela!$H$6)))</f>
        <v/>
      </c>
      <c r="I216" s="60" t="str">
        <f t="shared" si="43"/>
        <v/>
      </c>
      <c r="J216" s="30" t="str">
        <f>IF($A216="","",IF(J$6="NÃO",0,IF($A216=0,DATEDIF(ESTRUTURA!$F$3,ESTRUTURA!$F$4,"m")*Tabela!$H$8,IF(J$6="NÃO",0,Tabela!$H$8))))</f>
        <v/>
      </c>
      <c r="K216" s="60" t="str">
        <f t="shared" si="43"/>
        <v/>
      </c>
      <c r="L216" s="30" t="str">
        <f t="shared" si="43"/>
        <v/>
      </c>
      <c r="M216" s="60" t="str">
        <f t="shared" si="43"/>
        <v/>
      </c>
      <c r="N216" s="30" t="str">
        <f t="shared" si="43"/>
        <v/>
      </c>
      <c r="O216" s="60" t="str">
        <f t="shared" si="43"/>
        <v/>
      </c>
      <c r="P216" s="30" t="str">
        <f t="shared" si="43"/>
        <v/>
      </c>
      <c r="Q216" s="60" t="str">
        <f t="shared" si="43"/>
        <v/>
      </c>
      <c r="R216" s="30" t="str">
        <f t="shared" si="43"/>
        <v/>
      </c>
      <c r="S216" s="60" t="str">
        <f>IF($A216="","",IF(S$6="NÃO",0,IF($A216=0,DATEDIF(ESTRUTURA!$F$3,ESTRUTURA!$F$4,"m")*Tabela!$H$17,Tabela!$H$17)))</f>
        <v/>
      </c>
      <c r="T216" s="30" t="str">
        <f>IF($A216="","",IF(T$6="NÃO",0,IF($A216=0,DATEDIF(ESTRUTURA!$F$3,ESTRUTURA!$F$4,"m")*Tabela!$H$18,Tabela!$H$18)))</f>
        <v/>
      </c>
      <c r="U216" s="60" t="str">
        <f t="shared" si="42"/>
        <v/>
      </c>
      <c r="V216" s="30" t="str">
        <f>IF($A216="","",IF(V$6="NÃO",0,IF($A216=0,DATEDIF(ESTRUTURA!$F$3,ESTRUTURA!$F$4,"m")*Tabela!$H$20,Tabela!$H$20)))</f>
        <v/>
      </c>
      <c r="W216" s="60" t="str">
        <f t="shared" si="42"/>
        <v/>
      </c>
      <c r="X216" s="30" t="str">
        <f t="shared" si="42"/>
        <v/>
      </c>
      <c r="Y216" s="60" t="str">
        <f>IF($A216="","",IF(Y$6="NÃO",0,IF(A216=0,Tabela!$H$23,IF(Y$7="mensal",Tabela!$H$23,IF(AND(MONTH(ESTRUTURA!C216)=MONTH(ESTRUTURA!$F$3),A216&gt;0),Tabela!$H$23,0)))))</f>
        <v/>
      </c>
      <c r="Z216" s="30" t="str">
        <f t="shared" si="42"/>
        <v/>
      </c>
      <c r="AA216" s="60" t="str">
        <f>IF($A216="","",IF(AA$6="NÃO",0,Tabela!$H$25*nm_séries))</f>
        <v/>
      </c>
      <c r="AB216" s="30" t="str">
        <f t="shared" si="42"/>
        <v/>
      </c>
      <c r="AC216" s="60" t="str">
        <f>IF($A216="","",IF(AC$6="NÃO",0,IF(A216=0,Tabela!$H$27,IF(MOD(A216,3)=0,Tabela!$H$27,0))))</f>
        <v/>
      </c>
      <c r="AD216" s="30" t="str">
        <f t="shared" si="42"/>
        <v/>
      </c>
      <c r="AE216" s="60" t="str">
        <f t="shared" si="42"/>
        <v/>
      </c>
      <c r="AF216" s="30" t="str">
        <f>IF($A216="","",IF(AF$6="NÃO",0,IF(AND(MONTH(ESTRUTURA!C216)=MONTH(ESTRUTURA!$F$3),A216&gt;0),Tabela!$H$30,0)))</f>
        <v/>
      </c>
      <c r="AG216" s="60" t="str">
        <f t="shared" si="42"/>
        <v/>
      </c>
      <c r="AH216" s="30" t="str">
        <f t="shared" si="42"/>
        <v/>
      </c>
      <c r="AI216" s="60" t="str">
        <f>IF($A216="","",IF(AI$6="NÃO",0,IF($A216=0,DATEDIF(ESTRUTURA!$F$3,ESTRUTURA!$F$4,"m")*Tabela!$H$33,Tabela!$H$33)))</f>
        <v/>
      </c>
      <c r="AJ216" s="30" t="str">
        <f t="shared" si="38"/>
        <v/>
      </c>
    </row>
    <row r="217" spans="1:36" x14ac:dyDescent="0.2">
      <c r="A217" s="66" t="str">
        <f>ESTRUTURA!A217</f>
        <v/>
      </c>
      <c r="B217" s="58">
        <f t="shared" si="44"/>
        <v>0</v>
      </c>
      <c r="C217" s="60" t="str">
        <f t="shared" si="43"/>
        <v/>
      </c>
      <c r="D217" s="30" t="str">
        <f t="shared" si="43"/>
        <v/>
      </c>
      <c r="E217" s="60" t="str">
        <f t="shared" si="43"/>
        <v/>
      </c>
      <c r="F217" s="30" t="str">
        <f>IF($A217="","",IF(F$6="NÃO",0,Tabela!$H$34*ESTRUTURA!$I$4))</f>
        <v/>
      </c>
      <c r="G217" s="60" t="str">
        <f t="shared" si="43"/>
        <v/>
      </c>
      <c r="H217" s="30" t="str">
        <f>IF($A217="","",IF(H$6="NÃO",0,IF($A217=0,DATEDIF(ESTRUTURA!$F$3,ESTRUTURA!$F$4,"m")*Tabela!$H$6,Tabela!$H$6)))</f>
        <v/>
      </c>
      <c r="I217" s="60" t="str">
        <f t="shared" si="43"/>
        <v/>
      </c>
      <c r="J217" s="30" t="str">
        <f>IF($A217="","",IF(J$6="NÃO",0,IF($A217=0,DATEDIF(ESTRUTURA!$F$3,ESTRUTURA!$F$4,"m")*Tabela!$H$8,IF(J$6="NÃO",0,Tabela!$H$8))))</f>
        <v/>
      </c>
      <c r="K217" s="60" t="str">
        <f t="shared" si="43"/>
        <v/>
      </c>
      <c r="L217" s="30" t="str">
        <f t="shared" si="43"/>
        <v/>
      </c>
      <c r="M217" s="60" t="str">
        <f t="shared" si="43"/>
        <v/>
      </c>
      <c r="N217" s="30" t="str">
        <f t="shared" si="43"/>
        <v/>
      </c>
      <c r="O217" s="60" t="str">
        <f t="shared" si="43"/>
        <v/>
      </c>
      <c r="P217" s="30" t="str">
        <f t="shared" si="43"/>
        <v/>
      </c>
      <c r="Q217" s="60" t="str">
        <f t="shared" si="43"/>
        <v/>
      </c>
      <c r="R217" s="30" t="str">
        <f t="shared" si="43"/>
        <v/>
      </c>
      <c r="S217" s="60" t="str">
        <f>IF($A217="","",IF(S$6="NÃO",0,IF($A217=0,DATEDIF(ESTRUTURA!$F$3,ESTRUTURA!$F$4,"m")*Tabela!$H$17,Tabela!$H$17)))</f>
        <v/>
      </c>
      <c r="T217" s="30" t="str">
        <f>IF($A217="","",IF(T$6="NÃO",0,IF($A217=0,DATEDIF(ESTRUTURA!$F$3,ESTRUTURA!$F$4,"m")*Tabela!$H$18,Tabela!$H$18)))</f>
        <v/>
      </c>
      <c r="U217" s="60" t="str">
        <f t="shared" si="42"/>
        <v/>
      </c>
      <c r="V217" s="30" t="str">
        <f>IF($A217="","",IF(V$6="NÃO",0,IF($A217=0,DATEDIF(ESTRUTURA!$F$3,ESTRUTURA!$F$4,"m")*Tabela!$H$20,Tabela!$H$20)))</f>
        <v/>
      </c>
      <c r="W217" s="60" t="str">
        <f t="shared" si="42"/>
        <v/>
      </c>
      <c r="X217" s="30" t="str">
        <f t="shared" si="42"/>
        <v/>
      </c>
      <c r="Y217" s="60" t="str">
        <f>IF($A217="","",IF(Y$6="NÃO",0,IF(A217=0,Tabela!$H$23,IF(Y$7="mensal",Tabela!$H$23,IF(AND(MONTH(ESTRUTURA!C217)=MONTH(ESTRUTURA!$F$3),A217&gt;0),Tabela!$H$23,0)))))</f>
        <v/>
      </c>
      <c r="Z217" s="30" t="str">
        <f t="shared" si="42"/>
        <v/>
      </c>
      <c r="AA217" s="60" t="str">
        <f>IF($A217="","",IF(AA$6="NÃO",0,Tabela!$H$25*nm_séries))</f>
        <v/>
      </c>
      <c r="AB217" s="30" t="str">
        <f t="shared" si="42"/>
        <v/>
      </c>
      <c r="AC217" s="60" t="str">
        <f>IF($A217="","",IF(AC$6="NÃO",0,IF(A217=0,Tabela!$H$27,IF(MOD(A217,3)=0,Tabela!$H$27,0))))</f>
        <v/>
      </c>
      <c r="AD217" s="30" t="str">
        <f t="shared" si="42"/>
        <v/>
      </c>
      <c r="AE217" s="60" t="str">
        <f t="shared" si="42"/>
        <v/>
      </c>
      <c r="AF217" s="30" t="str">
        <f>IF($A217="","",IF(AF$6="NÃO",0,IF(AND(MONTH(ESTRUTURA!C217)=MONTH(ESTRUTURA!$F$3),A217&gt;0),Tabela!$H$30,0)))</f>
        <v/>
      </c>
      <c r="AG217" s="60" t="str">
        <f t="shared" si="42"/>
        <v/>
      </c>
      <c r="AH217" s="30" t="str">
        <f t="shared" si="42"/>
        <v/>
      </c>
      <c r="AI217" s="60" t="str">
        <f>IF($A217="","",IF(AI$6="NÃO",0,IF($A217=0,DATEDIF(ESTRUTURA!$F$3,ESTRUTURA!$F$4,"m")*Tabela!$H$33,Tabela!$H$33)))</f>
        <v/>
      </c>
      <c r="AJ217" s="30" t="str">
        <f t="shared" si="38"/>
        <v/>
      </c>
    </row>
    <row r="218" spans="1:36" x14ac:dyDescent="0.2">
      <c r="A218" s="66" t="str">
        <f>ESTRUTURA!A218</f>
        <v/>
      </c>
      <c r="B218" s="58">
        <f t="shared" si="44"/>
        <v>0</v>
      </c>
      <c r="C218" s="60" t="str">
        <f t="shared" si="43"/>
        <v/>
      </c>
      <c r="D218" s="30" t="str">
        <f t="shared" si="43"/>
        <v/>
      </c>
      <c r="E218" s="60" t="str">
        <f t="shared" si="43"/>
        <v/>
      </c>
      <c r="F218" s="30" t="str">
        <f>IF($A218="","",IF(F$6="NÃO",0,Tabela!$H$34*ESTRUTURA!$I$4))</f>
        <v/>
      </c>
      <c r="G218" s="60" t="str">
        <f t="shared" si="43"/>
        <v/>
      </c>
      <c r="H218" s="30" t="str">
        <f>IF($A218="","",IF(H$6="NÃO",0,IF($A218=0,DATEDIF(ESTRUTURA!$F$3,ESTRUTURA!$F$4,"m")*Tabela!$H$6,Tabela!$H$6)))</f>
        <v/>
      </c>
      <c r="I218" s="60" t="str">
        <f t="shared" si="43"/>
        <v/>
      </c>
      <c r="J218" s="30" t="str">
        <f>IF($A218="","",IF(J$6="NÃO",0,IF($A218=0,DATEDIF(ESTRUTURA!$F$3,ESTRUTURA!$F$4,"m")*Tabela!$H$8,IF(J$6="NÃO",0,Tabela!$H$8))))</f>
        <v/>
      </c>
      <c r="K218" s="60" t="str">
        <f t="shared" si="43"/>
        <v/>
      </c>
      <c r="L218" s="30" t="str">
        <f t="shared" si="43"/>
        <v/>
      </c>
      <c r="M218" s="60" t="str">
        <f t="shared" si="43"/>
        <v/>
      </c>
      <c r="N218" s="30" t="str">
        <f t="shared" si="43"/>
        <v/>
      </c>
      <c r="O218" s="60" t="str">
        <f t="shared" si="43"/>
        <v/>
      </c>
      <c r="P218" s="30" t="str">
        <f t="shared" ref="P218:P235" si="45">IF($A218="","",IF(P$6="NÃO",0,0))</f>
        <v/>
      </c>
      <c r="Q218" s="60" t="str">
        <f t="shared" si="43"/>
        <v/>
      </c>
      <c r="R218" s="30" t="str">
        <f t="shared" si="43"/>
        <v/>
      </c>
      <c r="S218" s="60" t="str">
        <f>IF($A218="","",IF(S$6="NÃO",0,IF($A218=0,DATEDIF(ESTRUTURA!$F$3,ESTRUTURA!$F$4,"m")*Tabela!$H$17,Tabela!$H$17)))</f>
        <v/>
      </c>
      <c r="T218" s="30" t="str">
        <f>IF($A218="","",IF(T$6="NÃO",0,IF($A218=0,DATEDIF(ESTRUTURA!$F$3,ESTRUTURA!$F$4,"m")*Tabela!$H$18,Tabela!$H$18)))</f>
        <v/>
      </c>
      <c r="U218" s="60" t="str">
        <f t="shared" si="42"/>
        <v/>
      </c>
      <c r="V218" s="30" t="str">
        <f>IF($A218="","",IF(V$6="NÃO",0,IF($A218=0,DATEDIF(ESTRUTURA!$F$3,ESTRUTURA!$F$4,"m")*Tabela!$H$20,Tabela!$H$20)))</f>
        <v/>
      </c>
      <c r="W218" s="60" t="str">
        <f t="shared" si="42"/>
        <v/>
      </c>
      <c r="X218" s="30" t="str">
        <f t="shared" si="42"/>
        <v/>
      </c>
      <c r="Y218" s="60" t="str">
        <f>IF($A218="","",IF(Y$6="NÃO",0,IF(A218=0,Tabela!$H$23,IF(Y$7="mensal",Tabela!$H$23,IF(AND(MONTH(ESTRUTURA!C218)=MONTH(ESTRUTURA!$F$3),A218&gt;0),Tabela!$H$23,0)))))</f>
        <v/>
      </c>
      <c r="Z218" s="30" t="str">
        <f t="shared" si="42"/>
        <v/>
      </c>
      <c r="AA218" s="60" t="str">
        <f>IF($A218="","",IF(AA$6="NÃO",0,Tabela!$H$25*nm_séries))</f>
        <v/>
      </c>
      <c r="AB218" s="30" t="str">
        <f t="shared" si="42"/>
        <v/>
      </c>
      <c r="AC218" s="60" t="str">
        <f>IF($A218="","",IF(AC$6="NÃO",0,IF(A218=0,Tabela!$H$27,IF(MOD(A218,3)=0,Tabela!$H$27,0))))</f>
        <v/>
      </c>
      <c r="AD218" s="30" t="str">
        <f t="shared" si="42"/>
        <v/>
      </c>
      <c r="AE218" s="60" t="str">
        <f t="shared" si="42"/>
        <v/>
      </c>
      <c r="AF218" s="30" t="str">
        <f>IF($A218="","",IF(AF$6="NÃO",0,IF(AND(MONTH(ESTRUTURA!C218)=MONTH(ESTRUTURA!$F$3),A218&gt;0),Tabela!$H$30,0)))</f>
        <v/>
      </c>
      <c r="AG218" s="60" t="str">
        <f t="shared" si="42"/>
        <v/>
      </c>
      <c r="AH218" s="30" t="str">
        <f t="shared" si="42"/>
        <v/>
      </c>
      <c r="AI218" s="60" t="str">
        <f>IF($A218="","",IF(AI$6="NÃO",0,IF($A218=0,DATEDIF(ESTRUTURA!$F$3,ESTRUTURA!$F$4,"m")*Tabela!$H$33,Tabela!$H$33)))</f>
        <v/>
      </c>
      <c r="AJ218" s="30" t="str">
        <f t="shared" si="38"/>
        <v/>
      </c>
    </row>
    <row r="219" spans="1:36" x14ac:dyDescent="0.2">
      <c r="A219" s="66" t="str">
        <f>ESTRUTURA!A219</f>
        <v/>
      </c>
      <c r="B219" s="58">
        <f t="shared" si="44"/>
        <v>0</v>
      </c>
      <c r="C219" s="60" t="str">
        <f t="shared" si="43"/>
        <v/>
      </c>
      <c r="D219" s="30" t="str">
        <f t="shared" si="43"/>
        <v/>
      </c>
      <c r="E219" s="60" t="str">
        <f t="shared" si="43"/>
        <v/>
      </c>
      <c r="F219" s="30" t="str">
        <f>IF($A219="","",IF(F$6="NÃO",0,Tabela!$H$34*ESTRUTURA!$I$4))</f>
        <v/>
      </c>
      <c r="G219" s="60" t="str">
        <f t="shared" si="43"/>
        <v/>
      </c>
      <c r="H219" s="30" t="str">
        <f>IF($A219="","",IF(H$6="NÃO",0,IF($A219=0,DATEDIF(ESTRUTURA!$F$3,ESTRUTURA!$F$4,"m")*Tabela!$H$6,Tabela!$H$6)))</f>
        <v/>
      </c>
      <c r="I219" s="60" t="str">
        <f t="shared" si="43"/>
        <v/>
      </c>
      <c r="J219" s="30" t="str">
        <f>IF($A219="","",IF(J$6="NÃO",0,IF($A219=0,DATEDIF(ESTRUTURA!$F$3,ESTRUTURA!$F$4,"m")*Tabela!$H$8,IF(J$6="NÃO",0,Tabela!$H$8))))</f>
        <v/>
      </c>
      <c r="K219" s="60" t="str">
        <f t="shared" si="43"/>
        <v/>
      </c>
      <c r="L219" s="30" t="str">
        <f t="shared" si="43"/>
        <v/>
      </c>
      <c r="M219" s="60" t="str">
        <f t="shared" si="43"/>
        <v/>
      </c>
      <c r="N219" s="30" t="str">
        <f t="shared" si="43"/>
        <v/>
      </c>
      <c r="O219" s="60" t="str">
        <f t="shared" si="43"/>
        <v/>
      </c>
      <c r="P219" s="30" t="str">
        <f t="shared" si="45"/>
        <v/>
      </c>
      <c r="Q219" s="60" t="str">
        <f t="shared" si="43"/>
        <v/>
      </c>
      <c r="R219" s="30" t="str">
        <f t="shared" si="43"/>
        <v/>
      </c>
      <c r="S219" s="60" t="str">
        <f>IF($A219="","",IF(S$6="NÃO",0,IF($A219=0,DATEDIF(ESTRUTURA!$F$3,ESTRUTURA!$F$4,"m")*Tabela!$H$17,Tabela!$H$17)))</f>
        <v/>
      </c>
      <c r="T219" s="30" t="str">
        <f>IF($A219="","",IF(T$6="NÃO",0,IF($A219=0,DATEDIF(ESTRUTURA!$F$3,ESTRUTURA!$F$4,"m")*Tabela!$H$18,Tabela!$H$18)))</f>
        <v/>
      </c>
      <c r="U219" s="60" t="str">
        <f t="shared" ref="U219:AH234" si="46">IF($A219="","",IF(U$6="NÃO",0,0))</f>
        <v/>
      </c>
      <c r="V219" s="30" t="str">
        <f>IF($A219="","",IF(V$6="NÃO",0,IF($A219=0,DATEDIF(ESTRUTURA!$F$3,ESTRUTURA!$F$4,"m")*Tabela!$H$20,Tabela!$H$20)))</f>
        <v/>
      </c>
      <c r="W219" s="60" t="str">
        <f t="shared" si="46"/>
        <v/>
      </c>
      <c r="X219" s="30" t="str">
        <f t="shared" si="46"/>
        <v/>
      </c>
      <c r="Y219" s="60" t="str">
        <f>IF($A219="","",IF(Y$6="NÃO",0,IF(A219=0,Tabela!$H$23,IF(Y$7="mensal",Tabela!$H$23,IF(AND(MONTH(ESTRUTURA!C219)=MONTH(ESTRUTURA!$F$3),A219&gt;0),Tabela!$H$23,0)))))</f>
        <v/>
      </c>
      <c r="Z219" s="30" t="str">
        <f t="shared" si="46"/>
        <v/>
      </c>
      <c r="AA219" s="60" t="str">
        <f>IF($A219="","",IF(AA$6="NÃO",0,Tabela!$H$25*nm_séries))</f>
        <v/>
      </c>
      <c r="AB219" s="30" t="str">
        <f t="shared" si="46"/>
        <v/>
      </c>
      <c r="AC219" s="60" t="str">
        <f>IF($A219="","",IF(AC$6="NÃO",0,IF(A219=0,Tabela!$H$27,IF(MOD(A219,3)=0,Tabela!$H$27,0))))</f>
        <v/>
      </c>
      <c r="AD219" s="30" t="str">
        <f t="shared" si="46"/>
        <v/>
      </c>
      <c r="AE219" s="60" t="str">
        <f t="shared" si="46"/>
        <v/>
      </c>
      <c r="AF219" s="30" t="str">
        <f>IF($A219="","",IF(AF$6="NÃO",0,IF(AND(MONTH(ESTRUTURA!C219)=MONTH(ESTRUTURA!$F$3),A219&gt;0),Tabela!$H$30,0)))</f>
        <v/>
      </c>
      <c r="AG219" s="60" t="str">
        <f t="shared" si="46"/>
        <v/>
      </c>
      <c r="AH219" s="30" t="str">
        <f t="shared" si="46"/>
        <v/>
      </c>
      <c r="AI219" s="60" t="str">
        <f>IF($A219="","",IF(AI$6="NÃO",0,IF($A219=0,DATEDIF(ESTRUTURA!$F$3,ESTRUTURA!$F$4,"m")*Tabela!$H$33,Tabela!$H$33)))</f>
        <v/>
      </c>
      <c r="AJ219" s="30" t="str">
        <f t="shared" si="38"/>
        <v/>
      </c>
    </row>
    <row r="220" spans="1:36" x14ac:dyDescent="0.2">
      <c r="A220" s="66" t="str">
        <f>ESTRUTURA!A220</f>
        <v/>
      </c>
      <c r="B220" s="58">
        <f t="shared" si="44"/>
        <v>0</v>
      </c>
      <c r="C220" s="60" t="str">
        <f t="shared" ref="C220:R235" si="47">IF($A220="","",IF(C$6="NÃO",0,0))</f>
        <v/>
      </c>
      <c r="D220" s="30" t="str">
        <f t="shared" si="47"/>
        <v/>
      </c>
      <c r="E220" s="60" t="str">
        <f t="shared" si="47"/>
        <v/>
      </c>
      <c r="F220" s="30" t="str">
        <f>IF($A220="","",IF(F$6="NÃO",0,Tabela!$H$34*ESTRUTURA!$I$4))</f>
        <v/>
      </c>
      <c r="G220" s="60" t="str">
        <f t="shared" si="47"/>
        <v/>
      </c>
      <c r="H220" s="30" t="str">
        <f>IF($A220="","",IF(H$6="NÃO",0,IF($A220=0,DATEDIF(ESTRUTURA!$F$3,ESTRUTURA!$F$4,"m")*Tabela!$H$6,Tabela!$H$6)))</f>
        <v/>
      </c>
      <c r="I220" s="60" t="str">
        <f t="shared" si="47"/>
        <v/>
      </c>
      <c r="J220" s="30" t="str">
        <f>IF($A220="","",IF(J$6="NÃO",0,IF($A220=0,DATEDIF(ESTRUTURA!$F$3,ESTRUTURA!$F$4,"m")*Tabela!$H$8,IF(J$6="NÃO",0,Tabela!$H$8))))</f>
        <v/>
      </c>
      <c r="K220" s="60" t="str">
        <f t="shared" si="47"/>
        <v/>
      </c>
      <c r="L220" s="30" t="str">
        <f t="shared" si="47"/>
        <v/>
      </c>
      <c r="M220" s="60" t="str">
        <f t="shared" si="47"/>
        <v/>
      </c>
      <c r="N220" s="30" t="str">
        <f t="shared" si="47"/>
        <v/>
      </c>
      <c r="O220" s="60" t="str">
        <f t="shared" si="47"/>
        <v/>
      </c>
      <c r="P220" s="30" t="str">
        <f t="shared" si="45"/>
        <v/>
      </c>
      <c r="Q220" s="60" t="str">
        <f t="shared" si="47"/>
        <v/>
      </c>
      <c r="R220" s="30" t="str">
        <f t="shared" si="47"/>
        <v/>
      </c>
      <c r="S220" s="60" t="str">
        <f>IF($A220="","",IF(S$6="NÃO",0,IF($A220=0,DATEDIF(ESTRUTURA!$F$3,ESTRUTURA!$F$4,"m")*Tabela!$H$17,Tabela!$H$17)))</f>
        <v/>
      </c>
      <c r="T220" s="30" t="str">
        <f>IF($A220="","",IF(T$6="NÃO",0,IF($A220=0,DATEDIF(ESTRUTURA!$F$3,ESTRUTURA!$F$4,"m")*Tabela!$H$18,Tabela!$H$18)))</f>
        <v/>
      </c>
      <c r="U220" s="60" t="str">
        <f t="shared" si="46"/>
        <v/>
      </c>
      <c r="V220" s="30" t="str">
        <f>IF($A220="","",IF(V$6="NÃO",0,IF($A220=0,DATEDIF(ESTRUTURA!$F$3,ESTRUTURA!$F$4,"m")*Tabela!$H$20,Tabela!$H$20)))</f>
        <v/>
      </c>
      <c r="W220" s="60" t="str">
        <f t="shared" si="46"/>
        <v/>
      </c>
      <c r="X220" s="30" t="str">
        <f t="shared" si="46"/>
        <v/>
      </c>
      <c r="Y220" s="60" t="str">
        <f>IF($A220="","",IF(Y$6="NÃO",0,IF(A220=0,Tabela!$H$23,IF(Y$7="mensal",Tabela!$H$23,IF(AND(MONTH(ESTRUTURA!C220)=MONTH(ESTRUTURA!$F$3),A220&gt;0),Tabela!$H$23,0)))))</f>
        <v/>
      </c>
      <c r="Z220" s="30" t="str">
        <f t="shared" si="46"/>
        <v/>
      </c>
      <c r="AA220" s="60" t="str">
        <f>IF($A220="","",IF(AA$6="NÃO",0,Tabela!$H$25*nm_séries))</f>
        <v/>
      </c>
      <c r="AB220" s="30" t="str">
        <f t="shared" si="46"/>
        <v/>
      </c>
      <c r="AC220" s="60" t="str">
        <f>IF($A220="","",IF(AC$6="NÃO",0,IF(A220=0,Tabela!$H$27,IF(MOD(A220,3)=0,Tabela!$H$27,0))))</f>
        <v/>
      </c>
      <c r="AD220" s="30" t="str">
        <f t="shared" si="46"/>
        <v/>
      </c>
      <c r="AE220" s="60" t="str">
        <f t="shared" si="46"/>
        <v/>
      </c>
      <c r="AF220" s="30" t="str">
        <f>IF($A220="","",IF(AF$6="NÃO",0,IF(AND(MONTH(ESTRUTURA!C220)=MONTH(ESTRUTURA!$F$3),A220&gt;0),Tabela!$H$30,0)))</f>
        <v/>
      </c>
      <c r="AG220" s="60" t="str">
        <f t="shared" si="46"/>
        <v/>
      </c>
      <c r="AH220" s="30" t="str">
        <f t="shared" si="46"/>
        <v/>
      </c>
      <c r="AI220" s="60" t="str">
        <f>IF($A220="","",IF(AI$6="NÃO",0,IF($A220=0,DATEDIF(ESTRUTURA!$F$3,ESTRUTURA!$F$4,"m")*Tabela!$H$33,Tabela!$H$33)))</f>
        <v/>
      </c>
      <c r="AJ220" s="30" t="str">
        <f t="shared" si="38"/>
        <v/>
      </c>
    </row>
    <row r="221" spans="1:36" x14ac:dyDescent="0.2">
      <c r="A221" s="66" t="str">
        <f>ESTRUTURA!A221</f>
        <v/>
      </c>
      <c r="B221" s="58">
        <f t="shared" si="44"/>
        <v>0</v>
      </c>
      <c r="C221" s="60" t="str">
        <f t="shared" si="47"/>
        <v/>
      </c>
      <c r="D221" s="30" t="str">
        <f t="shared" si="47"/>
        <v/>
      </c>
      <c r="E221" s="60" t="str">
        <f t="shared" si="47"/>
        <v/>
      </c>
      <c r="F221" s="30" t="str">
        <f>IF($A221="","",IF(F$6="NÃO",0,Tabela!$H$34*ESTRUTURA!$I$4))</f>
        <v/>
      </c>
      <c r="G221" s="60" t="str">
        <f t="shared" si="47"/>
        <v/>
      </c>
      <c r="H221" s="30" t="str">
        <f>IF($A221="","",IF(H$6="NÃO",0,IF($A221=0,DATEDIF(ESTRUTURA!$F$3,ESTRUTURA!$F$4,"m")*Tabela!$H$6,Tabela!$H$6)))</f>
        <v/>
      </c>
      <c r="I221" s="60" t="str">
        <f t="shared" si="47"/>
        <v/>
      </c>
      <c r="J221" s="30" t="str">
        <f>IF($A221="","",IF(J$6="NÃO",0,IF($A221=0,DATEDIF(ESTRUTURA!$F$3,ESTRUTURA!$F$4,"m")*Tabela!$H$8,IF(J$6="NÃO",0,Tabela!$H$8))))</f>
        <v/>
      </c>
      <c r="K221" s="60" t="str">
        <f t="shared" si="47"/>
        <v/>
      </c>
      <c r="L221" s="30" t="str">
        <f t="shared" si="47"/>
        <v/>
      </c>
      <c r="M221" s="60" t="str">
        <f t="shared" si="47"/>
        <v/>
      </c>
      <c r="N221" s="30" t="str">
        <f t="shared" si="47"/>
        <v/>
      </c>
      <c r="O221" s="60" t="str">
        <f t="shared" si="47"/>
        <v/>
      </c>
      <c r="P221" s="30" t="str">
        <f t="shared" si="45"/>
        <v/>
      </c>
      <c r="Q221" s="60" t="str">
        <f t="shared" si="47"/>
        <v/>
      </c>
      <c r="R221" s="30" t="str">
        <f t="shared" si="47"/>
        <v/>
      </c>
      <c r="S221" s="60" t="str">
        <f>IF($A221="","",IF(S$6="NÃO",0,IF($A221=0,DATEDIF(ESTRUTURA!$F$3,ESTRUTURA!$F$4,"m")*Tabela!$H$17,Tabela!$H$17)))</f>
        <v/>
      </c>
      <c r="T221" s="30" t="str">
        <f>IF($A221="","",IF(T$6="NÃO",0,IF($A221=0,DATEDIF(ESTRUTURA!$F$3,ESTRUTURA!$F$4,"m")*Tabela!$H$18,Tabela!$H$18)))</f>
        <v/>
      </c>
      <c r="U221" s="60" t="str">
        <f t="shared" si="46"/>
        <v/>
      </c>
      <c r="V221" s="30" t="str">
        <f>IF($A221="","",IF(V$6="NÃO",0,IF($A221=0,DATEDIF(ESTRUTURA!$F$3,ESTRUTURA!$F$4,"m")*Tabela!$H$20,Tabela!$H$20)))</f>
        <v/>
      </c>
      <c r="W221" s="60" t="str">
        <f t="shared" si="46"/>
        <v/>
      </c>
      <c r="X221" s="30" t="str">
        <f t="shared" si="46"/>
        <v/>
      </c>
      <c r="Y221" s="60" t="str">
        <f>IF($A221="","",IF(Y$6="NÃO",0,IF(A221=0,Tabela!$H$23,IF(Y$7="mensal",Tabela!$H$23,IF(AND(MONTH(ESTRUTURA!C221)=MONTH(ESTRUTURA!$F$3),A221&gt;0),Tabela!$H$23,0)))))</f>
        <v/>
      </c>
      <c r="Z221" s="30" t="str">
        <f t="shared" si="46"/>
        <v/>
      </c>
      <c r="AA221" s="60" t="str">
        <f>IF($A221="","",IF(AA$6="NÃO",0,Tabela!$H$25*nm_séries))</f>
        <v/>
      </c>
      <c r="AB221" s="30" t="str">
        <f t="shared" si="46"/>
        <v/>
      </c>
      <c r="AC221" s="60" t="str">
        <f>IF($A221="","",IF(AC$6="NÃO",0,IF(A221=0,Tabela!$H$27,IF(MOD(A221,3)=0,Tabela!$H$27,0))))</f>
        <v/>
      </c>
      <c r="AD221" s="30" t="str">
        <f t="shared" si="46"/>
        <v/>
      </c>
      <c r="AE221" s="60" t="str">
        <f t="shared" si="46"/>
        <v/>
      </c>
      <c r="AF221" s="30" t="str">
        <f>IF($A221="","",IF(AF$6="NÃO",0,IF(AND(MONTH(ESTRUTURA!C221)=MONTH(ESTRUTURA!$F$3),A221&gt;0),Tabela!$H$30,0)))</f>
        <v/>
      </c>
      <c r="AG221" s="60" t="str">
        <f t="shared" si="46"/>
        <v/>
      </c>
      <c r="AH221" s="30" t="str">
        <f t="shared" si="46"/>
        <v/>
      </c>
      <c r="AI221" s="60" t="str">
        <f>IF($A221="","",IF(AI$6="NÃO",0,IF($A221=0,DATEDIF(ESTRUTURA!$F$3,ESTRUTURA!$F$4,"m")*Tabela!$H$33,Tabela!$H$33)))</f>
        <v/>
      </c>
      <c r="AJ221" s="30" t="str">
        <f t="shared" si="38"/>
        <v/>
      </c>
    </row>
    <row r="222" spans="1:36" x14ac:dyDescent="0.2">
      <c r="A222" s="66" t="str">
        <f>ESTRUTURA!A222</f>
        <v/>
      </c>
      <c r="B222" s="58">
        <f t="shared" si="44"/>
        <v>0</v>
      </c>
      <c r="C222" s="60" t="str">
        <f t="shared" si="47"/>
        <v/>
      </c>
      <c r="D222" s="30" t="str">
        <f t="shared" si="47"/>
        <v/>
      </c>
      <c r="E222" s="60" t="str">
        <f t="shared" si="47"/>
        <v/>
      </c>
      <c r="F222" s="30" t="str">
        <f>IF($A222="","",IF(F$6="NÃO",0,Tabela!$H$34*ESTRUTURA!$I$4))</f>
        <v/>
      </c>
      <c r="G222" s="60" t="str">
        <f t="shared" si="47"/>
        <v/>
      </c>
      <c r="H222" s="30" t="str">
        <f>IF($A222="","",IF(H$6="NÃO",0,IF($A222=0,DATEDIF(ESTRUTURA!$F$3,ESTRUTURA!$F$4,"m")*Tabela!$H$6,Tabela!$H$6)))</f>
        <v/>
      </c>
      <c r="I222" s="60" t="str">
        <f t="shared" si="47"/>
        <v/>
      </c>
      <c r="J222" s="30" t="str">
        <f>IF($A222="","",IF(J$6="NÃO",0,IF($A222=0,DATEDIF(ESTRUTURA!$F$3,ESTRUTURA!$F$4,"m")*Tabela!$H$8,IF(J$6="NÃO",0,Tabela!$H$8))))</f>
        <v/>
      </c>
      <c r="K222" s="60" t="str">
        <f t="shared" si="47"/>
        <v/>
      </c>
      <c r="L222" s="30" t="str">
        <f t="shared" si="47"/>
        <v/>
      </c>
      <c r="M222" s="60" t="str">
        <f t="shared" si="47"/>
        <v/>
      </c>
      <c r="N222" s="30" t="str">
        <f t="shared" si="47"/>
        <v/>
      </c>
      <c r="O222" s="60" t="str">
        <f t="shared" si="47"/>
        <v/>
      </c>
      <c r="P222" s="30" t="str">
        <f t="shared" si="45"/>
        <v/>
      </c>
      <c r="Q222" s="60" t="str">
        <f t="shared" si="47"/>
        <v/>
      </c>
      <c r="R222" s="30" t="str">
        <f t="shared" si="47"/>
        <v/>
      </c>
      <c r="S222" s="60" t="str">
        <f>IF($A222="","",IF(S$6="NÃO",0,IF($A222=0,DATEDIF(ESTRUTURA!$F$3,ESTRUTURA!$F$4,"m")*Tabela!$H$17,Tabela!$H$17)))</f>
        <v/>
      </c>
      <c r="T222" s="30" t="str">
        <f>IF($A222="","",IF(T$6="NÃO",0,IF($A222=0,DATEDIF(ESTRUTURA!$F$3,ESTRUTURA!$F$4,"m")*Tabela!$H$18,Tabela!$H$18)))</f>
        <v/>
      </c>
      <c r="U222" s="60" t="str">
        <f t="shared" si="46"/>
        <v/>
      </c>
      <c r="V222" s="30" t="str">
        <f>IF($A222="","",IF(V$6="NÃO",0,IF($A222=0,DATEDIF(ESTRUTURA!$F$3,ESTRUTURA!$F$4,"m")*Tabela!$H$20,Tabela!$H$20)))</f>
        <v/>
      </c>
      <c r="W222" s="60" t="str">
        <f t="shared" si="46"/>
        <v/>
      </c>
      <c r="X222" s="30" t="str">
        <f t="shared" si="46"/>
        <v/>
      </c>
      <c r="Y222" s="60" t="str">
        <f>IF($A222="","",IF(Y$6="NÃO",0,IF(A222=0,Tabela!$H$23,IF(Y$7="mensal",Tabela!$H$23,IF(AND(MONTH(ESTRUTURA!C222)=MONTH(ESTRUTURA!$F$3),A222&gt;0),Tabela!$H$23,0)))))</f>
        <v/>
      </c>
      <c r="Z222" s="30" t="str">
        <f t="shared" si="46"/>
        <v/>
      </c>
      <c r="AA222" s="60" t="str">
        <f>IF($A222="","",IF(AA$6="NÃO",0,Tabela!$H$25*nm_séries))</f>
        <v/>
      </c>
      <c r="AB222" s="30" t="str">
        <f t="shared" si="46"/>
        <v/>
      </c>
      <c r="AC222" s="60" t="str">
        <f>IF($A222="","",IF(AC$6="NÃO",0,IF(A222=0,Tabela!$H$27,IF(MOD(A222,3)=0,Tabela!$H$27,0))))</f>
        <v/>
      </c>
      <c r="AD222" s="30" t="str">
        <f t="shared" si="46"/>
        <v/>
      </c>
      <c r="AE222" s="60" t="str">
        <f t="shared" si="46"/>
        <v/>
      </c>
      <c r="AF222" s="30" t="str">
        <f>IF($A222="","",IF(AF$6="NÃO",0,IF(AND(MONTH(ESTRUTURA!C222)=MONTH(ESTRUTURA!$F$3),A222&gt;0),Tabela!$H$30,0)))</f>
        <v/>
      </c>
      <c r="AG222" s="60" t="str">
        <f t="shared" si="46"/>
        <v/>
      </c>
      <c r="AH222" s="30" t="str">
        <f t="shared" si="46"/>
        <v/>
      </c>
      <c r="AI222" s="60" t="str">
        <f>IF($A222="","",IF(AI$6="NÃO",0,IF($A222=0,DATEDIF(ESTRUTURA!$F$3,ESTRUTURA!$F$4,"m")*Tabela!$H$33,Tabela!$H$33)))</f>
        <v/>
      </c>
      <c r="AJ222" s="30" t="str">
        <f t="shared" si="38"/>
        <v/>
      </c>
    </row>
    <row r="223" spans="1:36" x14ac:dyDescent="0.2">
      <c r="A223" s="66" t="str">
        <f>ESTRUTURA!A223</f>
        <v/>
      </c>
      <c r="B223" s="58">
        <f t="shared" si="44"/>
        <v>0</v>
      </c>
      <c r="C223" s="60" t="str">
        <f t="shared" si="47"/>
        <v/>
      </c>
      <c r="D223" s="30" t="str">
        <f t="shared" si="47"/>
        <v/>
      </c>
      <c r="E223" s="60" t="str">
        <f t="shared" si="47"/>
        <v/>
      </c>
      <c r="F223" s="30" t="str">
        <f>IF($A223="","",IF(F$6="NÃO",0,Tabela!$H$34*ESTRUTURA!$I$4))</f>
        <v/>
      </c>
      <c r="G223" s="60" t="str">
        <f t="shared" si="47"/>
        <v/>
      </c>
      <c r="H223" s="30" t="str">
        <f>IF($A223="","",IF(H$6="NÃO",0,IF($A223=0,DATEDIF(ESTRUTURA!$F$3,ESTRUTURA!$F$4,"m")*Tabela!$H$6,Tabela!$H$6)))</f>
        <v/>
      </c>
      <c r="I223" s="60" t="str">
        <f t="shared" si="47"/>
        <v/>
      </c>
      <c r="J223" s="30" t="str">
        <f>IF($A223="","",IF(J$6="NÃO",0,IF($A223=0,DATEDIF(ESTRUTURA!$F$3,ESTRUTURA!$F$4,"m")*Tabela!$H$8,IF(J$6="NÃO",0,Tabela!$H$8))))</f>
        <v/>
      </c>
      <c r="K223" s="60" t="str">
        <f t="shared" si="47"/>
        <v/>
      </c>
      <c r="L223" s="30" t="str">
        <f t="shared" si="47"/>
        <v/>
      </c>
      <c r="M223" s="60" t="str">
        <f t="shared" si="47"/>
        <v/>
      </c>
      <c r="N223" s="30" t="str">
        <f t="shared" si="47"/>
        <v/>
      </c>
      <c r="O223" s="60" t="str">
        <f t="shared" si="47"/>
        <v/>
      </c>
      <c r="P223" s="30" t="str">
        <f t="shared" si="45"/>
        <v/>
      </c>
      <c r="Q223" s="60" t="str">
        <f t="shared" si="47"/>
        <v/>
      </c>
      <c r="R223" s="30" t="str">
        <f t="shared" si="47"/>
        <v/>
      </c>
      <c r="S223" s="60" t="str">
        <f>IF($A223="","",IF(S$6="NÃO",0,IF($A223=0,DATEDIF(ESTRUTURA!$F$3,ESTRUTURA!$F$4,"m")*Tabela!$H$17,Tabela!$H$17)))</f>
        <v/>
      </c>
      <c r="T223" s="30" t="str">
        <f>IF($A223="","",IF(T$6="NÃO",0,IF($A223=0,DATEDIF(ESTRUTURA!$F$3,ESTRUTURA!$F$4,"m")*Tabela!$H$18,Tabela!$H$18)))</f>
        <v/>
      </c>
      <c r="U223" s="60" t="str">
        <f t="shared" si="46"/>
        <v/>
      </c>
      <c r="V223" s="30" t="str">
        <f>IF($A223="","",IF(V$6="NÃO",0,IF($A223=0,DATEDIF(ESTRUTURA!$F$3,ESTRUTURA!$F$4,"m")*Tabela!$H$20,Tabela!$H$20)))</f>
        <v/>
      </c>
      <c r="W223" s="60" t="str">
        <f t="shared" si="46"/>
        <v/>
      </c>
      <c r="X223" s="30" t="str">
        <f t="shared" si="46"/>
        <v/>
      </c>
      <c r="Y223" s="60" t="str">
        <f>IF($A223="","",IF(Y$6="NÃO",0,IF(A223=0,Tabela!$H$23,IF(Y$7="mensal",Tabela!$H$23,IF(AND(MONTH(ESTRUTURA!C223)=MONTH(ESTRUTURA!$F$3),A223&gt;0),Tabela!$H$23,0)))))</f>
        <v/>
      </c>
      <c r="Z223" s="30" t="str">
        <f t="shared" si="46"/>
        <v/>
      </c>
      <c r="AA223" s="60" t="str">
        <f>IF($A223="","",IF(AA$6="NÃO",0,Tabela!$H$25*nm_séries))</f>
        <v/>
      </c>
      <c r="AB223" s="30" t="str">
        <f t="shared" si="46"/>
        <v/>
      </c>
      <c r="AC223" s="60" t="str">
        <f>IF($A223="","",IF(AC$6="NÃO",0,IF(A223=0,Tabela!$H$27,IF(MOD(A223,3)=0,Tabela!$H$27,0))))</f>
        <v/>
      </c>
      <c r="AD223" s="30" t="str">
        <f t="shared" si="46"/>
        <v/>
      </c>
      <c r="AE223" s="60" t="str">
        <f t="shared" si="46"/>
        <v/>
      </c>
      <c r="AF223" s="30" t="str">
        <f>IF($A223="","",IF(AF$6="NÃO",0,IF(AND(MONTH(ESTRUTURA!C223)=MONTH(ESTRUTURA!$F$3),A223&gt;0),Tabela!$H$30,0)))</f>
        <v/>
      </c>
      <c r="AG223" s="60" t="str">
        <f t="shared" si="46"/>
        <v/>
      </c>
      <c r="AH223" s="30" t="str">
        <f t="shared" si="46"/>
        <v/>
      </c>
      <c r="AI223" s="60" t="str">
        <f>IF($A223="","",IF(AI$6="NÃO",0,IF($A223=0,DATEDIF(ESTRUTURA!$F$3,ESTRUTURA!$F$4,"m")*Tabela!$H$33,Tabela!$H$33)))</f>
        <v/>
      </c>
      <c r="AJ223" s="30" t="str">
        <f t="shared" si="38"/>
        <v/>
      </c>
    </row>
    <row r="224" spans="1:36" x14ac:dyDescent="0.2">
      <c r="A224" s="66" t="str">
        <f>ESTRUTURA!A224</f>
        <v/>
      </c>
      <c r="B224" s="58">
        <f t="shared" si="44"/>
        <v>0</v>
      </c>
      <c r="C224" s="60" t="str">
        <f t="shared" si="47"/>
        <v/>
      </c>
      <c r="D224" s="30" t="str">
        <f t="shared" si="47"/>
        <v/>
      </c>
      <c r="E224" s="60" t="str">
        <f t="shared" si="47"/>
        <v/>
      </c>
      <c r="F224" s="30" t="str">
        <f>IF($A224="","",IF(F$6="NÃO",0,Tabela!$H$34*ESTRUTURA!$I$4))</f>
        <v/>
      </c>
      <c r="G224" s="60" t="str">
        <f t="shared" si="47"/>
        <v/>
      </c>
      <c r="H224" s="30" t="str">
        <f>IF($A224="","",IF(H$6="NÃO",0,IF($A224=0,DATEDIF(ESTRUTURA!$F$3,ESTRUTURA!$F$4,"m")*Tabela!$H$6,Tabela!$H$6)))</f>
        <v/>
      </c>
      <c r="I224" s="60" t="str">
        <f t="shared" si="47"/>
        <v/>
      </c>
      <c r="J224" s="30" t="str">
        <f>IF($A224="","",IF(J$6="NÃO",0,IF($A224=0,DATEDIF(ESTRUTURA!$F$3,ESTRUTURA!$F$4,"m")*Tabela!$H$8,IF(J$6="NÃO",0,Tabela!$H$8))))</f>
        <v/>
      </c>
      <c r="K224" s="60" t="str">
        <f t="shared" si="47"/>
        <v/>
      </c>
      <c r="L224" s="30" t="str">
        <f t="shared" si="47"/>
        <v/>
      </c>
      <c r="M224" s="60" t="str">
        <f t="shared" si="47"/>
        <v/>
      </c>
      <c r="N224" s="30" t="str">
        <f t="shared" si="47"/>
        <v/>
      </c>
      <c r="O224" s="60" t="str">
        <f t="shared" si="47"/>
        <v/>
      </c>
      <c r="P224" s="30" t="str">
        <f t="shared" si="45"/>
        <v/>
      </c>
      <c r="Q224" s="60" t="str">
        <f t="shared" si="47"/>
        <v/>
      </c>
      <c r="R224" s="30" t="str">
        <f t="shared" si="47"/>
        <v/>
      </c>
      <c r="S224" s="60" t="str">
        <f>IF($A224="","",IF(S$6="NÃO",0,IF($A224=0,DATEDIF(ESTRUTURA!$F$3,ESTRUTURA!$F$4,"m")*Tabela!$H$17,Tabela!$H$17)))</f>
        <v/>
      </c>
      <c r="T224" s="30" t="str">
        <f>IF($A224="","",IF(T$6="NÃO",0,IF($A224=0,DATEDIF(ESTRUTURA!$F$3,ESTRUTURA!$F$4,"m")*Tabela!$H$18,Tabela!$H$18)))</f>
        <v/>
      </c>
      <c r="U224" s="60" t="str">
        <f t="shared" si="46"/>
        <v/>
      </c>
      <c r="V224" s="30" t="str">
        <f>IF($A224="","",IF(V$6="NÃO",0,IF($A224=0,DATEDIF(ESTRUTURA!$F$3,ESTRUTURA!$F$4,"m")*Tabela!$H$20,Tabela!$H$20)))</f>
        <v/>
      </c>
      <c r="W224" s="60" t="str">
        <f t="shared" si="46"/>
        <v/>
      </c>
      <c r="X224" s="30" t="str">
        <f t="shared" si="46"/>
        <v/>
      </c>
      <c r="Y224" s="60" t="str">
        <f>IF($A224="","",IF(Y$6="NÃO",0,IF(A224=0,Tabela!$H$23,IF(Y$7="mensal",Tabela!$H$23,IF(AND(MONTH(ESTRUTURA!C224)=MONTH(ESTRUTURA!$F$3),A224&gt;0),Tabela!$H$23,0)))))</f>
        <v/>
      </c>
      <c r="Z224" s="30" t="str">
        <f t="shared" si="46"/>
        <v/>
      </c>
      <c r="AA224" s="60" t="str">
        <f>IF($A224="","",IF(AA$6="NÃO",0,Tabela!$H$25*nm_séries))</f>
        <v/>
      </c>
      <c r="AB224" s="30" t="str">
        <f t="shared" si="46"/>
        <v/>
      </c>
      <c r="AC224" s="60" t="str">
        <f>IF($A224="","",IF(AC$6="NÃO",0,IF(A224=0,Tabela!$H$27,IF(MOD(A224,3)=0,Tabela!$H$27,0))))</f>
        <v/>
      </c>
      <c r="AD224" s="30" t="str">
        <f t="shared" si="46"/>
        <v/>
      </c>
      <c r="AE224" s="60" t="str">
        <f t="shared" si="46"/>
        <v/>
      </c>
      <c r="AF224" s="30" t="str">
        <f>IF($A224="","",IF(AF$6="NÃO",0,IF(AND(MONTH(ESTRUTURA!C224)=MONTH(ESTRUTURA!$F$3),A224&gt;0),Tabela!$H$30,0)))</f>
        <v/>
      </c>
      <c r="AG224" s="60" t="str">
        <f t="shared" si="46"/>
        <v/>
      </c>
      <c r="AH224" s="30" t="str">
        <f t="shared" si="46"/>
        <v/>
      </c>
      <c r="AI224" s="60" t="str">
        <f>IF($A224="","",IF(AI$6="NÃO",0,IF($A224=0,DATEDIF(ESTRUTURA!$F$3,ESTRUTURA!$F$4,"m")*Tabela!$H$33,Tabela!$H$33)))</f>
        <v/>
      </c>
      <c r="AJ224" s="30" t="str">
        <f t="shared" si="38"/>
        <v/>
      </c>
    </row>
    <row r="225" spans="1:36" x14ac:dyDescent="0.2">
      <c r="A225" s="66" t="str">
        <f>ESTRUTURA!A225</f>
        <v/>
      </c>
      <c r="B225" s="58">
        <f t="shared" si="44"/>
        <v>0</v>
      </c>
      <c r="C225" s="60" t="str">
        <f t="shared" si="47"/>
        <v/>
      </c>
      <c r="D225" s="30" t="str">
        <f t="shared" si="47"/>
        <v/>
      </c>
      <c r="E225" s="60" t="str">
        <f t="shared" si="47"/>
        <v/>
      </c>
      <c r="F225" s="30" t="str">
        <f>IF($A225="","",IF(F$6="NÃO",0,Tabela!$H$34*ESTRUTURA!$I$4))</f>
        <v/>
      </c>
      <c r="G225" s="60" t="str">
        <f t="shared" si="47"/>
        <v/>
      </c>
      <c r="H225" s="30" t="str">
        <f>IF($A225="","",IF(H$6="NÃO",0,IF($A225=0,DATEDIF(ESTRUTURA!$F$3,ESTRUTURA!$F$4,"m")*Tabela!$H$6,Tabela!$H$6)))</f>
        <v/>
      </c>
      <c r="I225" s="60" t="str">
        <f t="shared" si="47"/>
        <v/>
      </c>
      <c r="J225" s="30" t="str">
        <f>IF($A225="","",IF(J$6="NÃO",0,IF($A225=0,DATEDIF(ESTRUTURA!$F$3,ESTRUTURA!$F$4,"m")*Tabela!$H$8,IF(J$6="NÃO",0,Tabela!$H$8))))</f>
        <v/>
      </c>
      <c r="K225" s="60" t="str">
        <f t="shared" si="47"/>
        <v/>
      </c>
      <c r="L225" s="30" t="str">
        <f t="shared" si="47"/>
        <v/>
      </c>
      <c r="M225" s="60" t="str">
        <f t="shared" si="47"/>
        <v/>
      </c>
      <c r="N225" s="30" t="str">
        <f t="shared" si="47"/>
        <v/>
      </c>
      <c r="O225" s="60" t="str">
        <f t="shared" si="47"/>
        <v/>
      </c>
      <c r="P225" s="30" t="str">
        <f t="shared" si="45"/>
        <v/>
      </c>
      <c r="Q225" s="60" t="str">
        <f t="shared" si="47"/>
        <v/>
      </c>
      <c r="R225" s="30" t="str">
        <f t="shared" si="47"/>
        <v/>
      </c>
      <c r="S225" s="60" t="str">
        <f>IF($A225="","",IF(S$6="NÃO",0,IF($A225=0,DATEDIF(ESTRUTURA!$F$3,ESTRUTURA!$F$4,"m")*Tabela!$H$17,Tabela!$H$17)))</f>
        <v/>
      </c>
      <c r="T225" s="30" t="str">
        <f>IF($A225="","",IF(T$6="NÃO",0,IF($A225=0,DATEDIF(ESTRUTURA!$F$3,ESTRUTURA!$F$4,"m")*Tabela!$H$18,Tabela!$H$18)))</f>
        <v/>
      </c>
      <c r="U225" s="60" t="str">
        <f t="shared" si="46"/>
        <v/>
      </c>
      <c r="V225" s="30" t="str">
        <f>IF($A225="","",IF(V$6="NÃO",0,IF($A225=0,DATEDIF(ESTRUTURA!$F$3,ESTRUTURA!$F$4,"m")*Tabela!$H$20,Tabela!$H$20)))</f>
        <v/>
      </c>
      <c r="W225" s="60" t="str">
        <f t="shared" si="46"/>
        <v/>
      </c>
      <c r="X225" s="30" t="str">
        <f t="shared" si="46"/>
        <v/>
      </c>
      <c r="Y225" s="60" t="str">
        <f>IF($A225="","",IF(Y$6="NÃO",0,IF(A225=0,Tabela!$H$23,IF(Y$7="mensal",Tabela!$H$23,IF(AND(MONTH(ESTRUTURA!C225)=MONTH(ESTRUTURA!$F$3),A225&gt;0),Tabela!$H$23,0)))))</f>
        <v/>
      </c>
      <c r="Z225" s="30" t="str">
        <f t="shared" si="46"/>
        <v/>
      </c>
      <c r="AA225" s="60" t="str">
        <f>IF($A225="","",IF(AA$6="NÃO",0,Tabela!$H$25*nm_séries))</f>
        <v/>
      </c>
      <c r="AB225" s="30" t="str">
        <f t="shared" si="46"/>
        <v/>
      </c>
      <c r="AC225" s="60" t="str">
        <f>IF($A225="","",IF(AC$6="NÃO",0,IF(A225=0,Tabela!$H$27,IF(MOD(A225,3)=0,Tabela!$H$27,0))))</f>
        <v/>
      </c>
      <c r="AD225" s="30" t="str">
        <f t="shared" si="46"/>
        <v/>
      </c>
      <c r="AE225" s="60" t="str">
        <f t="shared" si="46"/>
        <v/>
      </c>
      <c r="AF225" s="30" t="str">
        <f>IF($A225="","",IF(AF$6="NÃO",0,IF(AND(MONTH(ESTRUTURA!C225)=MONTH(ESTRUTURA!$F$3),A225&gt;0),Tabela!$H$30,0)))</f>
        <v/>
      </c>
      <c r="AG225" s="60" t="str">
        <f t="shared" si="46"/>
        <v/>
      </c>
      <c r="AH225" s="30" t="str">
        <f t="shared" si="46"/>
        <v/>
      </c>
      <c r="AI225" s="60" t="str">
        <f>IF($A225="","",IF(AI$6="NÃO",0,IF($A225=0,DATEDIF(ESTRUTURA!$F$3,ESTRUTURA!$F$4,"m")*Tabela!$H$33,Tabela!$H$33)))</f>
        <v/>
      </c>
      <c r="AJ225" s="30" t="str">
        <f t="shared" si="38"/>
        <v/>
      </c>
    </row>
    <row r="226" spans="1:36" x14ac:dyDescent="0.2">
      <c r="A226" s="66" t="str">
        <f>ESTRUTURA!A226</f>
        <v/>
      </c>
      <c r="B226" s="58">
        <f t="shared" si="44"/>
        <v>0</v>
      </c>
      <c r="C226" s="60" t="str">
        <f t="shared" si="47"/>
        <v/>
      </c>
      <c r="D226" s="30" t="str">
        <f t="shared" si="47"/>
        <v/>
      </c>
      <c r="E226" s="60" t="str">
        <f t="shared" si="47"/>
        <v/>
      </c>
      <c r="F226" s="30" t="str">
        <f>IF($A226="","",IF(F$6="NÃO",0,Tabela!$H$34*ESTRUTURA!$I$4))</f>
        <v/>
      </c>
      <c r="G226" s="60" t="str">
        <f t="shared" si="47"/>
        <v/>
      </c>
      <c r="H226" s="30" t="str">
        <f>IF($A226="","",IF(H$6="NÃO",0,IF($A226=0,DATEDIF(ESTRUTURA!$F$3,ESTRUTURA!$F$4,"m")*Tabela!$H$6,Tabela!$H$6)))</f>
        <v/>
      </c>
      <c r="I226" s="60" t="str">
        <f t="shared" si="47"/>
        <v/>
      </c>
      <c r="J226" s="30" t="str">
        <f>IF($A226="","",IF(J$6="NÃO",0,IF($A226=0,DATEDIF(ESTRUTURA!$F$3,ESTRUTURA!$F$4,"m")*Tabela!$H$8,IF(J$6="NÃO",0,Tabela!$H$8))))</f>
        <v/>
      </c>
      <c r="K226" s="60" t="str">
        <f t="shared" si="47"/>
        <v/>
      </c>
      <c r="L226" s="30" t="str">
        <f t="shared" si="47"/>
        <v/>
      </c>
      <c r="M226" s="60" t="str">
        <f t="shared" si="47"/>
        <v/>
      </c>
      <c r="N226" s="30" t="str">
        <f t="shared" si="47"/>
        <v/>
      </c>
      <c r="O226" s="60" t="str">
        <f t="shared" si="47"/>
        <v/>
      </c>
      <c r="P226" s="30" t="str">
        <f t="shared" si="45"/>
        <v/>
      </c>
      <c r="Q226" s="60" t="str">
        <f t="shared" si="47"/>
        <v/>
      </c>
      <c r="R226" s="30" t="str">
        <f t="shared" si="47"/>
        <v/>
      </c>
      <c r="S226" s="60" t="str">
        <f>IF($A226="","",IF(S$6="NÃO",0,IF($A226=0,DATEDIF(ESTRUTURA!$F$3,ESTRUTURA!$F$4,"m")*Tabela!$H$17,Tabela!$H$17)))</f>
        <v/>
      </c>
      <c r="T226" s="30" t="str">
        <f>IF($A226="","",IF(T$6="NÃO",0,IF($A226=0,DATEDIF(ESTRUTURA!$F$3,ESTRUTURA!$F$4,"m")*Tabela!$H$18,Tabela!$H$18)))</f>
        <v/>
      </c>
      <c r="U226" s="60" t="str">
        <f t="shared" si="46"/>
        <v/>
      </c>
      <c r="V226" s="30" t="str">
        <f>IF($A226="","",IF(V$6="NÃO",0,IF($A226=0,DATEDIF(ESTRUTURA!$F$3,ESTRUTURA!$F$4,"m")*Tabela!$H$20,Tabela!$H$20)))</f>
        <v/>
      </c>
      <c r="W226" s="60" t="str">
        <f t="shared" si="46"/>
        <v/>
      </c>
      <c r="X226" s="30" t="str">
        <f t="shared" si="46"/>
        <v/>
      </c>
      <c r="Y226" s="60" t="str">
        <f>IF($A226="","",IF(Y$6="NÃO",0,IF(A226=0,Tabela!$H$23,IF(Y$7="mensal",Tabela!$H$23,IF(AND(MONTH(ESTRUTURA!C226)=MONTH(ESTRUTURA!$F$3),A226&gt;0),Tabela!$H$23,0)))))</f>
        <v/>
      </c>
      <c r="Z226" s="30" t="str">
        <f t="shared" si="46"/>
        <v/>
      </c>
      <c r="AA226" s="60" t="str">
        <f>IF($A226="","",IF(AA$6="NÃO",0,Tabela!$H$25*nm_séries))</f>
        <v/>
      </c>
      <c r="AB226" s="30" t="str">
        <f t="shared" si="46"/>
        <v/>
      </c>
      <c r="AC226" s="60" t="str">
        <f>IF($A226="","",IF(AC$6="NÃO",0,IF(A226=0,Tabela!$H$27,IF(MOD(A226,3)=0,Tabela!$H$27,0))))</f>
        <v/>
      </c>
      <c r="AD226" s="30" t="str">
        <f t="shared" si="46"/>
        <v/>
      </c>
      <c r="AE226" s="60" t="str">
        <f t="shared" si="46"/>
        <v/>
      </c>
      <c r="AF226" s="30" t="str">
        <f>IF($A226="","",IF(AF$6="NÃO",0,IF(AND(MONTH(ESTRUTURA!C226)=MONTH(ESTRUTURA!$F$3),A226&gt;0),Tabela!$H$30,0)))</f>
        <v/>
      </c>
      <c r="AG226" s="60" t="str">
        <f t="shared" si="46"/>
        <v/>
      </c>
      <c r="AH226" s="30" t="str">
        <f t="shared" si="46"/>
        <v/>
      </c>
      <c r="AI226" s="60" t="str">
        <f>IF($A226="","",IF(AI$6="NÃO",0,IF($A226=0,DATEDIF(ESTRUTURA!$F$3,ESTRUTURA!$F$4,"m")*Tabela!$H$33,Tabela!$H$33)))</f>
        <v/>
      </c>
      <c r="AJ226" s="30" t="str">
        <f t="shared" si="38"/>
        <v/>
      </c>
    </row>
    <row r="227" spans="1:36" x14ac:dyDescent="0.2">
      <c r="A227" s="66" t="str">
        <f>ESTRUTURA!A227</f>
        <v/>
      </c>
      <c r="B227" s="58">
        <f t="shared" si="44"/>
        <v>0</v>
      </c>
      <c r="C227" s="60" t="str">
        <f t="shared" si="47"/>
        <v/>
      </c>
      <c r="D227" s="30" t="str">
        <f t="shared" si="47"/>
        <v/>
      </c>
      <c r="E227" s="60" t="str">
        <f t="shared" si="47"/>
        <v/>
      </c>
      <c r="F227" s="30" t="str">
        <f>IF($A227="","",IF(F$6="NÃO",0,Tabela!$H$34*ESTRUTURA!$I$4))</f>
        <v/>
      </c>
      <c r="G227" s="60" t="str">
        <f t="shared" si="47"/>
        <v/>
      </c>
      <c r="H227" s="30" t="str">
        <f>IF($A227="","",IF(H$6="NÃO",0,IF($A227=0,DATEDIF(ESTRUTURA!$F$3,ESTRUTURA!$F$4,"m")*Tabela!$H$6,Tabela!$H$6)))</f>
        <v/>
      </c>
      <c r="I227" s="60" t="str">
        <f t="shared" si="47"/>
        <v/>
      </c>
      <c r="J227" s="30" t="str">
        <f>IF($A227="","",IF(J$6="NÃO",0,IF($A227=0,DATEDIF(ESTRUTURA!$F$3,ESTRUTURA!$F$4,"m")*Tabela!$H$8,IF(J$6="NÃO",0,Tabela!$H$8))))</f>
        <v/>
      </c>
      <c r="K227" s="60" t="str">
        <f t="shared" si="47"/>
        <v/>
      </c>
      <c r="L227" s="30" t="str">
        <f t="shared" si="47"/>
        <v/>
      </c>
      <c r="M227" s="60" t="str">
        <f t="shared" si="47"/>
        <v/>
      </c>
      <c r="N227" s="30" t="str">
        <f t="shared" si="47"/>
        <v/>
      </c>
      <c r="O227" s="60" t="str">
        <f t="shared" si="47"/>
        <v/>
      </c>
      <c r="P227" s="30" t="str">
        <f t="shared" si="45"/>
        <v/>
      </c>
      <c r="Q227" s="60" t="str">
        <f t="shared" si="47"/>
        <v/>
      </c>
      <c r="R227" s="30" t="str">
        <f t="shared" si="47"/>
        <v/>
      </c>
      <c r="S227" s="60" t="str">
        <f>IF($A227="","",IF(S$6="NÃO",0,IF($A227=0,DATEDIF(ESTRUTURA!$F$3,ESTRUTURA!$F$4,"m")*Tabela!$H$17,Tabela!$H$17)))</f>
        <v/>
      </c>
      <c r="T227" s="30" t="str">
        <f>IF($A227="","",IF(T$6="NÃO",0,IF($A227=0,DATEDIF(ESTRUTURA!$F$3,ESTRUTURA!$F$4,"m")*Tabela!$H$18,Tabela!$H$18)))</f>
        <v/>
      </c>
      <c r="U227" s="60" t="str">
        <f t="shared" si="46"/>
        <v/>
      </c>
      <c r="V227" s="30" t="str">
        <f>IF($A227="","",IF(V$6="NÃO",0,IF($A227=0,DATEDIF(ESTRUTURA!$F$3,ESTRUTURA!$F$4,"m")*Tabela!$H$20,Tabela!$H$20)))</f>
        <v/>
      </c>
      <c r="W227" s="60" t="str">
        <f t="shared" si="46"/>
        <v/>
      </c>
      <c r="X227" s="30" t="str">
        <f t="shared" si="46"/>
        <v/>
      </c>
      <c r="Y227" s="60" t="str">
        <f>IF($A227="","",IF(Y$6="NÃO",0,IF(A227=0,Tabela!$H$23,IF(Y$7="mensal",Tabela!$H$23,IF(AND(MONTH(ESTRUTURA!C227)=MONTH(ESTRUTURA!$F$3),A227&gt;0),Tabela!$H$23,0)))))</f>
        <v/>
      </c>
      <c r="Z227" s="30" t="str">
        <f t="shared" si="46"/>
        <v/>
      </c>
      <c r="AA227" s="60" t="str">
        <f>IF($A227="","",IF(AA$6="NÃO",0,Tabela!$H$25*nm_séries))</f>
        <v/>
      </c>
      <c r="AB227" s="30" t="str">
        <f t="shared" si="46"/>
        <v/>
      </c>
      <c r="AC227" s="60" t="str">
        <f>IF($A227="","",IF(AC$6="NÃO",0,IF(A227=0,Tabela!$H$27,IF(MOD(A227,3)=0,Tabela!$H$27,0))))</f>
        <v/>
      </c>
      <c r="AD227" s="30" t="str">
        <f t="shared" si="46"/>
        <v/>
      </c>
      <c r="AE227" s="60" t="str">
        <f t="shared" si="46"/>
        <v/>
      </c>
      <c r="AF227" s="30" t="str">
        <f>IF($A227="","",IF(AF$6="NÃO",0,IF(AND(MONTH(ESTRUTURA!C227)=MONTH(ESTRUTURA!$F$3),A227&gt;0),Tabela!$H$30,0)))</f>
        <v/>
      </c>
      <c r="AG227" s="60" t="str">
        <f t="shared" si="46"/>
        <v/>
      </c>
      <c r="AH227" s="30" t="str">
        <f t="shared" si="46"/>
        <v/>
      </c>
      <c r="AI227" s="60" t="str">
        <f>IF($A227="","",IF(AI$6="NÃO",0,IF($A227=0,DATEDIF(ESTRUTURA!$F$3,ESTRUTURA!$F$4,"m")*Tabela!$H$33,Tabela!$H$33)))</f>
        <v/>
      </c>
      <c r="AJ227" s="30" t="str">
        <f t="shared" si="38"/>
        <v/>
      </c>
    </row>
    <row r="228" spans="1:36" x14ac:dyDescent="0.2">
      <c r="A228" s="66" t="str">
        <f>ESTRUTURA!A228</f>
        <v/>
      </c>
      <c r="B228" s="58">
        <f t="shared" si="44"/>
        <v>0</v>
      </c>
      <c r="C228" s="60" t="str">
        <f t="shared" si="47"/>
        <v/>
      </c>
      <c r="D228" s="30" t="str">
        <f t="shared" si="47"/>
        <v/>
      </c>
      <c r="E228" s="60" t="str">
        <f t="shared" si="47"/>
        <v/>
      </c>
      <c r="F228" s="30" t="str">
        <f>IF($A228="","",IF(F$6="NÃO",0,Tabela!$H$34*ESTRUTURA!$I$4))</f>
        <v/>
      </c>
      <c r="G228" s="60" t="str">
        <f t="shared" si="47"/>
        <v/>
      </c>
      <c r="H228" s="30" t="str">
        <f>IF($A228="","",IF(H$6="NÃO",0,IF($A228=0,DATEDIF(ESTRUTURA!$F$3,ESTRUTURA!$F$4,"m")*Tabela!$H$6,Tabela!$H$6)))</f>
        <v/>
      </c>
      <c r="I228" s="60" t="str">
        <f t="shared" si="47"/>
        <v/>
      </c>
      <c r="J228" s="30" t="str">
        <f>IF($A228="","",IF(J$6="NÃO",0,IF($A228=0,DATEDIF(ESTRUTURA!$F$3,ESTRUTURA!$F$4,"m")*Tabela!$H$8,IF(J$6="NÃO",0,Tabela!$H$8))))</f>
        <v/>
      </c>
      <c r="K228" s="60" t="str">
        <f t="shared" si="47"/>
        <v/>
      </c>
      <c r="L228" s="30" t="str">
        <f t="shared" si="47"/>
        <v/>
      </c>
      <c r="M228" s="60" t="str">
        <f t="shared" si="47"/>
        <v/>
      </c>
      <c r="N228" s="30" t="str">
        <f t="shared" si="47"/>
        <v/>
      </c>
      <c r="O228" s="60" t="str">
        <f t="shared" si="47"/>
        <v/>
      </c>
      <c r="P228" s="30" t="str">
        <f t="shared" si="45"/>
        <v/>
      </c>
      <c r="Q228" s="60" t="str">
        <f t="shared" si="47"/>
        <v/>
      </c>
      <c r="R228" s="30" t="str">
        <f t="shared" si="47"/>
        <v/>
      </c>
      <c r="S228" s="60" t="str">
        <f>IF($A228="","",IF(S$6="NÃO",0,IF($A228=0,DATEDIF(ESTRUTURA!$F$3,ESTRUTURA!$F$4,"m")*Tabela!$H$17,Tabela!$H$17)))</f>
        <v/>
      </c>
      <c r="T228" s="30" t="str">
        <f>IF($A228="","",IF(T$6="NÃO",0,IF($A228=0,DATEDIF(ESTRUTURA!$F$3,ESTRUTURA!$F$4,"m")*Tabela!$H$18,Tabela!$H$18)))</f>
        <v/>
      </c>
      <c r="U228" s="60" t="str">
        <f t="shared" si="46"/>
        <v/>
      </c>
      <c r="V228" s="30" t="str">
        <f>IF($A228="","",IF(V$6="NÃO",0,IF($A228=0,DATEDIF(ESTRUTURA!$F$3,ESTRUTURA!$F$4,"m")*Tabela!$H$20,Tabela!$H$20)))</f>
        <v/>
      </c>
      <c r="W228" s="60" t="str">
        <f t="shared" si="46"/>
        <v/>
      </c>
      <c r="X228" s="30" t="str">
        <f t="shared" si="46"/>
        <v/>
      </c>
      <c r="Y228" s="60" t="str">
        <f>IF($A228="","",IF(Y$6="NÃO",0,IF(A228=0,Tabela!$H$23,IF(Y$7="mensal",Tabela!$H$23,IF(AND(MONTH(ESTRUTURA!C228)=MONTH(ESTRUTURA!$F$3),A228&gt;0),Tabela!$H$23,0)))))</f>
        <v/>
      </c>
      <c r="Z228" s="30" t="str">
        <f t="shared" si="46"/>
        <v/>
      </c>
      <c r="AA228" s="60" t="str">
        <f>IF($A228="","",IF(AA$6="NÃO",0,Tabela!$H$25*nm_séries))</f>
        <v/>
      </c>
      <c r="AB228" s="30" t="str">
        <f t="shared" si="46"/>
        <v/>
      </c>
      <c r="AC228" s="60" t="str">
        <f>IF($A228="","",IF(AC$6="NÃO",0,IF(A228=0,Tabela!$H$27,IF(MOD(A228,3)=0,Tabela!$H$27,0))))</f>
        <v/>
      </c>
      <c r="AD228" s="30" t="str">
        <f t="shared" si="46"/>
        <v/>
      </c>
      <c r="AE228" s="60" t="str">
        <f t="shared" si="46"/>
        <v/>
      </c>
      <c r="AF228" s="30" t="str">
        <f>IF($A228="","",IF(AF$6="NÃO",0,IF(AND(MONTH(ESTRUTURA!C228)=MONTH(ESTRUTURA!$F$3),A228&gt;0),Tabela!$H$30,0)))</f>
        <v/>
      </c>
      <c r="AG228" s="60" t="str">
        <f t="shared" si="46"/>
        <v/>
      </c>
      <c r="AH228" s="30" t="str">
        <f t="shared" si="46"/>
        <v/>
      </c>
      <c r="AI228" s="60" t="str">
        <f>IF($A228="","",IF(AI$6="NÃO",0,IF($A228=0,DATEDIF(ESTRUTURA!$F$3,ESTRUTURA!$F$4,"m")*Tabela!$H$33,Tabela!$H$33)))</f>
        <v/>
      </c>
      <c r="AJ228" s="30" t="str">
        <f t="shared" si="38"/>
        <v/>
      </c>
    </row>
    <row r="229" spans="1:36" x14ac:dyDescent="0.2">
      <c r="A229" s="66" t="str">
        <f>ESTRUTURA!A229</f>
        <v/>
      </c>
      <c r="B229" s="58">
        <f t="shared" si="44"/>
        <v>0</v>
      </c>
      <c r="C229" s="60" t="str">
        <f t="shared" si="47"/>
        <v/>
      </c>
      <c r="D229" s="30" t="str">
        <f t="shared" si="47"/>
        <v/>
      </c>
      <c r="E229" s="60" t="str">
        <f t="shared" si="47"/>
        <v/>
      </c>
      <c r="F229" s="30" t="str">
        <f>IF($A229="","",IF(F$6="NÃO",0,Tabela!$H$34*ESTRUTURA!$I$4))</f>
        <v/>
      </c>
      <c r="G229" s="60" t="str">
        <f t="shared" si="47"/>
        <v/>
      </c>
      <c r="H229" s="30" t="str">
        <f>IF($A229="","",IF(H$6="NÃO",0,IF($A229=0,DATEDIF(ESTRUTURA!$F$3,ESTRUTURA!$F$4,"m")*Tabela!$H$6,Tabela!$H$6)))</f>
        <v/>
      </c>
      <c r="I229" s="60" t="str">
        <f t="shared" si="47"/>
        <v/>
      </c>
      <c r="J229" s="30" t="str">
        <f>IF($A229="","",IF(J$6="NÃO",0,IF($A229=0,DATEDIF(ESTRUTURA!$F$3,ESTRUTURA!$F$4,"m")*Tabela!$H$8,IF(J$6="NÃO",0,Tabela!$H$8))))</f>
        <v/>
      </c>
      <c r="K229" s="60" t="str">
        <f t="shared" si="47"/>
        <v/>
      </c>
      <c r="L229" s="30" t="str">
        <f t="shared" si="47"/>
        <v/>
      </c>
      <c r="M229" s="60" t="str">
        <f t="shared" si="47"/>
        <v/>
      </c>
      <c r="N229" s="30" t="str">
        <f t="shared" si="47"/>
        <v/>
      </c>
      <c r="O229" s="60" t="str">
        <f t="shared" si="47"/>
        <v/>
      </c>
      <c r="P229" s="30" t="str">
        <f t="shared" si="45"/>
        <v/>
      </c>
      <c r="Q229" s="60" t="str">
        <f t="shared" si="47"/>
        <v/>
      </c>
      <c r="R229" s="30" t="str">
        <f t="shared" si="47"/>
        <v/>
      </c>
      <c r="S229" s="60" t="str">
        <f>IF($A229="","",IF(S$6="NÃO",0,IF($A229=0,DATEDIF(ESTRUTURA!$F$3,ESTRUTURA!$F$4,"m")*Tabela!$H$17,Tabela!$H$17)))</f>
        <v/>
      </c>
      <c r="T229" s="30" t="str">
        <f>IF($A229="","",IF(T$6="NÃO",0,IF($A229=0,DATEDIF(ESTRUTURA!$F$3,ESTRUTURA!$F$4,"m")*Tabela!$H$18,Tabela!$H$18)))</f>
        <v/>
      </c>
      <c r="U229" s="60" t="str">
        <f t="shared" si="46"/>
        <v/>
      </c>
      <c r="V229" s="30" t="str">
        <f>IF($A229="","",IF(V$6="NÃO",0,IF($A229=0,DATEDIF(ESTRUTURA!$F$3,ESTRUTURA!$F$4,"m")*Tabela!$H$20,Tabela!$H$20)))</f>
        <v/>
      </c>
      <c r="W229" s="60" t="str">
        <f t="shared" si="46"/>
        <v/>
      </c>
      <c r="X229" s="30" t="str">
        <f t="shared" si="46"/>
        <v/>
      </c>
      <c r="Y229" s="60" t="str">
        <f>IF($A229="","",IF(Y$6="NÃO",0,IF(A229=0,Tabela!$H$23,IF(Y$7="mensal",Tabela!$H$23,IF(AND(MONTH(ESTRUTURA!C229)=MONTH(ESTRUTURA!$F$3),A229&gt;0),Tabela!$H$23,0)))))</f>
        <v/>
      </c>
      <c r="Z229" s="30" t="str">
        <f t="shared" si="46"/>
        <v/>
      </c>
      <c r="AA229" s="60" t="str">
        <f>IF($A229="","",IF(AA$6="NÃO",0,Tabela!$H$25*nm_séries))</f>
        <v/>
      </c>
      <c r="AB229" s="30" t="str">
        <f t="shared" si="46"/>
        <v/>
      </c>
      <c r="AC229" s="60" t="str">
        <f>IF($A229="","",IF(AC$6="NÃO",0,IF(A229=0,Tabela!$H$27,IF(MOD(A229,3)=0,Tabela!$H$27,0))))</f>
        <v/>
      </c>
      <c r="AD229" s="30" t="str">
        <f t="shared" si="46"/>
        <v/>
      </c>
      <c r="AE229" s="60" t="str">
        <f t="shared" si="46"/>
        <v/>
      </c>
      <c r="AF229" s="30" t="str">
        <f>IF($A229="","",IF(AF$6="NÃO",0,IF(AND(MONTH(ESTRUTURA!C229)=MONTH(ESTRUTURA!$F$3),A229&gt;0),Tabela!$H$30,0)))</f>
        <v/>
      </c>
      <c r="AG229" s="60" t="str">
        <f t="shared" si="46"/>
        <v/>
      </c>
      <c r="AH229" s="30" t="str">
        <f t="shared" si="46"/>
        <v/>
      </c>
      <c r="AI229" s="60" t="str">
        <f>IF($A229="","",IF(AI$6="NÃO",0,IF($A229=0,DATEDIF(ESTRUTURA!$F$3,ESTRUTURA!$F$4,"m")*Tabela!$H$33,Tabela!$H$33)))</f>
        <v/>
      </c>
      <c r="AJ229" s="30" t="str">
        <f t="shared" si="38"/>
        <v/>
      </c>
    </row>
    <row r="230" spans="1:36" x14ac:dyDescent="0.2">
      <c r="A230" s="66" t="str">
        <f>ESTRUTURA!A230</f>
        <v/>
      </c>
      <c r="B230" s="58">
        <f t="shared" si="44"/>
        <v>0</v>
      </c>
      <c r="C230" s="60" t="str">
        <f t="shared" si="47"/>
        <v/>
      </c>
      <c r="D230" s="30" t="str">
        <f t="shared" si="47"/>
        <v/>
      </c>
      <c r="E230" s="60" t="str">
        <f t="shared" si="47"/>
        <v/>
      </c>
      <c r="F230" s="30" t="str">
        <f>IF($A230="","",IF(F$6="NÃO",0,Tabela!$H$34*ESTRUTURA!$I$4))</f>
        <v/>
      </c>
      <c r="G230" s="60" t="str">
        <f t="shared" si="47"/>
        <v/>
      </c>
      <c r="H230" s="30" t="str">
        <f>IF($A230="","",IF(H$6="NÃO",0,IF($A230=0,DATEDIF(ESTRUTURA!$F$3,ESTRUTURA!$F$4,"m")*Tabela!$H$6,Tabela!$H$6)))</f>
        <v/>
      </c>
      <c r="I230" s="60" t="str">
        <f t="shared" si="47"/>
        <v/>
      </c>
      <c r="J230" s="30" t="str">
        <f>IF($A230="","",IF(J$6="NÃO",0,IF($A230=0,DATEDIF(ESTRUTURA!$F$3,ESTRUTURA!$F$4,"m")*Tabela!$H$8,IF(J$6="NÃO",0,Tabela!$H$8))))</f>
        <v/>
      </c>
      <c r="K230" s="60" t="str">
        <f t="shared" si="47"/>
        <v/>
      </c>
      <c r="L230" s="30" t="str">
        <f t="shared" si="47"/>
        <v/>
      </c>
      <c r="M230" s="60" t="str">
        <f t="shared" si="47"/>
        <v/>
      </c>
      <c r="N230" s="30" t="str">
        <f t="shared" si="47"/>
        <v/>
      </c>
      <c r="O230" s="60" t="str">
        <f t="shared" si="47"/>
        <v/>
      </c>
      <c r="P230" s="30" t="str">
        <f t="shared" si="45"/>
        <v/>
      </c>
      <c r="Q230" s="60" t="str">
        <f t="shared" si="47"/>
        <v/>
      </c>
      <c r="R230" s="30" t="str">
        <f t="shared" si="47"/>
        <v/>
      </c>
      <c r="S230" s="60" t="str">
        <f>IF($A230="","",IF(S$6="NÃO",0,IF($A230=0,DATEDIF(ESTRUTURA!$F$3,ESTRUTURA!$F$4,"m")*Tabela!$H$17,Tabela!$H$17)))</f>
        <v/>
      </c>
      <c r="T230" s="30" t="str">
        <f>IF($A230="","",IF(T$6="NÃO",0,IF($A230=0,DATEDIF(ESTRUTURA!$F$3,ESTRUTURA!$F$4,"m")*Tabela!$H$18,Tabela!$H$18)))</f>
        <v/>
      </c>
      <c r="U230" s="60" t="str">
        <f t="shared" si="46"/>
        <v/>
      </c>
      <c r="V230" s="30" t="str">
        <f>IF($A230="","",IF(V$6="NÃO",0,IF($A230=0,DATEDIF(ESTRUTURA!$F$3,ESTRUTURA!$F$4,"m")*Tabela!$H$20,Tabela!$H$20)))</f>
        <v/>
      </c>
      <c r="W230" s="60" t="str">
        <f t="shared" si="46"/>
        <v/>
      </c>
      <c r="X230" s="30" t="str">
        <f t="shared" si="46"/>
        <v/>
      </c>
      <c r="Y230" s="60" t="str">
        <f>IF($A230="","",IF(Y$6="NÃO",0,IF(A230=0,Tabela!$H$23,IF(Y$7="mensal",Tabela!$H$23,IF(AND(MONTH(ESTRUTURA!C230)=MONTH(ESTRUTURA!$F$3),A230&gt;0),Tabela!$H$23,0)))))</f>
        <v/>
      </c>
      <c r="Z230" s="30" t="str">
        <f t="shared" si="46"/>
        <v/>
      </c>
      <c r="AA230" s="60" t="str">
        <f>IF($A230="","",IF(AA$6="NÃO",0,Tabela!$H$25*nm_séries))</f>
        <v/>
      </c>
      <c r="AB230" s="30" t="str">
        <f t="shared" si="46"/>
        <v/>
      </c>
      <c r="AC230" s="60" t="str">
        <f>IF($A230="","",IF(AC$6="NÃO",0,IF(A230=0,Tabela!$H$27,IF(MOD(A230,3)=0,Tabela!$H$27,0))))</f>
        <v/>
      </c>
      <c r="AD230" s="30" t="str">
        <f t="shared" si="46"/>
        <v/>
      </c>
      <c r="AE230" s="60" t="str">
        <f t="shared" si="46"/>
        <v/>
      </c>
      <c r="AF230" s="30" t="str">
        <f>IF($A230="","",IF(AF$6="NÃO",0,IF(AND(MONTH(ESTRUTURA!C230)=MONTH(ESTRUTURA!$F$3),A230&gt;0),Tabela!$H$30,0)))</f>
        <v/>
      </c>
      <c r="AG230" s="60" t="str">
        <f t="shared" si="46"/>
        <v/>
      </c>
      <c r="AH230" s="30" t="str">
        <f t="shared" si="46"/>
        <v/>
      </c>
      <c r="AI230" s="60" t="str">
        <f>IF($A230="","",IF(AI$6="NÃO",0,IF($A230=0,DATEDIF(ESTRUTURA!$F$3,ESTRUTURA!$F$4,"m")*Tabela!$H$33,Tabela!$H$33)))</f>
        <v/>
      </c>
      <c r="AJ230" s="30" t="str">
        <f t="shared" si="38"/>
        <v/>
      </c>
    </row>
    <row r="231" spans="1:36" x14ac:dyDescent="0.2">
      <c r="A231" s="66" t="str">
        <f>ESTRUTURA!A231</f>
        <v/>
      </c>
      <c r="B231" s="58">
        <f t="shared" si="44"/>
        <v>0</v>
      </c>
      <c r="C231" s="60" t="str">
        <f t="shared" si="47"/>
        <v/>
      </c>
      <c r="D231" s="30" t="str">
        <f t="shared" si="47"/>
        <v/>
      </c>
      <c r="E231" s="60" t="str">
        <f t="shared" si="47"/>
        <v/>
      </c>
      <c r="F231" s="30" t="str">
        <f>IF($A231="","",IF(F$6="NÃO",0,Tabela!$H$34*ESTRUTURA!$I$4))</f>
        <v/>
      </c>
      <c r="G231" s="60" t="str">
        <f t="shared" si="47"/>
        <v/>
      </c>
      <c r="H231" s="30" t="str">
        <f>IF($A231="","",IF(H$6="NÃO",0,IF($A231=0,DATEDIF(ESTRUTURA!$F$3,ESTRUTURA!$F$4,"m")*Tabela!$H$6,Tabela!$H$6)))</f>
        <v/>
      </c>
      <c r="I231" s="60" t="str">
        <f t="shared" si="47"/>
        <v/>
      </c>
      <c r="J231" s="30" t="str">
        <f>IF($A231="","",IF(J$6="NÃO",0,IF($A231=0,DATEDIF(ESTRUTURA!$F$3,ESTRUTURA!$F$4,"m")*Tabela!$H$8,IF(J$6="NÃO",0,Tabela!$H$8))))</f>
        <v/>
      </c>
      <c r="K231" s="60" t="str">
        <f t="shared" si="47"/>
        <v/>
      </c>
      <c r="L231" s="30" t="str">
        <f t="shared" si="47"/>
        <v/>
      </c>
      <c r="M231" s="60" t="str">
        <f t="shared" si="47"/>
        <v/>
      </c>
      <c r="N231" s="30" t="str">
        <f t="shared" si="47"/>
        <v/>
      </c>
      <c r="O231" s="60" t="str">
        <f t="shared" si="47"/>
        <v/>
      </c>
      <c r="P231" s="30" t="str">
        <f t="shared" si="45"/>
        <v/>
      </c>
      <c r="Q231" s="60" t="str">
        <f t="shared" si="47"/>
        <v/>
      </c>
      <c r="R231" s="30" t="str">
        <f t="shared" si="47"/>
        <v/>
      </c>
      <c r="S231" s="60" t="str">
        <f>IF($A231="","",IF(S$6="NÃO",0,IF($A231=0,DATEDIF(ESTRUTURA!$F$3,ESTRUTURA!$F$4,"m")*Tabela!$H$17,Tabela!$H$17)))</f>
        <v/>
      </c>
      <c r="T231" s="30" t="str">
        <f>IF($A231="","",IF(T$6="NÃO",0,IF($A231=0,DATEDIF(ESTRUTURA!$F$3,ESTRUTURA!$F$4,"m")*Tabela!$H$18,Tabela!$H$18)))</f>
        <v/>
      </c>
      <c r="U231" s="60" t="str">
        <f t="shared" si="46"/>
        <v/>
      </c>
      <c r="V231" s="30" t="str">
        <f>IF($A231="","",IF(V$6="NÃO",0,IF($A231=0,DATEDIF(ESTRUTURA!$F$3,ESTRUTURA!$F$4,"m")*Tabela!$H$20,Tabela!$H$20)))</f>
        <v/>
      </c>
      <c r="W231" s="60" t="str">
        <f t="shared" si="46"/>
        <v/>
      </c>
      <c r="X231" s="30" t="str">
        <f t="shared" si="46"/>
        <v/>
      </c>
      <c r="Y231" s="60" t="str">
        <f>IF($A231="","",IF(Y$6="NÃO",0,IF(A231=0,Tabela!$H$23,IF(Y$7="mensal",Tabela!$H$23,IF(AND(MONTH(ESTRUTURA!C231)=MONTH(ESTRUTURA!$F$3),A231&gt;0),Tabela!$H$23,0)))))</f>
        <v/>
      </c>
      <c r="Z231" s="30" t="str">
        <f t="shared" si="46"/>
        <v/>
      </c>
      <c r="AA231" s="60" t="str">
        <f>IF($A231="","",IF(AA$6="NÃO",0,Tabela!$H$25*nm_séries))</f>
        <v/>
      </c>
      <c r="AB231" s="30" t="str">
        <f t="shared" si="46"/>
        <v/>
      </c>
      <c r="AC231" s="60" t="str">
        <f>IF($A231="","",IF(AC$6="NÃO",0,IF(A231=0,Tabela!$H$27,IF(MOD(A231,3)=0,Tabela!$H$27,0))))</f>
        <v/>
      </c>
      <c r="AD231" s="30" t="str">
        <f t="shared" si="46"/>
        <v/>
      </c>
      <c r="AE231" s="60" t="str">
        <f t="shared" si="46"/>
        <v/>
      </c>
      <c r="AF231" s="30" t="str">
        <f>IF($A231="","",IF(AF$6="NÃO",0,IF(AND(MONTH(ESTRUTURA!C231)=MONTH(ESTRUTURA!$F$3),A231&gt;0),Tabela!$H$30,0)))</f>
        <v/>
      </c>
      <c r="AG231" s="60" t="str">
        <f t="shared" si="46"/>
        <v/>
      </c>
      <c r="AH231" s="30" t="str">
        <f t="shared" si="46"/>
        <v/>
      </c>
      <c r="AI231" s="60" t="str">
        <f>IF($A231="","",IF(AI$6="NÃO",0,IF($A231=0,DATEDIF(ESTRUTURA!$F$3,ESTRUTURA!$F$4,"m")*Tabela!$H$33,Tabela!$H$33)))</f>
        <v/>
      </c>
      <c r="AJ231" s="30" t="str">
        <f t="shared" si="38"/>
        <v/>
      </c>
    </row>
    <row r="232" spans="1:36" x14ac:dyDescent="0.2">
      <c r="A232" s="66" t="str">
        <f>ESTRUTURA!A232</f>
        <v/>
      </c>
      <c r="B232" s="58">
        <f t="shared" si="44"/>
        <v>0</v>
      </c>
      <c r="C232" s="60" t="str">
        <f t="shared" si="47"/>
        <v/>
      </c>
      <c r="D232" s="30" t="str">
        <f t="shared" si="47"/>
        <v/>
      </c>
      <c r="E232" s="60" t="str">
        <f t="shared" si="47"/>
        <v/>
      </c>
      <c r="F232" s="30" t="str">
        <f>IF($A232="","",IF(F$6="NÃO",0,Tabela!$H$34*ESTRUTURA!$I$4))</f>
        <v/>
      </c>
      <c r="G232" s="60" t="str">
        <f t="shared" si="47"/>
        <v/>
      </c>
      <c r="H232" s="30" t="str">
        <f>IF($A232="","",IF(H$6="NÃO",0,IF($A232=0,DATEDIF(ESTRUTURA!$F$3,ESTRUTURA!$F$4,"m")*Tabela!$H$6,Tabela!$H$6)))</f>
        <v/>
      </c>
      <c r="I232" s="60" t="str">
        <f t="shared" si="47"/>
        <v/>
      </c>
      <c r="J232" s="30" t="str">
        <f>IF($A232="","",IF(J$6="NÃO",0,IF($A232=0,DATEDIF(ESTRUTURA!$F$3,ESTRUTURA!$F$4,"m")*Tabela!$H$8,IF(J$6="NÃO",0,Tabela!$H$8))))</f>
        <v/>
      </c>
      <c r="K232" s="60" t="str">
        <f t="shared" si="47"/>
        <v/>
      </c>
      <c r="L232" s="30" t="str">
        <f t="shared" si="47"/>
        <v/>
      </c>
      <c r="M232" s="60" t="str">
        <f t="shared" si="47"/>
        <v/>
      </c>
      <c r="N232" s="30" t="str">
        <f t="shared" si="47"/>
        <v/>
      </c>
      <c r="O232" s="60" t="str">
        <f t="shared" si="47"/>
        <v/>
      </c>
      <c r="P232" s="30" t="str">
        <f t="shared" si="45"/>
        <v/>
      </c>
      <c r="Q232" s="60" t="str">
        <f t="shared" si="47"/>
        <v/>
      </c>
      <c r="R232" s="30" t="str">
        <f t="shared" si="47"/>
        <v/>
      </c>
      <c r="S232" s="60" t="str">
        <f>IF($A232="","",IF(S$6="NÃO",0,IF($A232=0,DATEDIF(ESTRUTURA!$F$3,ESTRUTURA!$F$4,"m")*Tabela!$H$17,Tabela!$H$17)))</f>
        <v/>
      </c>
      <c r="T232" s="30" t="str">
        <f>IF($A232="","",IF(T$6="NÃO",0,IF($A232=0,DATEDIF(ESTRUTURA!$F$3,ESTRUTURA!$F$4,"m")*Tabela!$H$18,Tabela!$H$18)))</f>
        <v/>
      </c>
      <c r="U232" s="60" t="str">
        <f t="shared" si="46"/>
        <v/>
      </c>
      <c r="V232" s="30" t="str">
        <f>IF($A232="","",IF(V$6="NÃO",0,IF($A232=0,DATEDIF(ESTRUTURA!$F$3,ESTRUTURA!$F$4,"m")*Tabela!$H$20,Tabela!$H$20)))</f>
        <v/>
      </c>
      <c r="W232" s="60" t="str">
        <f t="shared" si="46"/>
        <v/>
      </c>
      <c r="X232" s="30" t="str">
        <f t="shared" si="46"/>
        <v/>
      </c>
      <c r="Y232" s="60" t="str">
        <f>IF($A232="","",IF(Y$6="NÃO",0,IF(A232=0,Tabela!$H$23,IF(Y$7="mensal",Tabela!$H$23,IF(AND(MONTH(ESTRUTURA!C232)=MONTH(ESTRUTURA!$F$3),A232&gt;0),Tabela!$H$23,0)))))</f>
        <v/>
      </c>
      <c r="Z232" s="30" t="str">
        <f t="shared" si="46"/>
        <v/>
      </c>
      <c r="AA232" s="60" t="str">
        <f>IF($A232="","",IF(AA$6="NÃO",0,Tabela!$H$25*nm_séries))</f>
        <v/>
      </c>
      <c r="AB232" s="30" t="str">
        <f t="shared" si="46"/>
        <v/>
      </c>
      <c r="AC232" s="60" t="str">
        <f>IF($A232="","",IF(AC$6="NÃO",0,IF(A232=0,Tabela!$H$27,IF(MOD(A232,3)=0,Tabela!$H$27,0))))</f>
        <v/>
      </c>
      <c r="AD232" s="30" t="str">
        <f t="shared" si="46"/>
        <v/>
      </c>
      <c r="AE232" s="60" t="str">
        <f t="shared" si="46"/>
        <v/>
      </c>
      <c r="AF232" s="30" t="str">
        <f>IF($A232="","",IF(AF$6="NÃO",0,IF(AND(MONTH(ESTRUTURA!C232)=MONTH(ESTRUTURA!$F$3),A232&gt;0),Tabela!$H$30,0)))</f>
        <v/>
      </c>
      <c r="AG232" s="60" t="str">
        <f t="shared" si="46"/>
        <v/>
      </c>
      <c r="AH232" s="30" t="str">
        <f t="shared" si="46"/>
        <v/>
      </c>
      <c r="AI232" s="60" t="str">
        <f>IF($A232="","",IF(AI$6="NÃO",0,IF($A232=0,DATEDIF(ESTRUTURA!$F$3,ESTRUTURA!$F$4,"m")*Tabela!$H$33,Tabela!$H$33)))</f>
        <v/>
      </c>
      <c r="AJ232" s="30" t="str">
        <f t="shared" si="38"/>
        <v/>
      </c>
    </row>
    <row r="233" spans="1:36" x14ac:dyDescent="0.2">
      <c r="A233" s="66" t="str">
        <f>ESTRUTURA!A233</f>
        <v/>
      </c>
      <c r="B233" s="58">
        <f t="shared" si="44"/>
        <v>0</v>
      </c>
      <c r="C233" s="60" t="str">
        <f t="shared" si="47"/>
        <v/>
      </c>
      <c r="D233" s="30" t="str">
        <f t="shared" si="47"/>
        <v/>
      </c>
      <c r="E233" s="60" t="str">
        <f t="shared" si="47"/>
        <v/>
      </c>
      <c r="F233" s="30" t="str">
        <f>IF($A233="","",IF(F$6="NÃO",0,Tabela!$H$34*ESTRUTURA!$I$4))</f>
        <v/>
      </c>
      <c r="G233" s="60" t="str">
        <f t="shared" si="47"/>
        <v/>
      </c>
      <c r="H233" s="30" t="str">
        <f>IF($A233="","",IF(H$6="NÃO",0,IF($A233=0,DATEDIF(ESTRUTURA!$F$3,ESTRUTURA!$F$4,"m")*Tabela!$H$6,Tabela!$H$6)))</f>
        <v/>
      </c>
      <c r="I233" s="60" t="str">
        <f t="shared" si="47"/>
        <v/>
      </c>
      <c r="J233" s="30" t="str">
        <f>IF($A233="","",IF(J$6="NÃO",0,IF($A233=0,DATEDIF(ESTRUTURA!$F$3,ESTRUTURA!$F$4,"m")*Tabela!$H$8,IF(J$6="NÃO",0,Tabela!$H$8))))</f>
        <v/>
      </c>
      <c r="K233" s="60" t="str">
        <f t="shared" si="47"/>
        <v/>
      </c>
      <c r="L233" s="30" t="str">
        <f t="shared" si="47"/>
        <v/>
      </c>
      <c r="M233" s="60" t="str">
        <f t="shared" si="47"/>
        <v/>
      </c>
      <c r="N233" s="30" t="str">
        <f t="shared" si="47"/>
        <v/>
      </c>
      <c r="O233" s="60" t="str">
        <f t="shared" si="47"/>
        <v/>
      </c>
      <c r="P233" s="30" t="str">
        <f t="shared" si="45"/>
        <v/>
      </c>
      <c r="Q233" s="60" t="str">
        <f t="shared" si="47"/>
        <v/>
      </c>
      <c r="R233" s="30" t="str">
        <f t="shared" si="47"/>
        <v/>
      </c>
      <c r="S233" s="60" t="str">
        <f>IF($A233="","",IF(S$6="NÃO",0,IF($A233=0,DATEDIF(ESTRUTURA!$F$3,ESTRUTURA!$F$4,"m")*Tabela!$H$17,Tabela!$H$17)))</f>
        <v/>
      </c>
      <c r="T233" s="30" t="str">
        <f>IF($A233="","",IF(T$6="NÃO",0,IF($A233=0,DATEDIF(ESTRUTURA!$F$3,ESTRUTURA!$F$4,"m")*Tabela!$H$18,Tabela!$H$18)))</f>
        <v/>
      </c>
      <c r="U233" s="60" t="str">
        <f t="shared" si="46"/>
        <v/>
      </c>
      <c r="V233" s="30" t="str">
        <f>IF($A233="","",IF(V$6="NÃO",0,IF($A233=0,DATEDIF(ESTRUTURA!$F$3,ESTRUTURA!$F$4,"m")*Tabela!$H$20,Tabela!$H$20)))</f>
        <v/>
      </c>
      <c r="W233" s="60" t="str">
        <f t="shared" si="46"/>
        <v/>
      </c>
      <c r="X233" s="30" t="str">
        <f t="shared" si="46"/>
        <v/>
      </c>
      <c r="Y233" s="60" t="str">
        <f>IF($A233="","",IF(Y$6="NÃO",0,IF(A233=0,Tabela!$H$23,IF(Y$7="mensal",Tabela!$H$23,IF(AND(MONTH(ESTRUTURA!C233)=MONTH(ESTRUTURA!$F$3),A233&gt;0),Tabela!$H$23,0)))))</f>
        <v/>
      </c>
      <c r="Z233" s="30" t="str">
        <f t="shared" si="46"/>
        <v/>
      </c>
      <c r="AA233" s="60" t="str">
        <f>IF($A233="","",IF(AA$6="NÃO",0,Tabela!$H$25*nm_séries))</f>
        <v/>
      </c>
      <c r="AB233" s="30" t="str">
        <f t="shared" si="46"/>
        <v/>
      </c>
      <c r="AC233" s="60" t="str">
        <f>IF($A233="","",IF(AC$6="NÃO",0,IF(A233=0,Tabela!$H$27,IF(MOD(A233,3)=0,Tabela!$H$27,0))))</f>
        <v/>
      </c>
      <c r="AD233" s="30" t="str">
        <f t="shared" si="46"/>
        <v/>
      </c>
      <c r="AE233" s="60" t="str">
        <f t="shared" si="46"/>
        <v/>
      </c>
      <c r="AF233" s="30" t="str">
        <f>IF($A233="","",IF(AF$6="NÃO",0,IF(AND(MONTH(ESTRUTURA!C233)=MONTH(ESTRUTURA!$F$3),A233&gt;0),Tabela!$H$30,0)))</f>
        <v/>
      </c>
      <c r="AG233" s="60" t="str">
        <f t="shared" si="46"/>
        <v/>
      </c>
      <c r="AH233" s="30" t="str">
        <f t="shared" si="46"/>
        <v/>
      </c>
      <c r="AI233" s="60" t="str">
        <f>IF($A233="","",IF(AI$6="NÃO",0,IF($A233=0,DATEDIF(ESTRUTURA!$F$3,ESTRUTURA!$F$4,"m")*Tabela!$H$33,Tabela!$H$33)))</f>
        <v/>
      </c>
      <c r="AJ233" s="30" t="str">
        <f t="shared" si="38"/>
        <v/>
      </c>
    </row>
    <row r="234" spans="1:36" x14ac:dyDescent="0.2">
      <c r="A234" s="66" t="str">
        <f>ESTRUTURA!A234</f>
        <v/>
      </c>
      <c r="B234" s="58">
        <f t="shared" si="44"/>
        <v>0</v>
      </c>
      <c r="C234" s="60" t="str">
        <f t="shared" si="47"/>
        <v/>
      </c>
      <c r="D234" s="30" t="str">
        <f t="shared" si="47"/>
        <v/>
      </c>
      <c r="E234" s="60" t="str">
        <f t="shared" si="47"/>
        <v/>
      </c>
      <c r="F234" s="30" t="str">
        <f>IF($A234="","",IF(F$6="NÃO",0,Tabela!$H$34*ESTRUTURA!$I$4))</f>
        <v/>
      </c>
      <c r="G234" s="60" t="str">
        <f t="shared" si="47"/>
        <v/>
      </c>
      <c r="H234" s="30" t="str">
        <f>IF($A234="","",IF(H$6="NÃO",0,IF($A234=0,DATEDIF(ESTRUTURA!$F$3,ESTRUTURA!$F$4,"m")*Tabela!$H$6,Tabela!$H$6)))</f>
        <v/>
      </c>
      <c r="I234" s="60" t="str">
        <f t="shared" si="47"/>
        <v/>
      </c>
      <c r="J234" s="30" t="str">
        <f>IF($A234="","",IF(J$6="NÃO",0,IF($A234=0,DATEDIF(ESTRUTURA!$F$3,ESTRUTURA!$F$4,"m")*Tabela!$H$8,IF(J$6="NÃO",0,Tabela!$H$8))))</f>
        <v/>
      </c>
      <c r="K234" s="60" t="str">
        <f t="shared" si="47"/>
        <v/>
      </c>
      <c r="L234" s="30" t="str">
        <f t="shared" si="47"/>
        <v/>
      </c>
      <c r="M234" s="60" t="str">
        <f t="shared" si="47"/>
        <v/>
      </c>
      <c r="N234" s="30" t="str">
        <f t="shared" si="47"/>
        <v/>
      </c>
      <c r="O234" s="60" t="str">
        <f t="shared" si="47"/>
        <v/>
      </c>
      <c r="P234" s="30" t="str">
        <f t="shared" si="45"/>
        <v/>
      </c>
      <c r="Q234" s="60" t="str">
        <f t="shared" si="47"/>
        <v/>
      </c>
      <c r="R234" s="30" t="str">
        <f t="shared" si="47"/>
        <v/>
      </c>
      <c r="S234" s="60" t="str">
        <f>IF($A234="","",IF(S$6="NÃO",0,IF($A234=0,DATEDIF(ESTRUTURA!$F$3,ESTRUTURA!$F$4,"m")*Tabela!$H$17,Tabela!$H$17)))</f>
        <v/>
      </c>
      <c r="T234" s="30" t="str">
        <f>IF($A234="","",IF(T$6="NÃO",0,IF($A234=0,DATEDIF(ESTRUTURA!$F$3,ESTRUTURA!$F$4,"m")*Tabela!$H$18,Tabela!$H$18)))</f>
        <v/>
      </c>
      <c r="U234" s="60" t="str">
        <f t="shared" si="46"/>
        <v/>
      </c>
      <c r="V234" s="30" t="str">
        <f>IF($A234="","",IF(V$6="NÃO",0,IF($A234=0,DATEDIF(ESTRUTURA!$F$3,ESTRUTURA!$F$4,"m")*Tabela!$H$20,Tabela!$H$20)))</f>
        <v/>
      </c>
      <c r="W234" s="60" t="str">
        <f t="shared" si="46"/>
        <v/>
      </c>
      <c r="X234" s="30" t="str">
        <f t="shared" si="46"/>
        <v/>
      </c>
      <c r="Y234" s="60" t="str">
        <f>IF($A234="","",IF(Y$6="NÃO",0,IF(A234=0,Tabela!$H$23,IF(Y$7="mensal",Tabela!$H$23,IF(AND(MONTH(ESTRUTURA!C234)=MONTH(ESTRUTURA!$F$3),A234&gt;0),Tabela!$H$23,0)))))</f>
        <v/>
      </c>
      <c r="Z234" s="30" t="str">
        <f t="shared" si="46"/>
        <v/>
      </c>
      <c r="AA234" s="60" t="str">
        <f>IF($A234="","",IF(AA$6="NÃO",0,Tabela!$H$25*nm_séries))</f>
        <v/>
      </c>
      <c r="AB234" s="30" t="str">
        <f t="shared" si="46"/>
        <v/>
      </c>
      <c r="AC234" s="60" t="str">
        <f>IF($A234="","",IF(AC$6="NÃO",0,IF(A234=0,Tabela!$H$27,IF(MOD(A234,3)=0,Tabela!$H$27,0))))</f>
        <v/>
      </c>
      <c r="AD234" s="30" t="str">
        <f t="shared" si="46"/>
        <v/>
      </c>
      <c r="AE234" s="60" t="str">
        <f t="shared" si="46"/>
        <v/>
      </c>
      <c r="AF234" s="30" t="str">
        <f>IF($A234="","",IF(AF$6="NÃO",0,IF(AND(MONTH(ESTRUTURA!C234)=MONTH(ESTRUTURA!$F$3),A234&gt;0),Tabela!$H$30,0)))</f>
        <v/>
      </c>
      <c r="AG234" s="60" t="str">
        <f t="shared" si="46"/>
        <v/>
      </c>
      <c r="AH234" s="30" t="str">
        <f t="shared" si="46"/>
        <v/>
      </c>
      <c r="AI234" s="60" t="str">
        <f>IF($A234="","",IF(AI$6="NÃO",0,IF($A234=0,DATEDIF(ESTRUTURA!$F$3,ESTRUTURA!$F$4,"m")*Tabela!$H$33,Tabela!$H$33)))</f>
        <v/>
      </c>
      <c r="AJ234" s="30" t="str">
        <f t="shared" si="38"/>
        <v/>
      </c>
    </row>
    <row r="235" spans="1:36" x14ac:dyDescent="0.2">
      <c r="A235" s="66" t="str">
        <f>ESTRUTURA!A235</f>
        <v/>
      </c>
      <c r="B235" s="58">
        <f t="shared" si="44"/>
        <v>0</v>
      </c>
      <c r="C235" s="60" t="str">
        <f t="shared" si="47"/>
        <v/>
      </c>
      <c r="D235" s="30" t="str">
        <f t="shared" si="47"/>
        <v/>
      </c>
      <c r="E235" s="60" t="str">
        <f t="shared" si="47"/>
        <v/>
      </c>
      <c r="F235" s="30" t="str">
        <f>IF($A235="","",IF(F$6="NÃO",0,Tabela!$H$34*ESTRUTURA!$I$4))</f>
        <v/>
      </c>
      <c r="G235" s="60" t="str">
        <f t="shared" si="47"/>
        <v/>
      </c>
      <c r="H235" s="30" t="str">
        <f>IF($A235="","",IF(H$6="NÃO",0,IF($A235=0,DATEDIF(ESTRUTURA!$F$3,ESTRUTURA!$F$4,"m")*Tabela!$H$6,Tabela!$H$6)))</f>
        <v/>
      </c>
      <c r="I235" s="60" t="str">
        <f t="shared" si="47"/>
        <v/>
      </c>
      <c r="J235" s="30" t="str">
        <f>IF($A235="","",IF(J$6="NÃO",0,IF($A235=0,DATEDIF(ESTRUTURA!$F$3,ESTRUTURA!$F$4,"m")*Tabela!$H$8,IF(J$6="NÃO",0,Tabela!$H$8))))</f>
        <v/>
      </c>
      <c r="K235" s="60" t="str">
        <f t="shared" si="47"/>
        <v/>
      </c>
      <c r="L235" s="30" t="str">
        <f t="shared" si="47"/>
        <v/>
      </c>
      <c r="M235" s="60" t="str">
        <f t="shared" si="47"/>
        <v/>
      </c>
      <c r="N235" s="30" t="str">
        <f t="shared" si="47"/>
        <v/>
      </c>
      <c r="O235" s="60" t="str">
        <f t="shared" si="47"/>
        <v/>
      </c>
      <c r="P235" s="30" t="str">
        <f t="shared" si="45"/>
        <v/>
      </c>
      <c r="Q235" s="60" t="str">
        <f t="shared" si="47"/>
        <v/>
      </c>
      <c r="R235" s="30" t="str">
        <f t="shared" si="47"/>
        <v/>
      </c>
      <c r="S235" s="60" t="str">
        <f>IF($A235="","",IF(S$6="NÃO",0,IF($A235=0,DATEDIF(ESTRUTURA!$F$3,ESTRUTURA!$F$4,"m")*Tabela!$H$17,Tabela!$H$17)))</f>
        <v/>
      </c>
      <c r="T235" s="30" t="str">
        <f>IF($A235="","",IF(T$6="NÃO",0,IF($A235=0,DATEDIF(ESTRUTURA!$F$3,ESTRUTURA!$F$4,"m")*Tabela!$H$18,Tabela!$H$18)))</f>
        <v/>
      </c>
      <c r="U235" s="60" t="str">
        <f t="shared" ref="U235:AH250" si="48">IF($A235="","",IF(U$6="NÃO",0,0))</f>
        <v/>
      </c>
      <c r="V235" s="30" t="str">
        <f>IF($A235="","",IF(V$6="NÃO",0,IF($A235=0,DATEDIF(ESTRUTURA!$F$3,ESTRUTURA!$F$4,"m")*Tabela!$H$20,Tabela!$H$20)))</f>
        <v/>
      </c>
      <c r="W235" s="60" t="str">
        <f t="shared" si="48"/>
        <v/>
      </c>
      <c r="X235" s="30" t="str">
        <f t="shared" si="48"/>
        <v/>
      </c>
      <c r="Y235" s="60" t="str">
        <f>IF($A235="","",IF(Y$6="NÃO",0,IF(A235=0,Tabela!$H$23,IF(Y$7="mensal",Tabela!$H$23,IF(AND(MONTH(ESTRUTURA!C235)=MONTH(ESTRUTURA!$F$3),A235&gt;0),Tabela!$H$23,0)))))</f>
        <v/>
      </c>
      <c r="Z235" s="30" t="str">
        <f t="shared" si="48"/>
        <v/>
      </c>
      <c r="AA235" s="60" t="str">
        <f>IF($A235="","",IF(AA$6="NÃO",0,Tabela!$H$25*nm_séries))</f>
        <v/>
      </c>
      <c r="AB235" s="30" t="str">
        <f t="shared" si="48"/>
        <v/>
      </c>
      <c r="AC235" s="60" t="str">
        <f>IF($A235="","",IF(AC$6="NÃO",0,IF(A235=0,Tabela!$H$27,IF(MOD(A235,3)=0,Tabela!$H$27,0))))</f>
        <v/>
      </c>
      <c r="AD235" s="30" t="str">
        <f t="shared" si="48"/>
        <v/>
      </c>
      <c r="AE235" s="60" t="str">
        <f t="shared" si="48"/>
        <v/>
      </c>
      <c r="AF235" s="30" t="str">
        <f>IF($A235="","",IF(AF$6="NÃO",0,IF(AND(MONTH(ESTRUTURA!C235)=MONTH(ESTRUTURA!$F$3),A235&gt;0),Tabela!$H$30,0)))</f>
        <v/>
      </c>
      <c r="AG235" s="60" t="str">
        <f t="shared" si="48"/>
        <v/>
      </c>
      <c r="AH235" s="30" t="str">
        <f t="shared" si="48"/>
        <v/>
      </c>
      <c r="AI235" s="60" t="str">
        <f>IF($A235="","",IF(AI$6="NÃO",0,IF($A235=0,DATEDIF(ESTRUTURA!$F$3,ESTRUTURA!$F$4,"m")*Tabela!$H$33,Tabela!$H$33)))</f>
        <v/>
      </c>
      <c r="AJ235" s="30" t="str">
        <f t="shared" si="38"/>
        <v/>
      </c>
    </row>
    <row r="236" spans="1:36" x14ac:dyDescent="0.2">
      <c r="A236" s="66" t="str">
        <f>ESTRUTURA!A236</f>
        <v/>
      </c>
      <c r="B236" s="58">
        <f t="shared" si="44"/>
        <v>0</v>
      </c>
      <c r="C236" s="60" t="str">
        <f t="shared" ref="C236:R251" si="49">IF($A236="","",IF(C$6="NÃO",0,0))</f>
        <v/>
      </c>
      <c r="D236" s="30" t="str">
        <f t="shared" si="49"/>
        <v/>
      </c>
      <c r="E236" s="60" t="str">
        <f t="shared" si="49"/>
        <v/>
      </c>
      <c r="F236" s="30" t="str">
        <f>IF($A236="","",IF(F$6="NÃO",0,Tabela!$H$34*ESTRUTURA!$I$4))</f>
        <v/>
      </c>
      <c r="G236" s="60" t="str">
        <f t="shared" si="49"/>
        <v/>
      </c>
      <c r="H236" s="30" t="str">
        <f>IF($A236="","",IF(H$6="NÃO",0,IF($A236=0,DATEDIF(ESTRUTURA!$F$3,ESTRUTURA!$F$4,"m")*Tabela!$H$6,Tabela!$H$6)))</f>
        <v/>
      </c>
      <c r="I236" s="60" t="str">
        <f t="shared" si="49"/>
        <v/>
      </c>
      <c r="J236" s="30" t="str">
        <f>IF($A236="","",IF(J$6="NÃO",0,IF($A236=0,DATEDIF(ESTRUTURA!$F$3,ESTRUTURA!$F$4,"m")*Tabela!$H$8,IF(J$6="NÃO",0,Tabela!$H$8))))</f>
        <v/>
      </c>
      <c r="K236" s="60" t="str">
        <f t="shared" si="49"/>
        <v/>
      </c>
      <c r="L236" s="30" t="str">
        <f t="shared" si="49"/>
        <v/>
      </c>
      <c r="M236" s="60" t="str">
        <f t="shared" si="49"/>
        <v/>
      </c>
      <c r="N236" s="30" t="str">
        <f t="shared" si="49"/>
        <v/>
      </c>
      <c r="O236" s="60" t="str">
        <f t="shared" si="49"/>
        <v/>
      </c>
      <c r="P236" s="30" t="str">
        <f t="shared" si="49"/>
        <v/>
      </c>
      <c r="Q236" s="60" t="str">
        <f t="shared" si="49"/>
        <v/>
      </c>
      <c r="R236" s="30" t="str">
        <f t="shared" si="49"/>
        <v/>
      </c>
      <c r="S236" s="60" t="str">
        <f>IF($A236="","",IF(S$6="NÃO",0,IF($A236=0,DATEDIF(ESTRUTURA!$F$3,ESTRUTURA!$F$4,"m")*Tabela!$H$17,Tabela!$H$17)))</f>
        <v/>
      </c>
      <c r="T236" s="30" t="str">
        <f>IF($A236="","",IF(T$6="NÃO",0,IF($A236=0,DATEDIF(ESTRUTURA!$F$3,ESTRUTURA!$F$4,"m")*Tabela!$H$18,Tabela!$H$18)))</f>
        <v/>
      </c>
      <c r="U236" s="60" t="str">
        <f t="shared" si="48"/>
        <v/>
      </c>
      <c r="V236" s="30" t="str">
        <f>IF($A236="","",IF(V$6="NÃO",0,IF($A236=0,DATEDIF(ESTRUTURA!$F$3,ESTRUTURA!$F$4,"m")*Tabela!$H$20,Tabela!$H$20)))</f>
        <v/>
      </c>
      <c r="W236" s="60" t="str">
        <f t="shared" si="48"/>
        <v/>
      </c>
      <c r="X236" s="30" t="str">
        <f t="shared" si="48"/>
        <v/>
      </c>
      <c r="Y236" s="60" t="str">
        <f>IF($A236="","",IF(Y$6="NÃO",0,IF(A236=0,Tabela!$H$23,IF(Y$7="mensal",Tabela!$H$23,IF(AND(MONTH(ESTRUTURA!C236)=MONTH(ESTRUTURA!$F$3),A236&gt;0),Tabela!$H$23,0)))))</f>
        <v/>
      </c>
      <c r="Z236" s="30" t="str">
        <f t="shared" si="48"/>
        <v/>
      </c>
      <c r="AA236" s="60" t="str">
        <f>IF($A236="","",IF(AA$6="NÃO",0,Tabela!$H$25*nm_séries))</f>
        <v/>
      </c>
      <c r="AB236" s="30" t="str">
        <f t="shared" si="48"/>
        <v/>
      </c>
      <c r="AC236" s="60" t="str">
        <f>IF($A236="","",IF(AC$6="NÃO",0,IF(A236=0,Tabela!$H$27,IF(MOD(A236,3)=0,Tabela!$H$27,0))))</f>
        <v/>
      </c>
      <c r="AD236" s="30" t="str">
        <f t="shared" si="48"/>
        <v/>
      </c>
      <c r="AE236" s="60" t="str">
        <f t="shared" si="48"/>
        <v/>
      </c>
      <c r="AF236" s="30" t="str">
        <f>IF($A236="","",IF(AF$6="NÃO",0,IF(AND(MONTH(ESTRUTURA!C236)=MONTH(ESTRUTURA!$F$3),A236&gt;0),Tabela!$H$30,0)))</f>
        <v/>
      </c>
      <c r="AG236" s="60" t="str">
        <f t="shared" si="48"/>
        <v/>
      </c>
      <c r="AH236" s="30" t="str">
        <f t="shared" si="48"/>
        <v/>
      </c>
      <c r="AI236" s="60" t="str">
        <f>IF($A236="","",IF(AI$6="NÃO",0,IF($A236=0,DATEDIF(ESTRUTURA!$F$3,ESTRUTURA!$F$4,"m")*Tabela!$H$33,Tabela!$H$33)))</f>
        <v/>
      </c>
      <c r="AJ236" s="30" t="str">
        <f t="shared" si="38"/>
        <v/>
      </c>
    </row>
    <row r="237" spans="1:36" x14ac:dyDescent="0.2">
      <c r="A237" s="66" t="str">
        <f>ESTRUTURA!A237</f>
        <v/>
      </c>
      <c r="B237" s="58">
        <f t="shared" si="44"/>
        <v>0</v>
      </c>
      <c r="C237" s="60" t="str">
        <f t="shared" si="49"/>
        <v/>
      </c>
      <c r="D237" s="30" t="str">
        <f t="shared" si="49"/>
        <v/>
      </c>
      <c r="E237" s="60" t="str">
        <f t="shared" si="49"/>
        <v/>
      </c>
      <c r="F237" s="30" t="str">
        <f>IF($A237="","",IF(F$6="NÃO",0,Tabela!$H$34*ESTRUTURA!$I$4))</f>
        <v/>
      </c>
      <c r="G237" s="60" t="str">
        <f t="shared" si="49"/>
        <v/>
      </c>
      <c r="H237" s="30" t="str">
        <f>IF($A237="","",IF(H$6="NÃO",0,IF($A237=0,DATEDIF(ESTRUTURA!$F$3,ESTRUTURA!$F$4,"m")*Tabela!$H$6,Tabela!$H$6)))</f>
        <v/>
      </c>
      <c r="I237" s="60" t="str">
        <f t="shared" si="49"/>
        <v/>
      </c>
      <c r="J237" s="30" t="str">
        <f>IF($A237="","",IF(J$6="NÃO",0,IF($A237=0,DATEDIF(ESTRUTURA!$F$3,ESTRUTURA!$F$4,"m")*Tabela!$H$8,IF(J$6="NÃO",0,Tabela!$H$8))))</f>
        <v/>
      </c>
      <c r="K237" s="60" t="str">
        <f t="shared" si="49"/>
        <v/>
      </c>
      <c r="L237" s="30" t="str">
        <f t="shared" si="49"/>
        <v/>
      </c>
      <c r="M237" s="60" t="str">
        <f t="shared" si="49"/>
        <v/>
      </c>
      <c r="N237" s="30" t="str">
        <f t="shared" si="49"/>
        <v/>
      </c>
      <c r="O237" s="60" t="str">
        <f t="shared" si="49"/>
        <v/>
      </c>
      <c r="P237" s="30" t="str">
        <f t="shared" si="49"/>
        <v/>
      </c>
      <c r="Q237" s="60" t="str">
        <f t="shared" si="49"/>
        <v/>
      </c>
      <c r="R237" s="30" t="str">
        <f t="shared" si="49"/>
        <v/>
      </c>
      <c r="S237" s="60" t="str">
        <f>IF($A237="","",IF(S$6="NÃO",0,IF($A237=0,DATEDIF(ESTRUTURA!$F$3,ESTRUTURA!$F$4,"m")*Tabela!$H$17,Tabela!$H$17)))</f>
        <v/>
      </c>
      <c r="T237" s="30" t="str">
        <f>IF($A237="","",IF(T$6="NÃO",0,IF($A237=0,DATEDIF(ESTRUTURA!$F$3,ESTRUTURA!$F$4,"m")*Tabela!$H$18,Tabela!$H$18)))</f>
        <v/>
      </c>
      <c r="U237" s="60" t="str">
        <f t="shared" si="48"/>
        <v/>
      </c>
      <c r="V237" s="30" t="str">
        <f>IF($A237="","",IF(V$6="NÃO",0,IF($A237=0,DATEDIF(ESTRUTURA!$F$3,ESTRUTURA!$F$4,"m")*Tabela!$H$20,Tabela!$H$20)))</f>
        <v/>
      </c>
      <c r="W237" s="60" t="str">
        <f t="shared" si="48"/>
        <v/>
      </c>
      <c r="X237" s="30" t="str">
        <f t="shared" si="48"/>
        <v/>
      </c>
      <c r="Y237" s="60" t="str">
        <f>IF($A237="","",IF(Y$6="NÃO",0,IF(A237=0,Tabela!$H$23,IF(Y$7="mensal",Tabela!$H$23,IF(AND(MONTH(ESTRUTURA!C237)=MONTH(ESTRUTURA!$F$3),A237&gt;0),Tabela!$H$23,0)))))</f>
        <v/>
      </c>
      <c r="Z237" s="30" t="str">
        <f t="shared" si="48"/>
        <v/>
      </c>
      <c r="AA237" s="60" t="str">
        <f>IF($A237="","",IF(AA$6="NÃO",0,Tabela!$H$25*nm_séries))</f>
        <v/>
      </c>
      <c r="AB237" s="30" t="str">
        <f t="shared" si="48"/>
        <v/>
      </c>
      <c r="AC237" s="60" t="str">
        <f>IF($A237="","",IF(AC$6="NÃO",0,IF(A237=0,Tabela!$H$27,IF(MOD(A237,3)=0,Tabela!$H$27,0))))</f>
        <v/>
      </c>
      <c r="AD237" s="30" t="str">
        <f t="shared" si="48"/>
        <v/>
      </c>
      <c r="AE237" s="60" t="str">
        <f t="shared" si="48"/>
        <v/>
      </c>
      <c r="AF237" s="30" t="str">
        <f>IF($A237="","",IF(AF$6="NÃO",0,IF(AND(MONTH(ESTRUTURA!C237)=MONTH(ESTRUTURA!$F$3),A237&gt;0),Tabela!$H$30,0)))</f>
        <v/>
      </c>
      <c r="AG237" s="60" t="str">
        <f t="shared" si="48"/>
        <v/>
      </c>
      <c r="AH237" s="30" t="str">
        <f t="shared" si="48"/>
        <v/>
      </c>
      <c r="AI237" s="60" t="str">
        <f>IF($A237="","",IF(AI$6="NÃO",0,IF($A237=0,DATEDIF(ESTRUTURA!$F$3,ESTRUTURA!$F$4,"m")*Tabela!$H$33,Tabela!$H$33)))</f>
        <v/>
      </c>
      <c r="AJ237" s="30" t="str">
        <f t="shared" si="38"/>
        <v/>
      </c>
    </row>
    <row r="238" spans="1:36" x14ac:dyDescent="0.2">
      <c r="A238" s="66" t="str">
        <f>ESTRUTURA!A238</f>
        <v/>
      </c>
      <c r="B238" s="58">
        <f t="shared" si="44"/>
        <v>0</v>
      </c>
      <c r="C238" s="60" t="str">
        <f t="shared" si="49"/>
        <v/>
      </c>
      <c r="D238" s="30" t="str">
        <f t="shared" si="49"/>
        <v/>
      </c>
      <c r="E238" s="60" t="str">
        <f t="shared" si="49"/>
        <v/>
      </c>
      <c r="F238" s="30" t="str">
        <f>IF($A238="","",IF(F$6="NÃO",0,Tabela!$H$34*ESTRUTURA!$I$4))</f>
        <v/>
      </c>
      <c r="G238" s="60" t="str">
        <f t="shared" si="49"/>
        <v/>
      </c>
      <c r="H238" s="30" t="str">
        <f>IF($A238="","",IF(H$6="NÃO",0,IF($A238=0,DATEDIF(ESTRUTURA!$F$3,ESTRUTURA!$F$4,"m")*Tabela!$H$6,Tabela!$H$6)))</f>
        <v/>
      </c>
      <c r="I238" s="60" t="str">
        <f t="shared" si="49"/>
        <v/>
      </c>
      <c r="J238" s="30" t="str">
        <f>IF($A238="","",IF(J$6="NÃO",0,IF($A238=0,DATEDIF(ESTRUTURA!$F$3,ESTRUTURA!$F$4,"m")*Tabela!$H$8,IF(J$6="NÃO",0,Tabela!$H$8))))</f>
        <v/>
      </c>
      <c r="K238" s="60" t="str">
        <f t="shared" si="49"/>
        <v/>
      </c>
      <c r="L238" s="30" t="str">
        <f t="shared" si="49"/>
        <v/>
      </c>
      <c r="M238" s="60" t="str">
        <f t="shared" si="49"/>
        <v/>
      </c>
      <c r="N238" s="30" t="str">
        <f t="shared" si="49"/>
        <v/>
      </c>
      <c r="O238" s="60" t="str">
        <f t="shared" si="49"/>
        <v/>
      </c>
      <c r="P238" s="30" t="str">
        <f t="shared" si="49"/>
        <v/>
      </c>
      <c r="Q238" s="60" t="str">
        <f t="shared" si="49"/>
        <v/>
      </c>
      <c r="R238" s="30" t="str">
        <f t="shared" si="49"/>
        <v/>
      </c>
      <c r="S238" s="60" t="str">
        <f>IF($A238="","",IF(S$6="NÃO",0,IF($A238=0,DATEDIF(ESTRUTURA!$F$3,ESTRUTURA!$F$4,"m")*Tabela!$H$17,Tabela!$H$17)))</f>
        <v/>
      </c>
      <c r="T238" s="30" t="str">
        <f>IF($A238="","",IF(T$6="NÃO",0,IF($A238=0,DATEDIF(ESTRUTURA!$F$3,ESTRUTURA!$F$4,"m")*Tabela!$H$18,Tabela!$H$18)))</f>
        <v/>
      </c>
      <c r="U238" s="60" t="str">
        <f t="shared" si="48"/>
        <v/>
      </c>
      <c r="V238" s="30" t="str">
        <f>IF($A238="","",IF(V$6="NÃO",0,IF($A238=0,DATEDIF(ESTRUTURA!$F$3,ESTRUTURA!$F$4,"m")*Tabela!$H$20,Tabela!$H$20)))</f>
        <v/>
      </c>
      <c r="W238" s="60" t="str">
        <f t="shared" si="48"/>
        <v/>
      </c>
      <c r="X238" s="30" t="str">
        <f t="shared" si="48"/>
        <v/>
      </c>
      <c r="Y238" s="60" t="str">
        <f>IF($A238="","",IF(Y$6="NÃO",0,IF(A238=0,Tabela!$H$23,IF(Y$7="mensal",Tabela!$H$23,IF(AND(MONTH(ESTRUTURA!C238)=MONTH(ESTRUTURA!$F$3),A238&gt;0),Tabela!$H$23,0)))))</f>
        <v/>
      </c>
      <c r="Z238" s="30" t="str">
        <f t="shared" si="48"/>
        <v/>
      </c>
      <c r="AA238" s="60" t="str">
        <f>IF($A238="","",IF(AA$6="NÃO",0,Tabela!$H$25*nm_séries))</f>
        <v/>
      </c>
      <c r="AB238" s="30" t="str">
        <f t="shared" si="48"/>
        <v/>
      </c>
      <c r="AC238" s="60" t="str">
        <f>IF($A238="","",IF(AC$6="NÃO",0,IF(A238=0,Tabela!$H$27,IF(MOD(A238,3)=0,Tabela!$H$27,0))))</f>
        <v/>
      </c>
      <c r="AD238" s="30" t="str">
        <f t="shared" si="48"/>
        <v/>
      </c>
      <c r="AE238" s="60" t="str">
        <f t="shared" si="48"/>
        <v/>
      </c>
      <c r="AF238" s="30" t="str">
        <f>IF($A238="","",IF(AF$6="NÃO",0,IF(AND(MONTH(ESTRUTURA!C238)=MONTH(ESTRUTURA!$F$3),A238&gt;0),Tabela!$H$30,0)))</f>
        <v/>
      </c>
      <c r="AG238" s="60" t="str">
        <f t="shared" si="48"/>
        <v/>
      </c>
      <c r="AH238" s="30" t="str">
        <f t="shared" si="48"/>
        <v/>
      </c>
      <c r="AI238" s="60" t="str">
        <f>IF($A238="","",IF(AI$6="NÃO",0,IF($A238=0,DATEDIF(ESTRUTURA!$F$3,ESTRUTURA!$F$4,"m")*Tabela!$H$33,Tabela!$H$33)))</f>
        <v/>
      </c>
      <c r="AJ238" s="30" t="str">
        <f t="shared" si="38"/>
        <v/>
      </c>
    </row>
    <row r="239" spans="1:36" x14ac:dyDescent="0.2">
      <c r="A239" s="66" t="str">
        <f>ESTRUTURA!A239</f>
        <v/>
      </c>
      <c r="B239" s="58">
        <f t="shared" si="44"/>
        <v>0</v>
      </c>
      <c r="C239" s="60" t="str">
        <f t="shared" si="49"/>
        <v/>
      </c>
      <c r="D239" s="30" t="str">
        <f t="shared" si="49"/>
        <v/>
      </c>
      <c r="E239" s="60" t="str">
        <f t="shared" si="49"/>
        <v/>
      </c>
      <c r="F239" s="30" t="str">
        <f>IF($A239="","",IF(F$6="NÃO",0,Tabela!$H$34*ESTRUTURA!$I$4))</f>
        <v/>
      </c>
      <c r="G239" s="60" t="str">
        <f t="shared" si="49"/>
        <v/>
      </c>
      <c r="H239" s="30" t="str">
        <f>IF($A239="","",IF(H$6="NÃO",0,IF($A239=0,DATEDIF(ESTRUTURA!$F$3,ESTRUTURA!$F$4,"m")*Tabela!$H$6,Tabela!$H$6)))</f>
        <v/>
      </c>
      <c r="I239" s="60" t="str">
        <f t="shared" si="49"/>
        <v/>
      </c>
      <c r="J239" s="30" t="str">
        <f>IF($A239="","",IF(J$6="NÃO",0,IF($A239=0,DATEDIF(ESTRUTURA!$F$3,ESTRUTURA!$F$4,"m")*Tabela!$H$8,IF(J$6="NÃO",0,Tabela!$H$8))))</f>
        <v/>
      </c>
      <c r="K239" s="60" t="str">
        <f t="shared" si="49"/>
        <v/>
      </c>
      <c r="L239" s="30" t="str">
        <f t="shared" si="49"/>
        <v/>
      </c>
      <c r="M239" s="60" t="str">
        <f t="shared" si="49"/>
        <v/>
      </c>
      <c r="N239" s="30" t="str">
        <f t="shared" si="49"/>
        <v/>
      </c>
      <c r="O239" s="60" t="str">
        <f t="shared" si="49"/>
        <v/>
      </c>
      <c r="P239" s="30" t="str">
        <f t="shared" si="49"/>
        <v/>
      </c>
      <c r="Q239" s="60" t="str">
        <f t="shared" si="49"/>
        <v/>
      </c>
      <c r="R239" s="30" t="str">
        <f t="shared" si="49"/>
        <v/>
      </c>
      <c r="S239" s="60" t="str">
        <f>IF($A239="","",IF(S$6="NÃO",0,IF($A239=0,DATEDIF(ESTRUTURA!$F$3,ESTRUTURA!$F$4,"m")*Tabela!$H$17,Tabela!$H$17)))</f>
        <v/>
      </c>
      <c r="T239" s="30" t="str">
        <f>IF($A239="","",IF(T$6="NÃO",0,IF($A239=0,DATEDIF(ESTRUTURA!$F$3,ESTRUTURA!$F$4,"m")*Tabela!$H$18,Tabela!$H$18)))</f>
        <v/>
      </c>
      <c r="U239" s="60" t="str">
        <f t="shared" si="48"/>
        <v/>
      </c>
      <c r="V239" s="30" t="str">
        <f>IF($A239="","",IF(V$6="NÃO",0,IF($A239=0,DATEDIF(ESTRUTURA!$F$3,ESTRUTURA!$F$4,"m")*Tabela!$H$20,Tabela!$H$20)))</f>
        <v/>
      </c>
      <c r="W239" s="60" t="str">
        <f t="shared" si="48"/>
        <v/>
      </c>
      <c r="X239" s="30" t="str">
        <f t="shared" si="48"/>
        <v/>
      </c>
      <c r="Y239" s="60" t="str">
        <f>IF($A239="","",IF(Y$6="NÃO",0,IF(A239=0,Tabela!$H$23,IF(Y$7="mensal",Tabela!$H$23,IF(AND(MONTH(ESTRUTURA!C239)=MONTH(ESTRUTURA!$F$3),A239&gt;0),Tabela!$H$23,0)))))</f>
        <v/>
      </c>
      <c r="Z239" s="30" t="str">
        <f t="shared" si="48"/>
        <v/>
      </c>
      <c r="AA239" s="60" t="str">
        <f>IF($A239="","",IF(AA$6="NÃO",0,Tabela!$H$25*nm_séries))</f>
        <v/>
      </c>
      <c r="AB239" s="30" t="str">
        <f t="shared" si="48"/>
        <v/>
      </c>
      <c r="AC239" s="60" t="str">
        <f>IF($A239="","",IF(AC$6="NÃO",0,IF(A239=0,Tabela!$H$27,IF(MOD(A239,3)=0,Tabela!$H$27,0))))</f>
        <v/>
      </c>
      <c r="AD239" s="30" t="str">
        <f t="shared" si="48"/>
        <v/>
      </c>
      <c r="AE239" s="60" t="str">
        <f t="shared" si="48"/>
        <v/>
      </c>
      <c r="AF239" s="30" t="str">
        <f>IF($A239="","",IF(AF$6="NÃO",0,IF(AND(MONTH(ESTRUTURA!C239)=MONTH(ESTRUTURA!$F$3),A239&gt;0),Tabela!$H$30,0)))</f>
        <v/>
      </c>
      <c r="AG239" s="60" t="str">
        <f t="shared" si="48"/>
        <v/>
      </c>
      <c r="AH239" s="30" t="str">
        <f t="shared" si="48"/>
        <v/>
      </c>
      <c r="AI239" s="60" t="str">
        <f>IF($A239="","",IF(AI$6="NÃO",0,IF($A239=0,DATEDIF(ESTRUTURA!$F$3,ESTRUTURA!$F$4,"m")*Tabela!$H$33,Tabela!$H$33)))</f>
        <v/>
      </c>
      <c r="AJ239" s="30" t="str">
        <f t="shared" si="38"/>
        <v/>
      </c>
    </row>
    <row r="240" spans="1:36" x14ac:dyDescent="0.2">
      <c r="A240" s="66" t="str">
        <f>ESTRUTURA!A240</f>
        <v/>
      </c>
      <c r="B240" s="58">
        <f t="shared" si="44"/>
        <v>0</v>
      </c>
      <c r="C240" s="60" t="str">
        <f t="shared" si="49"/>
        <v/>
      </c>
      <c r="D240" s="30" t="str">
        <f t="shared" si="49"/>
        <v/>
      </c>
      <c r="E240" s="60" t="str">
        <f t="shared" si="49"/>
        <v/>
      </c>
      <c r="F240" s="30" t="str">
        <f>IF($A240="","",IF(F$6="NÃO",0,Tabela!$H$34*ESTRUTURA!$I$4))</f>
        <v/>
      </c>
      <c r="G240" s="60" t="str">
        <f t="shared" si="49"/>
        <v/>
      </c>
      <c r="H240" s="30" t="str">
        <f>IF($A240="","",IF(H$6="NÃO",0,IF($A240=0,DATEDIF(ESTRUTURA!$F$3,ESTRUTURA!$F$4,"m")*Tabela!$H$6,Tabela!$H$6)))</f>
        <v/>
      </c>
      <c r="I240" s="60" t="str">
        <f t="shared" si="49"/>
        <v/>
      </c>
      <c r="J240" s="30" t="str">
        <f>IF($A240="","",IF(J$6="NÃO",0,IF($A240=0,DATEDIF(ESTRUTURA!$F$3,ESTRUTURA!$F$4,"m")*Tabela!$H$8,IF(J$6="NÃO",0,Tabela!$H$8))))</f>
        <v/>
      </c>
      <c r="K240" s="60" t="str">
        <f t="shared" si="49"/>
        <v/>
      </c>
      <c r="L240" s="30" t="str">
        <f t="shared" si="49"/>
        <v/>
      </c>
      <c r="M240" s="60" t="str">
        <f t="shared" si="49"/>
        <v/>
      </c>
      <c r="N240" s="30" t="str">
        <f t="shared" si="49"/>
        <v/>
      </c>
      <c r="O240" s="60" t="str">
        <f t="shared" si="49"/>
        <v/>
      </c>
      <c r="P240" s="30" t="str">
        <f t="shared" si="49"/>
        <v/>
      </c>
      <c r="Q240" s="60" t="str">
        <f t="shared" si="49"/>
        <v/>
      </c>
      <c r="R240" s="30" t="str">
        <f t="shared" si="49"/>
        <v/>
      </c>
      <c r="S240" s="60" t="str">
        <f>IF($A240="","",IF(S$6="NÃO",0,IF($A240=0,DATEDIF(ESTRUTURA!$F$3,ESTRUTURA!$F$4,"m")*Tabela!$H$17,Tabela!$H$17)))</f>
        <v/>
      </c>
      <c r="T240" s="30" t="str">
        <f>IF($A240="","",IF(T$6="NÃO",0,IF($A240=0,DATEDIF(ESTRUTURA!$F$3,ESTRUTURA!$F$4,"m")*Tabela!$H$18,Tabela!$H$18)))</f>
        <v/>
      </c>
      <c r="U240" s="60" t="str">
        <f t="shared" si="48"/>
        <v/>
      </c>
      <c r="V240" s="30" t="str">
        <f>IF($A240="","",IF(V$6="NÃO",0,IF($A240=0,DATEDIF(ESTRUTURA!$F$3,ESTRUTURA!$F$4,"m")*Tabela!$H$20,Tabela!$H$20)))</f>
        <v/>
      </c>
      <c r="W240" s="60" t="str">
        <f t="shared" si="48"/>
        <v/>
      </c>
      <c r="X240" s="30" t="str">
        <f t="shared" si="48"/>
        <v/>
      </c>
      <c r="Y240" s="60" t="str">
        <f>IF($A240="","",IF(Y$6="NÃO",0,IF(A240=0,Tabela!$H$23,IF(Y$7="mensal",Tabela!$H$23,IF(AND(MONTH(ESTRUTURA!C240)=MONTH(ESTRUTURA!$F$3),A240&gt;0),Tabela!$H$23,0)))))</f>
        <v/>
      </c>
      <c r="Z240" s="30" t="str">
        <f t="shared" si="48"/>
        <v/>
      </c>
      <c r="AA240" s="60" t="str">
        <f>IF($A240="","",IF(AA$6="NÃO",0,Tabela!$H$25*nm_séries))</f>
        <v/>
      </c>
      <c r="AB240" s="30" t="str">
        <f t="shared" si="48"/>
        <v/>
      </c>
      <c r="AC240" s="60" t="str">
        <f>IF($A240="","",IF(AC$6="NÃO",0,IF(A240=0,Tabela!$H$27,IF(MOD(A240,3)=0,Tabela!$H$27,0))))</f>
        <v/>
      </c>
      <c r="AD240" s="30" t="str">
        <f t="shared" si="48"/>
        <v/>
      </c>
      <c r="AE240" s="60" t="str">
        <f t="shared" si="48"/>
        <v/>
      </c>
      <c r="AF240" s="30" t="str">
        <f>IF($A240="","",IF(AF$6="NÃO",0,IF(AND(MONTH(ESTRUTURA!C240)=MONTH(ESTRUTURA!$F$3),A240&gt;0),Tabela!$H$30,0)))</f>
        <v/>
      </c>
      <c r="AG240" s="60" t="str">
        <f t="shared" si="48"/>
        <v/>
      </c>
      <c r="AH240" s="30" t="str">
        <f t="shared" si="48"/>
        <v/>
      </c>
      <c r="AI240" s="60" t="str">
        <f>IF($A240="","",IF(AI$6="NÃO",0,IF($A240=0,DATEDIF(ESTRUTURA!$F$3,ESTRUTURA!$F$4,"m")*Tabela!$H$33,Tabela!$H$33)))</f>
        <v/>
      </c>
      <c r="AJ240" s="30" t="str">
        <f t="shared" si="38"/>
        <v/>
      </c>
    </row>
    <row r="241" spans="1:36" x14ac:dyDescent="0.2">
      <c r="A241" s="66" t="str">
        <f>ESTRUTURA!A241</f>
        <v/>
      </c>
      <c r="B241" s="58">
        <f t="shared" si="44"/>
        <v>0</v>
      </c>
      <c r="C241" s="60" t="str">
        <f t="shared" si="49"/>
        <v/>
      </c>
      <c r="D241" s="30" t="str">
        <f t="shared" si="49"/>
        <v/>
      </c>
      <c r="E241" s="60" t="str">
        <f t="shared" si="49"/>
        <v/>
      </c>
      <c r="F241" s="30" t="str">
        <f>IF($A241="","",IF(F$6="NÃO",0,Tabela!$H$34*ESTRUTURA!$I$4))</f>
        <v/>
      </c>
      <c r="G241" s="60" t="str">
        <f t="shared" si="49"/>
        <v/>
      </c>
      <c r="H241" s="30" t="str">
        <f>IF($A241="","",IF(H$6="NÃO",0,IF($A241=0,DATEDIF(ESTRUTURA!$F$3,ESTRUTURA!$F$4,"m")*Tabela!$H$6,Tabela!$H$6)))</f>
        <v/>
      </c>
      <c r="I241" s="60" t="str">
        <f t="shared" si="49"/>
        <v/>
      </c>
      <c r="J241" s="30" t="str">
        <f>IF($A241="","",IF(J$6="NÃO",0,IF($A241=0,DATEDIF(ESTRUTURA!$F$3,ESTRUTURA!$F$4,"m")*Tabela!$H$8,IF(J$6="NÃO",0,Tabela!$H$8))))</f>
        <v/>
      </c>
      <c r="K241" s="60" t="str">
        <f t="shared" si="49"/>
        <v/>
      </c>
      <c r="L241" s="30" t="str">
        <f t="shared" si="49"/>
        <v/>
      </c>
      <c r="M241" s="60" t="str">
        <f t="shared" si="49"/>
        <v/>
      </c>
      <c r="N241" s="30" t="str">
        <f t="shared" si="49"/>
        <v/>
      </c>
      <c r="O241" s="60" t="str">
        <f t="shared" si="49"/>
        <v/>
      </c>
      <c r="P241" s="30" t="str">
        <f t="shared" si="49"/>
        <v/>
      </c>
      <c r="Q241" s="60" t="str">
        <f t="shared" si="49"/>
        <v/>
      </c>
      <c r="R241" s="30" t="str">
        <f t="shared" si="49"/>
        <v/>
      </c>
      <c r="S241" s="60" t="str">
        <f>IF($A241="","",IF(S$6="NÃO",0,IF($A241=0,DATEDIF(ESTRUTURA!$F$3,ESTRUTURA!$F$4,"m")*Tabela!$H$17,Tabela!$H$17)))</f>
        <v/>
      </c>
      <c r="T241" s="30" t="str">
        <f>IF($A241="","",IF(T$6="NÃO",0,IF($A241=0,DATEDIF(ESTRUTURA!$F$3,ESTRUTURA!$F$4,"m")*Tabela!$H$18,Tabela!$H$18)))</f>
        <v/>
      </c>
      <c r="U241" s="60" t="str">
        <f t="shared" si="48"/>
        <v/>
      </c>
      <c r="V241" s="30" t="str">
        <f>IF($A241="","",IF(V$6="NÃO",0,IF($A241=0,DATEDIF(ESTRUTURA!$F$3,ESTRUTURA!$F$4,"m")*Tabela!$H$20,Tabela!$H$20)))</f>
        <v/>
      </c>
      <c r="W241" s="60" t="str">
        <f t="shared" si="48"/>
        <v/>
      </c>
      <c r="X241" s="30" t="str">
        <f t="shared" si="48"/>
        <v/>
      </c>
      <c r="Y241" s="60" t="str">
        <f>IF($A241="","",IF(Y$6="NÃO",0,IF(A241=0,Tabela!$H$23,IF(Y$7="mensal",Tabela!$H$23,IF(AND(MONTH(ESTRUTURA!C241)=MONTH(ESTRUTURA!$F$3),A241&gt;0),Tabela!$H$23,0)))))</f>
        <v/>
      </c>
      <c r="Z241" s="30" t="str">
        <f t="shared" si="48"/>
        <v/>
      </c>
      <c r="AA241" s="60" t="str">
        <f>IF($A241="","",IF(AA$6="NÃO",0,Tabela!$H$25*nm_séries))</f>
        <v/>
      </c>
      <c r="AB241" s="30" t="str">
        <f t="shared" si="48"/>
        <v/>
      </c>
      <c r="AC241" s="60" t="str">
        <f>IF($A241="","",IF(AC$6="NÃO",0,IF(A241=0,Tabela!$H$27,IF(MOD(A241,3)=0,Tabela!$H$27,0))))</f>
        <v/>
      </c>
      <c r="AD241" s="30" t="str">
        <f t="shared" si="48"/>
        <v/>
      </c>
      <c r="AE241" s="60" t="str">
        <f t="shared" si="48"/>
        <v/>
      </c>
      <c r="AF241" s="30" t="str">
        <f>IF($A241="","",IF(AF$6="NÃO",0,IF(AND(MONTH(ESTRUTURA!C241)=MONTH(ESTRUTURA!$F$3),A241&gt;0),Tabela!$H$30,0)))</f>
        <v/>
      </c>
      <c r="AG241" s="60" t="str">
        <f t="shared" si="48"/>
        <v/>
      </c>
      <c r="AH241" s="30" t="str">
        <f t="shared" si="48"/>
        <v/>
      </c>
      <c r="AI241" s="60" t="str">
        <f>IF($A241="","",IF(AI$6="NÃO",0,IF($A241=0,DATEDIF(ESTRUTURA!$F$3,ESTRUTURA!$F$4,"m")*Tabela!$H$33,Tabela!$H$33)))</f>
        <v/>
      </c>
      <c r="AJ241" s="30" t="str">
        <f t="shared" si="38"/>
        <v/>
      </c>
    </row>
    <row r="242" spans="1:36" x14ac:dyDescent="0.2">
      <c r="A242" s="66" t="str">
        <f>ESTRUTURA!A242</f>
        <v/>
      </c>
      <c r="B242" s="58">
        <f t="shared" si="44"/>
        <v>0</v>
      </c>
      <c r="C242" s="60" t="str">
        <f t="shared" si="49"/>
        <v/>
      </c>
      <c r="D242" s="30" t="str">
        <f t="shared" si="49"/>
        <v/>
      </c>
      <c r="E242" s="60" t="str">
        <f t="shared" si="49"/>
        <v/>
      </c>
      <c r="F242" s="30" t="str">
        <f>IF($A242="","",IF(F$6="NÃO",0,Tabela!$H$34*ESTRUTURA!$I$4))</f>
        <v/>
      </c>
      <c r="G242" s="60" t="str">
        <f t="shared" si="49"/>
        <v/>
      </c>
      <c r="H242" s="30" t="str">
        <f>IF($A242="","",IF(H$6="NÃO",0,IF($A242=0,DATEDIF(ESTRUTURA!$F$3,ESTRUTURA!$F$4,"m")*Tabela!$H$6,Tabela!$H$6)))</f>
        <v/>
      </c>
      <c r="I242" s="60" t="str">
        <f t="shared" si="49"/>
        <v/>
      </c>
      <c r="J242" s="30" t="str">
        <f>IF($A242="","",IF(J$6="NÃO",0,IF($A242=0,DATEDIF(ESTRUTURA!$F$3,ESTRUTURA!$F$4,"m")*Tabela!$H$8,IF(J$6="NÃO",0,Tabela!$H$8))))</f>
        <v/>
      </c>
      <c r="K242" s="60" t="str">
        <f t="shared" si="49"/>
        <v/>
      </c>
      <c r="L242" s="30" t="str">
        <f t="shared" si="49"/>
        <v/>
      </c>
      <c r="M242" s="60" t="str">
        <f t="shared" si="49"/>
        <v/>
      </c>
      <c r="N242" s="30" t="str">
        <f t="shared" si="49"/>
        <v/>
      </c>
      <c r="O242" s="60" t="str">
        <f t="shared" si="49"/>
        <v/>
      </c>
      <c r="P242" s="30" t="str">
        <f t="shared" si="49"/>
        <v/>
      </c>
      <c r="Q242" s="60" t="str">
        <f t="shared" si="49"/>
        <v/>
      </c>
      <c r="R242" s="30" t="str">
        <f t="shared" si="49"/>
        <v/>
      </c>
      <c r="S242" s="60" t="str">
        <f>IF($A242="","",IF(S$6="NÃO",0,IF($A242=0,DATEDIF(ESTRUTURA!$F$3,ESTRUTURA!$F$4,"m")*Tabela!$H$17,Tabela!$H$17)))</f>
        <v/>
      </c>
      <c r="T242" s="30" t="str">
        <f>IF($A242="","",IF(T$6="NÃO",0,IF($A242=0,DATEDIF(ESTRUTURA!$F$3,ESTRUTURA!$F$4,"m")*Tabela!$H$18,Tabela!$H$18)))</f>
        <v/>
      </c>
      <c r="U242" s="60" t="str">
        <f t="shared" si="48"/>
        <v/>
      </c>
      <c r="V242" s="30" t="str">
        <f>IF($A242="","",IF(V$6="NÃO",0,IF($A242=0,DATEDIF(ESTRUTURA!$F$3,ESTRUTURA!$F$4,"m")*Tabela!$H$20,Tabela!$H$20)))</f>
        <v/>
      </c>
      <c r="W242" s="60" t="str">
        <f t="shared" si="48"/>
        <v/>
      </c>
      <c r="X242" s="30" t="str">
        <f t="shared" si="48"/>
        <v/>
      </c>
      <c r="Y242" s="60" t="str">
        <f>IF($A242="","",IF(Y$6="NÃO",0,IF(A242=0,Tabela!$H$23,IF(Y$7="mensal",Tabela!$H$23,IF(AND(MONTH(ESTRUTURA!C242)=MONTH(ESTRUTURA!$F$3),A242&gt;0),Tabela!$H$23,0)))))</f>
        <v/>
      </c>
      <c r="Z242" s="30" t="str">
        <f t="shared" si="48"/>
        <v/>
      </c>
      <c r="AA242" s="60" t="str">
        <f>IF($A242="","",IF(AA$6="NÃO",0,Tabela!$H$25*nm_séries))</f>
        <v/>
      </c>
      <c r="AB242" s="30" t="str">
        <f t="shared" si="48"/>
        <v/>
      </c>
      <c r="AC242" s="60" t="str">
        <f>IF($A242="","",IF(AC$6="NÃO",0,IF(A242=0,Tabela!$H$27,IF(MOD(A242,3)=0,Tabela!$H$27,0))))</f>
        <v/>
      </c>
      <c r="AD242" s="30" t="str">
        <f t="shared" si="48"/>
        <v/>
      </c>
      <c r="AE242" s="60" t="str">
        <f t="shared" si="48"/>
        <v/>
      </c>
      <c r="AF242" s="30" t="str">
        <f>IF($A242="","",IF(AF$6="NÃO",0,IF(AND(MONTH(ESTRUTURA!C242)=MONTH(ESTRUTURA!$F$3),A242&gt;0),Tabela!$H$30,0)))</f>
        <v/>
      </c>
      <c r="AG242" s="60" t="str">
        <f t="shared" si="48"/>
        <v/>
      </c>
      <c r="AH242" s="30" t="str">
        <f t="shared" si="48"/>
        <v/>
      </c>
      <c r="AI242" s="60" t="str">
        <f>IF($A242="","",IF(AI$6="NÃO",0,IF($A242=0,DATEDIF(ESTRUTURA!$F$3,ESTRUTURA!$F$4,"m")*Tabela!$H$33,Tabela!$H$33)))</f>
        <v/>
      </c>
      <c r="AJ242" s="30" t="str">
        <f t="shared" si="38"/>
        <v/>
      </c>
    </row>
    <row r="243" spans="1:36" x14ac:dyDescent="0.2">
      <c r="A243" s="66" t="str">
        <f>ESTRUTURA!A243</f>
        <v/>
      </c>
      <c r="B243" s="58">
        <f t="shared" si="44"/>
        <v>0</v>
      </c>
      <c r="C243" s="60" t="str">
        <f t="shared" si="49"/>
        <v/>
      </c>
      <c r="D243" s="30" t="str">
        <f t="shared" si="49"/>
        <v/>
      </c>
      <c r="E243" s="60" t="str">
        <f t="shared" si="49"/>
        <v/>
      </c>
      <c r="F243" s="30" t="str">
        <f>IF($A243="","",IF(F$6="NÃO",0,Tabela!$H$34*ESTRUTURA!$I$4))</f>
        <v/>
      </c>
      <c r="G243" s="60" t="str">
        <f t="shared" si="49"/>
        <v/>
      </c>
      <c r="H243" s="30" t="str">
        <f>IF($A243="","",IF(H$6="NÃO",0,IF($A243=0,DATEDIF(ESTRUTURA!$F$3,ESTRUTURA!$F$4,"m")*Tabela!$H$6,Tabela!$H$6)))</f>
        <v/>
      </c>
      <c r="I243" s="60" t="str">
        <f t="shared" si="49"/>
        <v/>
      </c>
      <c r="J243" s="30" t="str">
        <f>IF($A243="","",IF(J$6="NÃO",0,IF($A243=0,DATEDIF(ESTRUTURA!$F$3,ESTRUTURA!$F$4,"m")*Tabela!$H$8,IF(J$6="NÃO",0,Tabela!$H$8))))</f>
        <v/>
      </c>
      <c r="K243" s="60" t="str">
        <f t="shared" si="49"/>
        <v/>
      </c>
      <c r="L243" s="30" t="str">
        <f t="shared" si="49"/>
        <v/>
      </c>
      <c r="M243" s="60" t="str">
        <f t="shared" si="49"/>
        <v/>
      </c>
      <c r="N243" s="30" t="str">
        <f t="shared" si="49"/>
        <v/>
      </c>
      <c r="O243" s="60" t="str">
        <f t="shared" si="49"/>
        <v/>
      </c>
      <c r="P243" s="30" t="str">
        <f t="shared" si="49"/>
        <v/>
      </c>
      <c r="Q243" s="60" t="str">
        <f t="shared" si="49"/>
        <v/>
      </c>
      <c r="R243" s="30" t="str">
        <f t="shared" si="49"/>
        <v/>
      </c>
      <c r="S243" s="60" t="str">
        <f>IF($A243="","",IF(S$6="NÃO",0,IF($A243=0,DATEDIF(ESTRUTURA!$F$3,ESTRUTURA!$F$4,"m")*Tabela!$H$17,Tabela!$H$17)))</f>
        <v/>
      </c>
      <c r="T243" s="30" t="str">
        <f>IF($A243="","",IF(T$6="NÃO",0,IF($A243=0,DATEDIF(ESTRUTURA!$F$3,ESTRUTURA!$F$4,"m")*Tabela!$H$18,Tabela!$H$18)))</f>
        <v/>
      </c>
      <c r="U243" s="60" t="str">
        <f t="shared" si="48"/>
        <v/>
      </c>
      <c r="V243" s="30" t="str">
        <f>IF($A243="","",IF(V$6="NÃO",0,IF($A243=0,DATEDIF(ESTRUTURA!$F$3,ESTRUTURA!$F$4,"m")*Tabela!$H$20,Tabela!$H$20)))</f>
        <v/>
      </c>
      <c r="W243" s="60" t="str">
        <f t="shared" si="48"/>
        <v/>
      </c>
      <c r="X243" s="30" t="str">
        <f t="shared" si="48"/>
        <v/>
      </c>
      <c r="Y243" s="60" t="str">
        <f>IF($A243="","",IF(Y$6="NÃO",0,IF(A243=0,Tabela!$H$23,IF(Y$7="mensal",Tabela!$H$23,IF(AND(MONTH(ESTRUTURA!C243)=MONTH(ESTRUTURA!$F$3),A243&gt;0),Tabela!$H$23,0)))))</f>
        <v/>
      </c>
      <c r="Z243" s="30" t="str">
        <f t="shared" si="48"/>
        <v/>
      </c>
      <c r="AA243" s="60" t="str">
        <f>IF($A243="","",IF(AA$6="NÃO",0,Tabela!$H$25*nm_séries))</f>
        <v/>
      </c>
      <c r="AB243" s="30" t="str">
        <f t="shared" si="48"/>
        <v/>
      </c>
      <c r="AC243" s="60" t="str">
        <f>IF($A243="","",IF(AC$6="NÃO",0,IF(A243=0,Tabela!$H$27,IF(MOD(A243,3)=0,Tabela!$H$27,0))))</f>
        <v/>
      </c>
      <c r="AD243" s="30" t="str">
        <f t="shared" si="48"/>
        <v/>
      </c>
      <c r="AE243" s="60" t="str">
        <f t="shared" si="48"/>
        <v/>
      </c>
      <c r="AF243" s="30" t="str">
        <f>IF($A243="","",IF(AF$6="NÃO",0,IF(AND(MONTH(ESTRUTURA!C243)=MONTH(ESTRUTURA!$F$3),A243&gt;0),Tabela!$H$30,0)))</f>
        <v/>
      </c>
      <c r="AG243" s="60" t="str">
        <f t="shared" si="48"/>
        <v/>
      </c>
      <c r="AH243" s="30" t="str">
        <f t="shared" si="48"/>
        <v/>
      </c>
      <c r="AI243" s="60" t="str">
        <f>IF($A243="","",IF(AI$6="NÃO",0,IF($A243=0,DATEDIF(ESTRUTURA!$F$3,ESTRUTURA!$F$4,"m")*Tabela!$H$33,Tabela!$H$33)))</f>
        <v/>
      </c>
      <c r="AJ243" s="30" t="str">
        <f t="shared" si="38"/>
        <v/>
      </c>
    </row>
    <row r="244" spans="1:36" x14ac:dyDescent="0.2">
      <c r="A244" s="66" t="str">
        <f>ESTRUTURA!A244</f>
        <v/>
      </c>
      <c r="B244" s="58">
        <f t="shared" si="44"/>
        <v>0</v>
      </c>
      <c r="C244" s="60" t="str">
        <f t="shared" si="49"/>
        <v/>
      </c>
      <c r="D244" s="30" t="str">
        <f t="shared" si="49"/>
        <v/>
      </c>
      <c r="E244" s="60" t="str">
        <f t="shared" si="49"/>
        <v/>
      </c>
      <c r="F244" s="30" t="str">
        <f>IF($A244="","",IF(F$6="NÃO",0,Tabela!$H$34*ESTRUTURA!$I$4))</f>
        <v/>
      </c>
      <c r="G244" s="60" t="str">
        <f t="shared" si="49"/>
        <v/>
      </c>
      <c r="H244" s="30" t="str">
        <f>IF($A244="","",IF(H$6="NÃO",0,IF($A244=0,DATEDIF(ESTRUTURA!$F$3,ESTRUTURA!$F$4,"m")*Tabela!$H$6,Tabela!$H$6)))</f>
        <v/>
      </c>
      <c r="I244" s="60" t="str">
        <f t="shared" si="49"/>
        <v/>
      </c>
      <c r="J244" s="30" t="str">
        <f>IF($A244="","",IF(J$6="NÃO",0,IF($A244=0,DATEDIF(ESTRUTURA!$F$3,ESTRUTURA!$F$4,"m")*Tabela!$H$8,IF(J$6="NÃO",0,Tabela!$H$8))))</f>
        <v/>
      </c>
      <c r="K244" s="60" t="str">
        <f t="shared" si="49"/>
        <v/>
      </c>
      <c r="L244" s="30" t="str">
        <f t="shared" si="49"/>
        <v/>
      </c>
      <c r="M244" s="60" t="str">
        <f t="shared" si="49"/>
        <v/>
      </c>
      <c r="N244" s="30" t="str">
        <f t="shared" si="49"/>
        <v/>
      </c>
      <c r="O244" s="60" t="str">
        <f t="shared" si="49"/>
        <v/>
      </c>
      <c r="P244" s="30" t="str">
        <f t="shared" si="49"/>
        <v/>
      </c>
      <c r="Q244" s="60" t="str">
        <f t="shared" si="49"/>
        <v/>
      </c>
      <c r="R244" s="30" t="str">
        <f t="shared" si="49"/>
        <v/>
      </c>
      <c r="S244" s="60" t="str">
        <f>IF($A244="","",IF(S$6="NÃO",0,IF($A244=0,DATEDIF(ESTRUTURA!$F$3,ESTRUTURA!$F$4,"m")*Tabela!$H$17,Tabela!$H$17)))</f>
        <v/>
      </c>
      <c r="T244" s="30" t="str">
        <f>IF($A244="","",IF(T$6="NÃO",0,IF($A244=0,DATEDIF(ESTRUTURA!$F$3,ESTRUTURA!$F$4,"m")*Tabela!$H$18,Tabela!$H$18)))</f>
        <v/>
      </c>
      <c r="U244" s="60" t="str">
        <f t="shared" si="48"/>
        <v/>
      </c>
      <c r="V244" s="30" t="str">
        <f>IF($A244="","",IF(V$6="NÃO",0,IF($A244=0,DATEDIF(ESTRUTURA!$F$3,ESTRUTURA!$F$4,"m")*Tabela!$H$20,Tabela!$H$20)))</f>
        <v/>
      </c>
      <c r="W244" s="60" t="str">
        <f t="shared" si="48"/>
        <v/>
      </c>
      <c r="X244" s="30" t="str">
        <f t="shared" si="48"/>
        <v/>
      </c>
      <c r="Y244" s="60" t="str">
        <f>IF($A244="","",IF(Y$6="NÃO",0,IF(A244=0,Tabela!$H$23,IF(Y$7="mensal",Tabela!$H$23,IF(AND(MONTH(ESTRUTURA!C244)=MONTH(ESTRUTURA!$F$3),A244&gt;0),Tabela!$H$23,0)))))</f>
        <v/>
      </c>
      <c r="Z244" s="30" t="str">
        <f t="shared" si="48"/>
        <v/>
      </c>
      <c r="AA244" s="60" t="str">
        <f>IF($A244="","",IF(AA$6="NÃO",0,Tabela!$H$25*nm_séries))</f>
        <v/>
      </c>
      <c r="AB244" s="30" t="str">
        <f t="shared" si="48"/>
        <v/>
      </c>
      <c r="AC244" s="60" t="str">
        <f>IF($A244="","",IF(AC$6="NÃO",0,IF(A244=0,Tabela!$H$27,IF(MOD(A244,3)=0,Tabela!$H$27,0))))</f>
        <v/>
      </c>
      <c r="AD244" s="30" t="str">
        <f t="shared" si="48"/>
        <v/>
      </c>
      <c r="AE244" s="60" t="str">
        <f t="shared" si="48"/>
        <v/>
      </c>
      <c r="AF244" s="30" t="str">
        <f>IF($A244="","",IF(AF$6="NÃO",0,IF(AND(MONTH(ESTRUTURA!C244)=MONTH(ESTRUTURA!$F$3),A244&gt;0),Tabela!$H$30,0)))</f>
        <v/>
      </c>
      <c r="AG244" s="60" t="str">
        <f t="shared" si="48"/>
        <v/>
      </c>
      <c r="AH244" s="30" t="str">
        <f t="shared" si="48"/>
        <v/>
      </c>
      <c r="AI244" s="60" t="str">
        <f>IF($A244="","",IF(AI$6="NÃO",0,IF($A244=0,DATEDIF(ESTRUTURA!$F$3,ESTRUTURA!$F$4,"m")*Tabela!$H$33,Tabela!$H$33)))</f>
        <v/>
      </c>
      <c r="AJ244" s="30" t="str">
        <f t="shared" si="38"/>
        <v/>
      </c>
    </row>
    <row r="245" spans="1:36" x14ac:dyDescent="0.2">
      <c r="A245" s="66" t="str">
        <f>ESTRUTURA!A245</f>
        <v/>
      </c>
      <c r="B245" s="58">
        <f t="shared" si="44"/>
        <v>0</v>
      </c>
      <c r="C245" s="60" t="str">
        <f t="shared" si="49"/>
        <v/>
      </c>
      <c r="D245" s="30" t="str">
        <f t="shared" si="49"/>
        <v/>
      </c>
      <c r="E245" s="60" t="str">
        <f t="shared" si="49"/>
        <v/>
      </c>
      <c r="F245" s="30" t="str">
        <f>IF($A245="","",IF(F$6="NÃO",0,Tabela!$H$34*ESTRUTURA!$I$4))</f>
        <v/>
      </c>
      <c r="G245" s="60" t="str">
        <f t="shared" si="49"/>
        <v/>
      </c>
      <c r="H245" s="30" t="str">
        <f>IF($A245="","",IF(H$6="NÃO",0,IF($A245=0,DATEDIF(ESTRUTURA!$F$3,ESTRUTURA!$F$4,"m")*Tabela!$H$6,Tabela!$H$6)))</f>
        <v/>
      </c>
      <c r="I245" s="60" t="str">
        <f t="shared" si="49"/>
        <v/>
      </c>
      <c r="J245" s="30" t="str">
        <f>IF($A245="","",IF(J$6="NÃO",0,IF($A245=0,DATEDIF(ESTRUTURA!$F$3,ESTRUTURA!$F$4,"m")*Tabela!$H$8,IF(J$6="NÃO",0,Tabela!$H$8))))</f>
        <v/>
      </c>
      <c r="K245" s="60" t="str">
        <f t="shared" si="49"/>
        <v/>
      </c>
      <c r="L245" s="30" t="str">
        <f t="shared" si="49"/>
        <v/>
      </c>
      <c r="M245" s="60" t="str">
        <f t="shared" si="49"/>
        <v/>
      </c>
      <c r="N245" s="30" t="str">
        <f t="shared" si="49"/>
        <v/>
      </c>
      <c r="O245" s="60" t="str">
        <f t="shared" si="49"/>
        <v/>
      </c>
      <c r="P245" s="30" t="str">
        <f t="shared" si="49"/>
        <v/>
      </c>
      <c r="Q245" s="60" t="str">
        <f t="shared" si="49"/>
        <v/>
      </c>
      <c r="R245" s="30" t="str">
        <f t="shared" si="49"/>
        <v/>
      </c>
      <c r="S245" s="60" t="str">
        <f>IF($A245="","",IF(S$6="NÃO",0,IF($A245=0,DATEDIF(ESTRUTURA!$F$3,ESTRUTURA!$F$4,"m")*Tabela!$H$17,Tabela!$H$17)))</f>
        <v/>
      </c>
      <c r="T245" s="30" t="str">
        <f>IF($A245="","",IF(T$6="NÃO",0,IF($A245=0,DATEDIF(ESTRUTURA!$F$3,ESTRUTURA!$F$4,"m")*Tabela!$H$18,Tabela!$H$18)))</f>
        <v/>
      </c>
      <c r="U245" s="60" t="str">
        <f t="shared" si="48"/>
        <v/>
      </c>
      <c r="V245" s="30" t="str">
        <f>IF($A245="","",IF(V$6="NÃO",0,IF($A245=0,DATEDIF(ESTRUTURA!$F$3,ESTRUTURA!$F$4,"m")*Tabela!$H$20,Tabela!$H$20)))</f>
        <v/>
      </c>
      <c r="W245" s="60" t="str">
        <f t="shared" si="48"/>
        <v/>
      </c>
      <c r="X245" s="30" t="str">
        <f t="shared" si="48"/>
        <v/>
      </c>
      <c r="Y245" s="60" t="str">
        <f>IF($A245="","",IF(Y$6="NÃO",0,IF(A245=0,Tabela!$H$23,IF(Y$7="mensal",Tabela!$H$23,IF(AND(MONTH(ESTRUTURA!C245)=MONTH(ESTRUTURA!$F$3),A245&gt;0),Tabela!$H$23,0)))))</f>
        <v/>
      </c>
      <c r="Z245" s="30" t="str">
        <f t="shared" si="48"/>
        <v/>
      </c>
      <c r="AA245" s="60" t="str">
        <f>IF($A245="","",IF(AA$6="NÃO",0,Tabela!$H$25*nm_séries))</f>
        <v/>
      </c>
      <c r="AB245" s="30" t="str">
        <f t="shared" si="48"/>
        <v/>
      </c>
      <c r="AC245" s="60" t="str">
        <f>IF($A245="","",IF(AC$6="NÃO",0,IF(A245=0,Tabela!$H$27,IF(MOD(A245,3)=0,Tabela!$H$27,0))))</f>
        <v/>
      </c>
      <c r="AD245" s="30" t="str">
        <f t="shared" si="48"/>
        <v/>
      </c>
      <c r="AE245" s="60" t="str">
        <f t="shared" si="48"/>
        <v/>
      </c>
      <c r="AF245" s="30" t="str">
        <f>IF($A245="","",IF(AF$6="NÃO",0,IF(AND(MONTH(ESTRUTURA!C245)=MONTH(ESTRUTURA!$F$3),A245&gt;0),Tabela!$H$30,0)))</f>
        <v/>
      </c>
      <c r="AG245" s="60" t="str">
        <f t="shared" si="48"/>
        <v/>
      </c>
      <c r="AH245" s="30" t="str">
        <f t="shared" si="48"/>
        <v/>
      </c>
      <c r="AI245" s="60" t="str">
        <f>IF($A245="","",IF(AI$6="NÃO",0,IF($A245=0,DATEDIF(ESTRUTURA!$F$3,ESTRUTURA!$F$4,"m")*Tabela!$H$33,Tabela!$H$33)))</f>
        <v/>
      </c>
      <c r="AJ245" s="30" t="str">
        <f t="shared" si="38"/>
        <v/>
      </c>
    </row>
    <row r="246" spans="1:36" x14ac:dyDescent="0.2">
      <c r="A246" s="66" t="str">
        <f>ESTRUTURA!A246</f>
        <v/>
      </c>
      <c r="B246" s="58">
        <f t="shared" si="44"/>
        <v>0</v>
      </c>
      <c r="C246" s="60" t="str">
        <f t="shared" si="49"/>
        <v/>
      </c>
      <c r="D246" s="30" t="str">
        <f t="shared" si="49"/>
        <v/>
      </c>
      <c r="E246" s="60" t="str">
        <f t="shared" si="49"/>
        <v/>
      </c>
      <c r="F246" s="30" t="str">
        <f>IF($A246="","",IF(F$6="NÃO",0,Tabela!$H$34*ESTRUTURA!$I$4))</f>
        <v/>
      </c>
      <c r="G246" s="60" t="str">
        <f t="shared" si="49"/>
        <v/>
      </c>
      <c r="H246" s="30" t="str">
        <f>IF($A246="","",IF(H$6="NÃO",0,IF($A246=0,DATEDIF(ESTRUTURA!$F$3,ESTRUTURA!$F$4,"m")*Tabela!$H$6,Tabela!$H$6)))</f>
        <v/>
      </c>
      <c r="I246" s="60" t="str">
        <f t="shared" si="49"/>
        <v/>
      </c>
      <c r="J246" s="30" t="str">
        <f>IF($A246="","",IF(J$6="NÃO",0,IF($A246=0,DATEDIF(ESTRUTURA!$F$3,ESTRUTURA!$F$4,"m")*Tabela!$H$8,IF(J$6="NÃO",0,Tabela!$H$8))))</f>
        <v/>
      </c>
      <c r="K246" s="60" t="str">
        <f t="shared" si="49"/>
        <v/>
      </c>
      <c r="L246" s="30" t="str">
        <f t="shared" si="49"/>
        <v/>
      </c>
      <c r="M246" s="60" t="str">
        <f t="shared" si="49"/>
        <v/>
      </c>
      <c r="N246" s="30" t="str">
        <f t="shared" si="49"/>
        <v/>
      </c>
      <c r="O246" s="60" t="str">
        <f t="shared" si="49"/>
        <v/>
      </c>
      <c r="P246" s="30" t="str">
        <f t="shared" si="49"/>
        <v/>
      </c>
      <c r="Q246" s="60" t="str">
        <f t="shared" si="49"/>
        <v/>
      </c>
      <c r="R246" s="30" t="str">
        <f t="shared" si="49"/>
        <v/>
      </c>
      <c r="S246" s="60" t="str">
        <f>IF($A246="","",IF(S$6="NÃO",0,IF($A246=0,DATEDIF(ESTRUTURA!$F$3,ESTRUTURA!$F$4,"m")*Tabela!$H$17,Tabela!$H$17)))</f>
        <v/>
      </c>
      <c r="T246" s="30" t="str">
        <f>IF($A246="","",IF(T$6="NÃO",0,IF($A246=0,DATEDIF(ESTRUTURA!$F$3,ESTRUTURA!$F$4,"m")*Tabela!$H$18,Tabela!$H$18)))</f>
        <v/>
      </c>
      <c r="U246" s="60" t="str">
        <f t="shared" si="48"/>
        <v/>
      </c>
      <c r="V246" s="30" t="str">
        <f>IF($A246="","",IF(V$6="NÃO",0,IF($A246=0,DATEDIF(ESTRUTURA!$F$3,ESTRUTURA!$F$4,"m")*Tabela!$H$20,Tabela!$H$20)))</f>
        <v/>
      </c>
      <c r="W246" s="60" t="str">
        <f t="shared" si="48"/>
        <v/>
      </c>
      <c r="X246" s="30" t="str">
        <f t="shared" si="48"/>
        <v/>
      </c>
      <c r="Y246" s="60" t="str">
        <f>IF($A246="","",IF(Y$6="NÃO",0,IF(A246=0,Tabela!$H$23,IF(Y$7="mensal",Tabela!$H$23,IF(AND(MONTH(ESTRUTURA!C246)=MONTH(ESTRUTURA!$F$3),A246&gt;0),Tabela!$H$23,0)))))</f>
        <v/>
      </c>
      <c r="Z246" s="30" t="str">
        <f t="shared" si="48"/>
        <v/>
      </c>
      <c r="AA246" s="60" t="str">
        <f>IF($A246="","",IF(AA$6="NÃO",0,Tabela!$H$25*nm_séries))</f>
        <v/>
      </c>
      <c r="AB246" s="30" t="str">
        <f t="shared" si="48"/>
        <v/>
      </c>
      <c r="AC246" s="60" t="str">
        <f>IF($A246="","",IF(AC$6="NÃO",0,IF(A246=0,Tabela!$H$27,IF(MOD(A246,3)=0,Tabela!$H$27,0))))</f>
        <v/>
      </c>
      <c r="AD246" s="30" t="str">
        <f t="shared" si="48"/>
        <v/>
      </c>
      <c r="AE246" s="60" t="str">
        <f t="shared" si="48"/>
        <v/>
      </c>
      <c r="AF246" s="30" t="str">
        <f>IF($A246="","",IF(AF$6="NÃO",0,IF(AND(MONTH(ESTRUTURA!C246)=MONTH(ESTRUTURA!$F$3),A246&gt;0),Tabela!$H$30,0)))</f>
        <v/>
      </c>
      <c r="AG246" s="60" t="str">
        <f t="shared" si="48"/>
        <v/>
      </c>
      <c r="AH246" s="30" t="str">
        <f t="shared" si="48"/>
        <v/>
      </c>
      <c r="AI246" s="60" t="str">
        <f>IF($A246="","",IF(AI$6="NÃO",0,IF($A246=0,DATEDIF(ESTRUTURA!$F$3,ESTRUTURA!$F$4,"m")*Tabela!$H$33,Tabela!$H$33)))</f>
        <v/>
      </c>
      <c r="AJ246" s="30" t="str">
        <f t="shared" si="38"/>
        <v/>
      </c>
    </row>
    <row r="247" spans="1:36" x14ac:dyDescent="0.2">
      <c r="A247" s="66" t="str">
        <f>ESTRUTURA!A247</f>
        <v/>
      </c>
      <c r="B247" s="58">
        <f t="shared" si="44"/>
        <v>0</v>
      </c>
      <c r="C247" s="60" t="str">
        <f t="shared" si="49"/>
        <v/>
      </c>
      <c r="D247" s="30" t="str">
        <f t="shared" si="49"/>
        <v/>
      </c>
      <c r="E247" s="60" t="str">
        <f t="shared" si="49"/>
        <v/>
      </c>
      <c r="F247" s="30" t="str">
        <f>IF($A247="","",IF(F$6="NÃO",0,Tabela!$H$34*ESTRUTURA!$I$4))</f>
        <v/>
      </c>
      <c r="G247" s="60" t="str">
        <f t="shared" si="49"/>
        <v/>
      </c>
      <c r="H247" s="30" t="str">
        <f>IF($A247="","",IF(H$6="NÃO",0,IF($A247=0,DATEDIF(ESTRUTURA!$F$3,ESTRUTURA!$F$4,"m")*Tabela!$H$6,Tabela!$H$6)))</f>
        <v/>
      </c>
      <c r="I247" s="60" t="str">
        <f t="shared" si="49"/>
        <v/>
      </c>
      <c r="J247" s="30" t="str">
        <f>IF($A247="","",IF(J$6="NÃO",0,IF($A247=0,DATEDIF(ESTRUTURA!$F$3,ESTRUTURA!$F$4,"m")*Tabela!$H$8,IF(J$6="NÃO",0,Tabela!$H$8))))</f>
        <v/>
      </c>
      <c r="K247" s="60" t="str">
        <f t="shared" si="49"/>
        <v/>
      </c>
      <c r="L247" s="30" t="str">
        <f t="shared" si="49"/>
        <v/>
      </c>
      <c r="M247" s="60" t="str">
        <f t="shared" si="49"/>
        <v/>
      </c>
      <c r="N247" s="30" t="str">
        <f t="shared" si="49"/>
        <v/>
      </c>
      <c r="O247" s="60" t="str">
        <f t="shared" si="49"/>
        <v/>
      </c>
      <c r="P247" s="30" t="str">
        <f t="shared" si="49"/>
        <v/>
      </c>
      <c r="Q247" s="60" t="str">
        <f t="shared" si="49"/>
        <v/>
      </c>
      <c r="R247" s="30" t="str">
        <f t="shared" si="49"/>
        <v/>
      </c>
      <c r="S247" s="60" t="str">
        <f>IF($A247="","",IF(S$6="NÃO",0,IF($A247=0,DATEDIF(ESTRUTURA!$F$3,ESTRUTURA!$F$4,"m")*Tabela!$H$17,Tabela!$H$17)))</f>
        <v/>
      </c>
      <c r="T247" s="30" t="str">
        <f>IF($A247="","",IF(T$6="NÃO",0,IF($A247=0,DATEDIF(ESTRUTURA!$F$3,ESTRUTURA!$F$4,"m")*Tabela!$H$18,Tabela!$H$18)))</f>
        <v/>
      </c>
      <c r="U247" s="60" t="str">
        <f t="shared" si="48"/>
        <v/>
      </c>
      <c r="V247" s="30" t="str">
        <f>IF($A247="","",IF(V$6="NÃO",0,IF($A247=0,DATEDIF(ESTRUTURA!$F$3,ESTRUTURA!$F$4,"m")*Tabela!$H$20,Tabela!$H$20)))</f>
        <v/>
      </c>
      <c r="W247" s="60" t="str">
        <f t="shared" si="48"/>
        <v/>
      </c>
      <c r="X247" s="30" t="str">
        <f t="shared" si="48"/>
        <v/>
      </c>
      <c r="Y247" s="60" t="str">
        <f>IF($A247="","",IF(Y$6="NÃO",0,IF(A247=0,Tabela!$H$23,IF(Y$7="mensal",Tabela!$H$23,IF(AND(MONTH(ESTRUTURA!C247)=MONTH(ESTRUTURA!$F$3),A247&gt;0),Tabela!$H$23,0)))))</f>
        <v/>
      </c>
      <c r="Z247" s="30" t="str">
        <f t="shared" si="48"/>
        <v/>
      </c>
      <c r="AA247" s="60" t="str">
        <f>IF($A247="","",IF(AA$6="NÃO",0,Tabela!$H$25*nm_séries))</f>
        <v/>
      </c>
      <c r="AB247" s="30" t="str">
        <f t="shared" si="48"/>
        <v/>
      </c>
      <c r="AC247" s="60" t="str">
        <f>IF($A247="","",IF(AC$6="NÃO",0,IF(A247=0,Tabela!$H$27,IF(MOD(A247,3)=0,Tabela!$H$27,0))))</f>
        <v/>
      </c>
      <c r="AD247" s="30" t="str">
        <f t="shared" si="48"/>
        <v/>
      </c>
      <c r="AE247" s="60" t="str">
        <f t="shared" si="48"/>
        <v/>
      </c>
      <c r="AF247" s="30" t="str">
        <f>IF($A247="","",IF(AF$6="NÃO",0,IF(AND(MONTH(ESTRUTURA!C247)=MONTH(ESTRUTURA!$F$3),A247&gt;0),Tabela!$H$30,0)))</f>
        <v/>
      </c>
      <c r="AG247" s="60" t="str">
        <f t="shared" si="48"/>
        <v/>
      </c>
      <c r="AH247" s="30" t="str">
        <f t="shared" si="48"/>
        <v/>
      </c>
      <c r="AI247" s="60" t="str">
        <f>IF($A247="","",IF(AI$6="NÃO",0,IF($A247=0,DATEDIF(ESTRUTURA!$F$3,ESTRUTURA!$F$4,"m")*Tabela!$H$33,Tabela!$H$33)))</f>
        <v/>
      </c>
      <c r="AJ247" s="30" t="str">
        <f t="shared" si="38"/>
        <v/>
      </c>
    </row>
    <row r="248" spans="1:36" x14ac:dyDescent="0.2">
      <c r="A248" s="66" t="str">
        <f>ESTRUTURA!A248</f>
        <v/>
      </c>
      <c r="B248" s="58">
        <f t="shared" si="44"/>
        <v>0</v>
      </c>
      <c r="C248" s="60" t="str">
        <f t="shared" si="49"/>
        <v/>
      </c>
      <c r="D248" s="30" t="str">
        <f t="shared" si="49"/>
        <v/>
      </c>
      <c r="E248" s="60" t="str">
        <f t="shared" si="49"/>
        <v/>
      </c>
      <c r="F248" s="30" t="str">
        <f>IF($A248="","",IF(F$6="NÃO",0,Tabela!$H$34*ESTRUTURA!$I$4))</f>
        <v/>
      </c>
      <c r="G248" s="60" t="str">
        <f t="shared" si="49"/>
        <v/>
      </c>
      <c r="H248" s="30" t="str">
        <f>IF($A248="","",IF(H$6="NÃO",0,IF($A248=0,DATEDIF(ESTRUTURA!$F$3,ESTRUTURA!$F$4,"m")*Tabela!$H$6,Tabela!$H$6)))</f>
        <v/>
      </c>
      <c r="I248" s="60" t="str">
        <f t="shared" si="49"/>
        <v/>
      </c>
      <c r="J248" s="30" t="str">
        <f>IF($A248="","",IF(J$6="NÃO",0,IF($A248=0,DATEDIF(ESTRUTURA!$F$3,ESTRUTURA!$F$4,"m")*Tabela!$H$8,IF(J$6="NÃO",0,Tabela!$H$8))))</f>
        <v/>
      </c>
      <c r="K248" s="60" t="str">
        <f t="shared" si="49"/>
        <v/>
      </c>
      <c r="L248" s="30" t="str">
        <f t="shared" si="49"/>
        <v/>
      </c>
      <c r="M248" s="60" t="str">
        <f t="shared" si="49"/>
        <v/>
      </c>
      <c r="N248" s="30" t="str">
        <f t="shared" si="49"/>
        <v/>
      </c>
      <c r="O248" s="60" t="str">
        <f t="shared" si="49"/>
        <v/>
      </c>
      <c r="P248" s="30" t="str">
        <f t="shared" si="49"/>
        <v/>
      </c>
      <c r="Q248" s="60" t="str">
        <f t="shared" si="49"/>
        <v/>
      </c>
      <c r="R248" s="30" t="str">
        <f t="shared" si="49"/>
        <v/>
      </c>
      <c r="S248" s="60" t="str">
        <f>IF($A248="","",IF(S$6="NÃO",0,IF($A248=0,DATEDIF(ESTRUTURA!$F$3,ESTRUTURA!$F$4,"m")*Tabela!$H$17,Tabela!$H$17)))</f>
        <v/>
      </c>
      <c r="T248" s="30" t="str">
        <f>IF($A248="","",IF(T$6="NÃO",0,IF($A248=0,DATEDIF(ESTRUTURA!$F$3,ESTRUTURA!$F$4,"m")*Tabela!$H$18,Tabela!$H$18)))</f>
        <v/>
      </c>
      <c r="U248" s="60" t="str">
        <f t="shared" si="48"/>
        <v/>
      </c>
      <c r="V248" s="30" t="str">
        <f>IF($A248="","",IF(V$6="NÃO",0,IF($A248=0,DATEDIF(ESTRUTURA!$F$3,ESTRUTURA!$F$4,"m")*Tabela!$H$20,Tabela!$H$20)))</f>
        <v/>
      </c>
      <c r="W248" s="60" t="str">
        <f t="shared" si="48"/>
        <v/>
      </c>
      <c r="X248" s="30" t="str">
        <f t="shared" si="48"/>
        <v/>
      </c>
      <c r="Y248" s="60" t="str">
        <f>IF($A248="","",IF(Y$6="NÃO",0,IF(A248=0,Tabela!$H$23,IF(Y$7="mensal",Tabela!$H$23,IF(AND(MONTH(ESTRUTURA!C248)=MONTH(ESTRUTURA!$F$3),A248&gt;0),Tabela!$H$23,0)))))</f>
        <v/>
      </c>
      <c r="Z248" s="30" t="str">
        <f t="shared" si="48"/>
        <v/>
      </c>
      <c r="AA248" s="60" t="str">
        <f>IF($A248="","",IF(AA$6="NÃO",0,Tabela!$H$25*nm_séries))</f>
        <v/>
      </c>
      <c r="AB248" s="30" t="str">
        <f t="shared" si="48"/>
        <v/>
      </c>
      <c r="AC248" s="60" t="str">
        <f>IF($A248="","",IF(AC$6="NÃO",0,IF(A248=0,Tabela!$H$27,IF(MOD(A248,3)=0,Tabela!$H$27,0))))</f>
        <v/>
      </c>
      <c r="AD248" s="30" t="str">
        <f t="shared" si="48"/>
        <v/>
      </c>
      <c r="AE248" s="60" t="str">
        <f t="shared" si="48"/>
        <v/>
      </c>
      <c r="AF248" s="30" t="str">
        <f>IF($A248="","",IF(AF$6="NÃO",0,IF(AND(MONTH(ESTRUTURA!C248)=MONTH(ESTRUTURA!$F$3),A248&gt;0),Tabela!$H$30,0)))</f>
        <v/>
      </c>
      <c r="AG248" s="60" t="str">
        <f t="shared" si="48"/>
        <v/>
      </c>
      <c r="AH248" s="30" t="str">
        <f t="shared" si="48"/>
        <v/>
      </c>
      <c r="AI248" s="60" t="str">
        <f>IF($A248="","",IF(AI$6="NÃO",0,IF($A248=0,DATEDIF(ESTRUTURA!$F$3,ESTRUTURA!$F$4,"m")*Tabela!$H$33,Tabela!$H$33)))</f>
        <v/>
      </c>
      <c r="AJ248" s="30" t="str">
        <f t="shared" si="38"/>
        <v/>
      </c>
    </row>
    <row r="249" spans="1:36" x14ac:dyDescent="0.2">
      <c r="A249" s="66" t="str">
        <f>ESTRUTURA!A249</f>
        <v/>
      </c>
      <c r="B249" s="58">
        <f t="shared" si="44"/>
        <v>0</v>
      </c>
      <c r="C249" s="60" t="str">
        <f t="shared" si="49"/>
        <v/>
      </c>
      <c r="D249" s="30" t="str">
        <f t="shared" si="49"/>
        <v/>
      </c>
      <c r="E249" s="60" t="str">
        <f t="shared" si="49"/>
        <v/>
      </c>
      <c r="F249" s="30" t="str">
        <f>IF($A249="","",IF(F$6="NÃO",0,Tabela!$H$34*ESTRUTURA!$I$4))</f>
        <v/>
      </c>
      <c r="G249" s="60" t="str">
        <f t="shared" si="49"/>
        <v/>
      </c>
      <c r="H249" s="30" t="str">
        <f>IF($A249="","",IF(H$6="NÃO",0,IF($A249=0,DATEDIF(ESTRUTURA!$F$3,ESTRUTURA!$F$4,"m")*Tabela!$H$6,Tabela!$H$6)))</f>
        <v/>
      </c>
      <c r="I249" s="60" t="str">
        <f t="shared" si="49"/>
        <v/>
      </c>
      <c r="J249" s="30" t="str">
        <f>IF($A249="","",IF(J$6="NÃO",0,IF($A249=0,DATEDIF(ESTRUTURA!$F$3,ESTRUTURA!$F$4,"m")*Tabela!$H$8,IF(J$6="NÃO",0,Tabela!$H$8))))</f>
        <v/>
      </c>
      <c r="K249" s="60" t="str">
        <f t="shared" si="49"/>
        <v/>
      </c>
      <c r="L249" s="30" t="str">
        <f t="shared" si="49"/>
        <v/>
      </c>
      <c r="M249" s="60" t="str">
        <f t="shared" si="49"/>
        <v/>
      </c>
      <c r="N249" s="30" t="str">
        <f t="shared" si="49"/>
        <v/>
      </c>
      <c r="O249" s="60" t="str">
        <f t="shared" si="49"/>
        <v/>
      </c>
      <c r="P249" s="30" t="str">
        <f t="shared" si="49"/>
        <v/>
      </c>
      <c r="Q249" s="60" t="str">
        <f t="shared" si="49"/>
        <v/>
      </c>
      <c r="R249" s="30" t="str">
        <f t="shared" si="49"/>
        <v/>
      </c>
      <c r="S249" s="60" t="str">
        <f>IF($A249="","",IF(S$6="NÃO",0,IF($A249=0,DATEDIF(ESTRUTURA!$F$3,ESTRUTURA!$F$4,"m")*Tabela!$H$17,Tabela!$H$17)))</f>
        <v/>
      </c>
      <c r="T249" s="30" t="str">
        <f>IF($A249="","",IF(T$6="NÃO",0,IF($A249=0,DATEDIF(ESTRUTURA!$F$3,ESTRUTURA!$F$4,"m")*Tabela!$H$18,Tabela!$H$18)))</f>
        <v/>
      </c>
      <c r="U249" s="60" t="str">
        <f t="shared" si="48"/>
        <v/>
      </c>
      <c r="V249" s="30" t="str">
        <f>IF($A249="","",IF(V$6="NÃO",0,IF($A249=0,DATEDIF(ESTRUTURA!$F$3,ESTRUTURA!$F$4,"m")*Tabela!$H$20,Tabela!$H$20)))</f>
        <v/>
      </c>
      <c r="W249" s="60" t="str">
        <f t="shared" si="48"/>
        <v/>
      </c>
      <c r="X249" s="30" t="str">
        <f t="shared" si="48"/>
        <v/>
      </c>
      <c r="Y249" s="60" t="str">
        <f>IF($A249="","",IF(Y$6="NÃO",0,IF(A249=0,Tabela!$H$23,IF(Y$7="mensal",Tabela!$H$23,IF(AND(MONTH(ESTRUTURA!C249)=MONTH(ESTRUTURA!$F$3),A249&gt;0),Tabela!$H$23,0)))))</f>
        <v/>
      </c>
      <c r="Z249" s="30" t="str">
        <f t="shared" si="48"/>
        <v/>
      </c>
      <c r="AA249" s="60" t="str">
        <f>IF($A249="","",IF(AA$6="NÃO",0,Tabela!$H$25*nm_séries))</f>
        <v/>
      </c>
      <c r="AB249" s="30" t="str">
        <f t="shared" si="48"/>
        <v/>
      </c>
      <c r="AC249" s="60" t="str">
        <f>IF($A249="","",IF(AC$6="NÃO",0,IF(A249=0,Tabela!$H$27,IF(MOD(A249,3)=0,Tabela!$H$27,0))))</f>
        <v/>
      </c>
      <c r="AD249" s="30" t="str">
        <f t="shared" si="48"/>
        <v/>
      </c>
      <c r="AE249" s="60" t="str">
        <f t="shared" si="48"/>
        <v/>
      </c>
      <c r="AF249" s="30" t="str">
        <f>IF($A249="","",IF(AF$6="NÃO",0,IF(AND(MONTH(ESTRUTURA!C249)=MONTH(ESTRUTURA!$F$3),A249&gt;0),Tabela!$H$30,0)))</f>
        <v/>
      </c>
      <c r="AG249" s="60" t="str">
        <f t="shared" si="48"/>
        <v/>
      </c>
      <c r="AH249" s="30" t="str">
        <f t="shared" si="48"/>
        <v/>
      </c>
      <c r="AI249" s="60" t="str">
        <f>IF($A249="","",IF(AI$6="NÃO",0,IF($A249=0,DATEDIF(ESTRUTURA!$F$3,ESTRUTURA!$F$4,"m")*Tabela!$H$33,Tabela!$H$33)))</f>
        <v/>
      </c>
      <c r="AJ249" s="30" t="str">
        <f t="shared" ref="AJ249:AJ312" si="50">IF($A249="","",IF(AJ$6="NÃO",0,0))</f>
        <v/>
      </c>
    </row>
    <row r="250" spans="1:36" x14ac:dyDescent="0.2">
      <c r="A250" s="66" t="str">
        <f>ESTRUTURA!A250</f>
        <v/>
      </c>
      <c r="B250" s="58">
        <f t="shared" si="44"/>
        <v>0</v>
      </c>
      <c r="C250" s="60" t="str">
        <f t="shared" si="49"/>
        <v/>
      </c>
      <c r="D250" s="30" t="str">
        <f t="shared" si="49"/>
        <v/>
      </c>
      <c r="E250" s="60" t="str">
        <f t="shared" si="49"/>
        <v/>
      </c>
      <c r="F250" s="30" t="str">
        <f>IF($A250="","",IF(F$6="NÃO",0,Tabela!$H$34*ESTRUTURA!$I$4))</f>
        <v/>
      </c>
      <c r="G250" s="60" t="str">
        <f t="shared" si="49"/>
        <v/>
      </c>
      <c r="H250" s="30" t="str">
        <f>IF($A250="","",IF(H$6="NÃO",0,IF($A250=0,DATEDIF(ESTRUTURA!$F$3,ESTRUTURA!$F$4,"m")*Tabela!$H$6,Tabela!$H$6)))</f>
        <v/>
      </c>
      <c r="I250" s="60" t="str">
        <f t="shared" si="49"/>
        <v/>
      </c>
      <c r="J250" s="30" t="str">
        <f>IF($A250="","",IF(J$6="NÃO",0,IF($A250=0,DATEDIF(ESTRUTURA!$F$3,ESTRUTURA!$F$4,"m")*Tabela!$H$8,IF(J$6="NÃO",0,Tabela!$H$8))))</f>
        <v/>
      </c>
      <c r="K250" s="60" t="str">
        <f t="shared" si="49"/>
        <v/>
      </c>
      <c r="L250" s="30" t="str">
        <f t="shared" si="49"/>
        <v/>
      </c>
      <c r="M250" s="60" t="str">
        <f t="shared" si="49"/>
        <v/>
      </c>
      <c r="N250" s="30" t="str">
        <f t="shared" si="49"/>
        <v/>
      </c>
      <c r="O250" s="60" t="str">
        <f t="shared" si="49"/>
        <v/>
      </c>
      <c r="P250" s="30" t="str">
        <f t="shared" ref="P250:P267" si="51">IF($A250="","",IF(P$6="NÃO",0,0))</f>
        <v/>
      </c>
      <c r="Q250" s="60" t="str">
        <f t="shared" si="49"/>
        <v/>
      </c>
      <c r="R250" s="30" t="str">
        <f t="shared" si="49"/>
        <v/>
      </c>
      <c r="S250" s="60" t="str">
        <f>IF($A250="","",IF(S$6="NÃO",0,IF($A250=0,DATEDIF(ESTRUTURA!$F$3,ESTRUTURA!$F$4,"m")*Tabela!$H$17,Tabela!$H$17)))</f>
        <v/>
      </c>
      <c r="T250" s="30" t="str">
        <f>IF($A250="","",IF(T$6="NÃO",0,IF($A250=0,DATEDIF(ESTRUTURA!$F$3,ESTRUTURA!$F$4,"m")*Tabela!$H$18,Tabela!$H$18)))</f>
        <v/>
      </c>
      <c r="U250" s="60" t="str">
        <f t="shared" si="48"/>
        <v/>
      </c>
      <c r="V250" s="30" t="str">
        <f>IF($A250="","",IF(V$6="NÃO",0,IF($A250=0,DATEDIF(ESTRUTURA!$F$3,ESTRUTURA!$F$4,"m")*Tabela!$H$20,Tabela!$H$20)))</f>
        <v/>
      </c>
      <c r="W250" s="60" t="str">
        <f t="shared" si="48"/>
        <v/>
      </c>
      <c r="X250" s="30" t="str">
        <f t="shared" si="48"/>
        <v/>
      </c>
      <c r="Y250" s="60" t="str">
        <f>IF($A250="","",IF(Y$6="NÃO",0,IF(A250=0,Tabela!$H$23,IF(Y$7="mensal",Tabela!$H$23,IF(AND(MONTH(ESTRUTURA!C250)=MONTH(ESTRUTURA!$F$3),A250&gt;0),Tabela!$H$23,0)))))</f>
        <v/>
      </c>
      <c r="Z250" s="30" t="str">
        <f t="shared" si="48"/>
        <v/>
      </c>
      <c r="AA250" s="60" t="str">
        <f>IF($A250="","",IF(AA$6="NÃO",0,Tabela!$H$25*nm_séries))</f>
        <v/>
      </c>
      <c r="AB250" s="30" t="str">
        <f t="shared" si="48"/>
        <v/>
      </c>
      <c r="AC250" s="60" t="str">
        <f>IF($A250="","",IF(AC$6="NÃO",0,IF(A250=0,Tabela!$H$27,IF(MOD(A250,3)=0,Tabela!$H$27,0))))</f>
        <v/>
      </c>
      <c r="AD250" s="30" t="str">
        <f t="shared" si="48"/>
        <v/>
      </c>
      <c r="AE250" s="60" t="str">
        <f t="shared" si="48"/>
        <v/>
      </c>
      <c r="AF250" s="30" t="str">
        <f>IF($A250="","",IF(AF$6="NÃO",0,IF(AND(MONTH(ESTRUTURA!C250)=MONTH(ESTRUTURA!$F$3),A250&gt;0),Tabela!$H$30,0)))</f>
        <v/>
      </c>
      <c r="AG250" s="60" t="str">
        <f t="shared" si="48"/>
        <v/>
      </c>
      <c r="AH250" s="30" t="str">
        <f t="shared" si="48"/>
        <v/>
      </c>
      <c r="AI250" s="60" t="str">
        <f>IF($A250="","",IF(AI$6="NÃO",0,IF($A250=0,DATEDIF(ESTRUTURA!$F$3,ESTRUTURA!$F$4,"m")*Tabela!$H$33,Tabela!$H$33)))</f>
        <v/>
      </c>
      <c r="AJ250" s="30" t="str">
        <f t="shared" si="50"/>
        <v/>
      </c>
    </row>
    <row r="251" spans="1:36" x14ac:dyDescent="0.2">
      <c r="A251" s="66" t="str">
        <f>ESTRUTURA!A251</f>
        <v/>
      </c>
      <c r="B251" s="58">
        <f t="shared" si="44"/>
        <v>0</v>
      </c>
      <c r="C251" s="60" t="str">
        <f t="shared" si="49"/>
        <v/>
      </c>
      <c r="D251" s="30" t="str">
        <f t="shared" si="49"/>
        <v/>
      </c>
      <c r="E251" s="60" t="str">
        <f t="shared" si="49"/>
        <v/>
      </c>
      <c r="F251" s="30" t="str">
        <f>IF($A251="","",IF(F$6="NÃO",0,Tabela!$H$34*ESTRUTURA!$I$4))</f>
        <v/>
      </c>
      <c r="G251" s="60" t="str">
        <f t="shared" si="49"/>
        <v/>
      </c>
      <c r="H251" s="30" t="str">
        <f>IF($A251="","",IF(H$6="NÃO",0,IF($A251=0,DATEDIF(ESTRUTURA!$F$3,ESTRUTURA!$F$4,"m")*Tabela!$H$6,Tabela!$H$6)))</f>
        <v/>
      </c>
      <c r="I251" s="60" t="str">
        <f t="shared" si="49"/>
        <v/>
      </c>
      <c r="J251" s="30" t="str">
        <f>IF($A251="","",IF(J$6="NÃO",0,IF($A251=0,DATEDIF(ESTRUTURA!$F$3,ESTRUTURA!$F$4,"m")*Tabela!$H$8,IF(J$6="NÃO",0,Tabela!$H$8))))</f>
        <v/>
      </c>
      <c r="K251" s="60" t="str">
        <f t="shared" si="49"/>
        <v/>
      </c>
      <c r="L251" s="30" t="str">
        <f t="shared" si="49"/>
        <v/>
      </c>
      <c r="M251" s="60" t="str">
        <f t="shared" si="49"/>
        <v/>
      </c>
      <c r="N251" s="30" t="str">
        <f t="shared" si="49"/>
        <v/>
      </c>
      <c r="O251" s="60" t="str">
        <f t="shared" si="49"/>
        <v/>
      </c>
      <c r="P251" s="30" t="str">
        <f t="shared" si="51"/>
        <v/>
      </c>
      <c r="Q251" s="60" t="str">
        <f t="shared" si="49"/>
        <v/>
      </c>
      <c r="R251" s="30" t="str">
        <f t="shared" si="49"/>
        <v/>
      </c>
      <c r="S251" s="60" t="str">
        <f>IF($A251="","",IF(S$6="NÃO",0,IF($A251=0,DATEDIF(ESTRUTURA!$F$3,ESTRUTURA!$F$4,"m")*Tabela!$H$17,Tabela!$H$17)))</f>
        <v/>
      </c>
      <c r="T251" s="30" t="str">
        <f>IF($A251="","",IF(T$6="NÃO",0,IF($A251=0,DATEDIF(ESTRUTURA!$F$3,ESTRUTURA!$F$4,"m")*Tabela!$H$18,Tabela!$H$18)))</f>
        <v/>
      </c>
      <c r="U251" s="60" t="str">
        <f t="shared" ref="U251:AH266" si="52">IF($A251="","",IF(U$6="NÃO",0,0))</f>
        <v/>
      </c>
      <c r="V251" s="30" t="str">
        <f>IF($A251="","",IF(V$6="NÃO",0,IF($A251=0,DATEDIF(ESTRUTURA!$F$3,ESTRUTURA!$F$4,"m")*Tabela!$H$20,Tabela!$H$20)))</f>
        <v/>
      </c>
      <c r="W251" s="60" t="str">
        <f t="shared" si="52"/>
        <v/>
      </c>
      <c r="X251" s="30" t="str">
        <f t="shared" si="52"/>
        <v/>
      </c>
      <c r="Y251" s="60" t="str">
        <f>IF($A251="","",IF(Y$6="NÃO",0,IF(A251=0,Tabela!$H$23,IF(Y$7="mensal",Tabela!$H$23,IF(AND(MONTH(ESTRUTURA!C251)=MONTH(ESTRUTURA!$F$3),A251&gt;0),Tabela!$H$23,0)))))</f>
        <v/>
      </c>
      <c r="Z251" s="30" t="str">
        <f t="shared" si="52"/>
        <v/>
      </c>
      <c r="AA251" s="60" t="str">
        <f>IF($A251="","",IF(AA$6="NÃO",0,Tabela!$H$25*nm_séries))</f>
        <v/>
      </c>
      <c r="AB251" s="30" t="str">
        <f t="shared" si="52"/>
        <v/>
      </c>
      <c r="AC251" s="60" t="str">
        <f>IF($A251="","",IF(AC$6="NÃO",0,IF(A251=0,Tabela!$H$27,IF(MOD(A251,3)=0,Tabela!$H$27,0))))</f>
        <v/>
      </c>
      <c r="AD251" s="30" t="str">
        <f t="shared" si="52"/>
        <v/>
      </c>
      <c r="AE251" s="60" t="str">
        <f t="shared" si="52"/>
        <v/>
      </c>
      <c r="AF251" s="30" t="str">
        <f>IF($A251="","",IF(AF$6="NÃO",0,IF(AND(MONTH(ESTRUTURA!C251)=MONTH(ESTRUTURA!$F$3),A251&gt;0),Tabela!$H$30,0)))</f>
        <v/>
      </c>
      <c r="AG251" s="60" t="str">
        <f t="shared" si="52"/>
        <v/>
      </c>
      <c r="AH251" s="30" t="str">
        <f t="shared" si="52"/>
        <v/>
      </c>
      <c r="AI251" s="60" t="str">
        <f>IF($A251="","",IF(AI$6="NÃO",0,IF($A251=0,DATEDIF(ESTRUTURA!$F$3,ESTRUTURA!$F$4,"m")*Tabela!$H$33,Tabela!$H$33)))</f>
        <v/>
      </c>
      <c r="AJ251" s="30" t="str">
        <f t="shared" si="50"/>
        <v/>
      </c>
    </row>
    <row r="252" spans="1:36" x14ac:dyDescent="0.2">
      <c r="A252" s="66" t="str">
        <f>ESTRUTURA!A252</f>
        <v/>
      </c>
      <c r="B252" s="58">
        <f t="shared" si="44"/>
        <v>0</v>
      </c>
      <c r="C252" s="60" t="str">
        <f t="shared" ref="C252:R267" si="53">IF($A252="","",IF(C$6="NÃO",0,0))</f>
        <v/>
      </c>
      <c r="D252" s="30" t="str">
        <f t="shared" si="53"/>
        <v/>
      </c>
      <c r="E252" s="60" t="str">
        <f t="shared" si="53"/>
        <v/>
      </c>
      <c r="F252" s="30" t="str">
        <f>IF($A252="","",IF(F$6="NÃO",0,Tabela!$H$34*ESTRUTURA!$I$4))</f>
        <v/>
      </c>
      <c r="G252" s="60" t="str">
        <f t="shared" si="53"/>
        <v/>
      </c>
      <c r="H252" s="30" t="str">
        <f>IF($A252="","",IF(H$6="NÃO",0,IF($A252=0,DATEDIF(ESTRUTURA!$F$3,ESTRUTURA!$F$4,"m")*Tabela!$H$6,Tabela!$H$6)))</f>
        <v/>
      </c>
      <c r="I252" s="60" t="str">
        <f t="shared" si="53"/>
        <v/>
      </c>
      <c r="J252" s="30" t="str">
        <f>IF($A252="","",IF(J$6="NÃO",0,IF($A252=0,DATEDIF(ESTRUTURA!$F$3,ESTRUTURA!$F$4,"m")*Tabela!$H$8,IF(J$6="NÃO",0,Tabela!$H$8))))</f>
        <v/>
      </c>
      <c r="K252" s="60" t="str">
        <f t="shared" si="53"/>
        <v/>
      </c>
      <c r="L252" s="30" t="str">
        <f t="shared" si="53"/>
        <v/>
      </c>
      <c r="M252" s="60" t="str">
        <f t="shared" si="53"/>
        <v/>
      </c>
      <c r="N252" s="30" t="str">
        <f t="shared" si="53"/>
        <v/>
      </c>
      <c r="O252" s="60" t="str">
        <f t="shared" si="53"/>
        <v/>
      </c>
      <c r="P252" s="30" t="str">
        <f t="shared" si="51"/>
        <v/>
      </c>
      <c r="Q252" s="60" t="str">
        <f t="shared" si="53"/>
        <v/>
      </c>
      <c r="R252" s="30" t="str">
        <f t="shared" si="53"/>
        <v/>
      </c>
      <c r="S252" s="60" t="str">
        <f>IF($A252="","",IF(S$6="NÃO",0,IF($A252=0,DATEDIF(ESTRUTURA!$F$3,ESTRUTURA!$F$4,"m")*Tabela!$H$17,Tabela!$H$17)))</f>
        <v/>
      </c>
      <c r="T252" s="30" t="str">
        <f>IF($A252="","",IF(T$6="NÃO",0,IF($A252=0,DATEDIF(ESTRUTURA!$F$3,ESTRUTURA!$F$4,"m")*Tabela!$H$18,Tabela!$H$18)))</f>
        <v/>
      </c>
      <c r="U252" s="60" t="str">
        <f t="shared" si="52"/>
        <v/>
      </c>
      <c r="V252" s="30" t="str">
        <f>IF($A252="","",IF(V$6="NÃO",0,IF($A252=0,DATEDIF(ESTRUTURA!$F$3,ESTRUTURA!$F$4,"m")*Tabela!$H$20,Tabela!$H$20)))</f>
        <v/>
      </c>
      <c r="W252" s="60" t="str">
        <f t="shared" si="52"/>
        <v/>
      </c>
      <c r="X252" s="30" t="str">
        <f t="shared" si="52"/>
        <v/>
      </c>
      <c r="Y252" s="60" t="str">
        <f>IF($A252="","",IF(Y$6="NÃO",0,IF(A252=0,Tabela!$H$23,IF(Y$7="mensal",Tabela!$H$23,IF(AND(MONTH(ESTRUTURA!C252)=MONTH(ESTRUTURA!$F$3),A252&gt;0),Tabela!$H$23,0)))))</f>
        <v/>
      </c>
      <c r="Z252" s="30" t="str">
        <f t="shared" si="52"/>
        <v/>
      </c>
      <c r="AA252" s="60" t="str">
        <f>IF($A252="","",IF(AA$6="NÃO",0,Tabela!$H$25*nm_séries))</f>
        <v/>
      </c>
      <c r="AB252" s="30" t="str">
        <f t="shared" si="52"/>
        <v/>
      </c>
      <c r="AC252" s="60" t="str">
        <f>IF($A252="","",IF(AC$6="NÃO",0,IF(A252=0,Tabela!$H$27,IF(MOD(A252,3)=0,Tabela!$H$27,0))))</f>
        <v/>
      </c>
      <c r="AD252" s="30" t="str">
        <f t="shared" si="52"/>
        <v/>
      </c>
      <c r="AE252" s="60" t="str">
        <f t="shared" si="52"/>
        <v/>
      </c>
      <c r="AF252" s="30" t="str">
        <f>IF($A252="","",IF(AF$6="NÃO",0,IF(AND(MONTH(ESTRUTURA!C252)=MONTH(ESTRUTURA!$F$3),A252&gt;0),Tabela!$H$30,0)))</f>
        <v/>
      </c>
      <c r="AG252" s="60" t="str">
        <f t="shared" si="52"/>
        <v/>
      </c>
      <c r="AH252" s="30" t="str">
        <f t="shared" si="52"/>
        <v/>
      </c>
      <c r="AI252" s="60" t="str">
        <f>IF($A252="","",IF(AI$6="NÃO",0,IF($A252=0,DATEDIF(ESTRUTURA!$F$3,ESTRUTURA!$F$4,"m")*Tabela!$H$33,Tabela!$H$33)))</f>
        <v/>
      </c>
      <c r="AJ252" s="30" t="str">
        <f t="shared" si="50"/>
        <v/>
      </c>
    </row>
    <row r="253" spans="1:36" x14ac:dyDescent="0.2">
      <c r="A253" s="66" t="str">
        <f>ESTRUTURA!A253</f>
        <v/>
      </c>
      <c r="B253" s="58">
        <f t="shared" si="44"/>
        <v>0</v>
      </c>
      <c r="C253" s="60" t="str">
        <f t="shared" si="53"/>
        <v/>
      </c>
      <c r="D253" s="30" t="str">
        <f t="shared" si="53"/>
        <v/>
      </c>
      <c r="E253" s="60" t="str">
        <f t="shared" si="53"/>
        <v/>
      </c>
      <c r="F253" s="30" t="str">
        <f>IF($A253="","",IF(F$6="NÃO",0,Tabela!$H$34*ESTRUTURA!$I$4))</f>
        <v/>
      </c>
      <c r="G253" s="60" t="str">
        <f t="shared" si="53"/>
        <v/>
      </c>
      <c r="H253" s="30" t="str">
        <f>IF($A253="","",IF(H$6="NÃO",0,IF($A253=0,DATEDIF(ESTRUTURA!$F$3,ESTRUTURA!$F$4,"m")*Tabela!$H$6,Tabela!$H$6)))</f>
        <v/>
      </c>
      <c r="I253" s="60" t="str">
        <f t="shared" si="53"/>
        <v/>
      </c>
      <c r="J253" s="30" t="str">
        <f>IF($A253="","",IF(J$6="NÃO",0,IF($A253=0,DATEDIF(ESTRUTURA!$F$3,ESTRUTURA!$F$4,"m")*Tabela!$H$8,IF(J$6="NÃO",0,Tabela!$H$8))))</f>
        <v/>
      </c>
      <c r="K253" s="60" t="str">
        <f t="shared" si="53"/>
        <v/>
      </c>
      <c r="L253" s="30" t="str">
        <f t="shared" si="53"/>
        <v/>
      </c>
      <c r="M253" s="60" t="str">
        <f t="shared" si="53"/>
        <v/>
      </c>
      <c r="N253" s="30" t="str">
        <f t="shared" si="53"/>
        <v/>
      </c>
      <c r="O253" s="60" t="str">
        <f t="shared" si="53"/>
        <v/>
      </c>
      <c r="P253" s="30" t="str">
        <f t="shared" si="51"/>
        <v/>
      </c>
      <c r="Q253" s="60" t="str">
        <f t="shared" si="53"/>
        <v/>
      </c>
      <c r="R253" s="30" t="str">
        <f t="shared" si="53"/>
        <v/>
      </c>
      <c r="S253" s="60" t="str">
        <f>IF($A253="","",IF(S$6="NÃO",0,IF($A253=0,DATEDIF(ESTRUTURA!$F$3,ESTRUTURA!$F$4,"m")*Tabela!$H$17,Tabela!$H$17)))</f>
        <v/>
      </c>
      <c r="T253" s="30" t="str">
        <f>IF($A253="","",IF(T$6="NÃO",0,IF($A253=0,DATEDIF(ESTRUTURA!$F$3,ESTRUTURA!$F$4,"m")*Tabela!$H$18,Tabela!$H$18)))</f>
        <v/>
      </c>
      <c r="U253" s="60" t="str">
        <f t="shared" si="52"/>
        <v/>
      </c>
      <c r="V253" s="30" t="str">
        <f>IF($A253="","",IF(V$6="NÃO",0,IF($A253=0,DATEDIF(ESTRUTURA!$F$3,ESTRUTURA!$F$4,"m")*Tabela!$H$20,Tabela!$H$20)))</f>
        <v/>
      </c>
      <c r="W253" s="60" t="str">
        <f t="shared" si="52"/>
        <v/>
      </c>
      <c r="X253" s="30" t="str">
        <f t="shared" si="52"/>
        <v/>
      </c>
      <c r="Y253" s="60" t="str">
        <f>IF($A253="","",IF(Y$6="NÃO",0,IF(A253=0,Tabela!$H$23,IF(Y$7="mensal",Tabela!$H$23,IF(AND(MONTH(ESTRUTURA!C253)=MONTH(ESTRUTURA!$F$3),A253&gt;0),Tabela!$H$23,0)))))</f>
        <v/>
      </c>
      <c r="Z253" s="30" t="str">
        <f t="shared" si="52"/>
        <v/>
      </c>
      <c r="AA253" s="60" t="str">
        <f>IF($A253="","",IF(AA$6="NÃO",0,Tabela!$H$25*nm_séries))</f>
        <v/>
      </c>
      <c r="AB253" s="30" t="str">
        <f t="shared" si="52"/>
        <v/>
      </c>
      <c r="AC253" s="60" t="str">
        <f>IF($A253="","",IF(AC$6="NÃO",0,IF(A253=0,Tabela!$H$27,IF(MOD(A253,3)=0,Tabela!$H$27,0))))</f>
        <v/>
      </c>
      <c r="AD253" s="30" t="str">
        <f t="shared" si="52"/>
        <v/>
      </c>
      <c r="AE253" s="60" t="str">
        <f t="shared" si="52"/>
        <v/>
      </c>
      <c r="AF253" s="30" t="str">
        <f>IF($A253="","",IF(AF$6="NÃO",0,IF(AND(MONTH(ESTRUTURA!C253)=MONTH(ESTRUTURA!$F$3),A253&gt;0),Tabela!$H$30,0)))</f>
        <v/>
      </c>
      <c r="AG253" s="60" t="str">
        <f t="shared" si="52"/>
        <v/>
      </c>
      <c r="AH253" s="30" t="str">
        <f t="shared" si="52"/>
        <v/>
      </c>
      <c r="AI253" s="60" t="str">
        <f>IF($A253="","",IF(AI$6="NÃO",0,IF($A253=0,DATEDIF(ESTRUTURA!$F$3,ESTRUTURA!$F$4,"m")*Tabela!$H$33,Tabela!$H$33)))</f>
        <v/>
      </c>
      <c r="AJ253" s="30" t="str">
        <f t="shared" si="50"/>
        <v/>
      </c>
    </row>
    <row r="254" spans="1:36" x14ac:dyDescent="0.2">
      <c r="A254" s="66" t="str">
        <f>ESTRUTURA!A254</f>
        <v/>
      </c>
      <c r="B254" s="58">
        <f t="shared" si="44"/>
        <v>0</v>
      </c>
      <c r="C254" s="60" t="str">
        <f t="shared" si="53"/>
        <v/>
      </c>
      <c r="D254" s="30" t="str">
        <f t="shared" si="53"/>
        <v/>
      </c>
      <c r="E254" s="60" t="str">
        <f t="shared" si="53"/>
        <v/>
      </c>
      <c r="F254" s="30" t="str">
        <f>IF($A254="","",IF(F$6="NÃO",0,Tabela!$H$34*ESTRUTURA!$I$4))</f>
        <v/>
      </c>
      <c r="G254" s="60" t="str">
        <f t="shared" si="53"/>
        <v/>
      </c>
      <c r="H254" s="30" t="str">
        <f>IF($A254="","",IF(H$6="NÃO",0,IF($A254=0,DATEDIF(ESTRUTURA!$F$3,ESTRUTURA!$F$4,"m")*Tabela!$H$6,Tabela!$H$6)))</f>
        <v/>
      </c>
      <c r="I254" s="60" t="str">
        <f t="shared" si="53"/>
        <v/>
      </c>
      <c r="J254" s="30" t="str">
        <f>IF($A254="","",IF(J$6="NÃO",0,IF($A254=0,DATEDIF(ESTRUTURA!$F$3,ESTRUTURA!$F$4,"m")*Tabela!$H$8,IF(J$6="NÃO",0,Tabela!$H$8))))</f>
        <v/>
      </c>
      <c r="K254" s="60" t="str">
        <f t="shared" si="53"/>
        <v/>
      </c>
      <c r="L254" s="30" t="str">
        <f t="shared" si="53"/>
        <v/>
      </c>
      <c r="M254" s="60" t="str">
        <f t="shared" si="53"/>
        <v/>
      </c>
      <c r="N254" s="30" t="str">
        <f t="shared" si="53"/>
        <v/>
      </c>
      <c r="O254" s="60" t="str">
        <f t="shared" si="53"/>
        <v/>
      </c>
      <c r="P254" s="30" t="str">
        <f t="shared" si="51"/>
        <v/>
      </c>
      <c r="Q254" s="60" t="str">
        <f t="shared" si="53"/>
        <v/>
      </c>
      <c r="R254" s="30" t="str">
        <f t="shared" si="53"/>
        <v/>
      </c>
      <c r="S254" s="60" t="str">
        <f>IF($A254="","",IF(S$6="NÃO",0,IF($A254=0,DATEDIF(ESTRUTURA!$F$3,ESTRUTURA!$F$4,"m")*Tabela!$H$17,Tabela!$H$17)))</f>
        <v/>
      </c>
      <c r="T254" s="30" t="str">
        <f>IF($A254="","",IF(T$6="NÃO",0,IF($A254=0,DATEDIF(ESTRUTURA!$F$3,ESTRUTURA!$F$4,"m")*Tabela!$H$18,Tabela!$H$18)))</f>
        <v/>
      </c>
      <c r="U254" s="60" t="str">
        <f t="shared" si="52"/>
        <v/>
      </c>
      <c r="V254" s="30" t="str">
        <f>IF($A254="","",IF(V$6="NÃO",0,IF($A254=0,DATEDIF(ESTRUTURA!$F$3,ESTRUTURA!$F$4,"m")*Tabela!$H$20,Tabela!$H$20)))</f>
        <v/>
      </c>
      <c r="W254" s="60" t="str">
        <f t="shared" si="52"/>
        <v/>
      </c>
      <c r="X254" s="30" t="str">
        <f t="shared" si="52"/>
        <v/>
      </c>
      <c r="Y254" s="60" t="str">
        <f>IF($A254="","",IF(Y$6="NÃO",0,IF(A254=0,Tabela!$H$23,IF(Y$7="mensal",Tabela!$H$23,IF(AND(MONTH(ESTRUTURA!C254)=MONTH(ESTRUTURA!$F$3),A254&gt;0),Tabela!$H$23,0)))))</f>
        <v/>
      </c>
      <c r="Z254" s="30" t="str">
        <f t="shared" si="52"/>
        <v/>
      </c>
      <c r="AA254" s="60" t="str">
        <f>IF($A254="","",IF(AA$6="NÃO",0,Tabela!$H$25*nm_séries))</f>
        <v/>
      </c>
      <c r="AB254" s="30" t="str">
        <f t="shared" si="52"/>
        <v/>
      </c>
      <c r="AC254" s="60" t="str">
        <f>IF($A254="","",IF(AC$6="NÃO",0,IF(A254=0,Tabela!$H$27,IF(MOD(A254,3)=0,Tabela!$H$27,0))))</f>
        <v/>
      </c>
      <c r="AD254" s="30" t="str">
        <f t="shared" si="52"/>
        <v/>
      </c>
      <c r="AE254" s="60" t="str">
        <f t="shared" si="52"/>
        <v/>
      </c>
      <c r="AF254" s="30" t="str">
        <f>IF($A254="","",IF(AF$6="NÃO",0,IF(AND(MONTH(ESTRUTURA!C254)=MONTH(ESTRUTURA!$F$3),A254&gt;0),Tabela!$H$30,0)))</f>
        <v/>
      </c>
      <c r="AG254" s="60" t="str">
        <f t="shared" si="52"/>
        <v/>
      </c>
      <c r="AH254" s="30" t="str">
        <f t="shared" si="52"/>
        <v/>
      </c>
      <c r="AI254" s="60" t="str">
        <f>IF($A254="","",IF(AI$6="NÃO",0,IF($A254=0,DATEDIF(ESTRUTURA!$F$3,ESTRUTURA!$F$4,"m")*Tabela!$H$33,Tabela!$H$33)))</f>
        <v/>
      </c>
      <c r="AJ254" s="30" t="str">
        <f t="shared" si="50"/>
        <v/>
      </c>
    </row>
    <row r="255" spans="1:36" x14ac:dyDescent="0.2">
      <c r="A255" s="66" t="str">
        <f>ESTRUTURA!A255</f>
        <v/>
      </c>
      <c r="B255" s="58">
        <f t="shared" si="44"/>
        <v>0</v>
      </c>
      <c r="C255" s="60" t="str">
        <f t="shared" si="53"/>
        <v/>
      </c>
      <c r="D255" s="30" t="str">
        <f t="shared" si="53"/>
        <v/>
      </c>
      <c r="E255" s="60" t="str">
        <f t="shared" si="53"/>
        <v/>
      </c>
      <c r="F255" s="30" t="str">
        <f>IF($A255="","",IF(F$6="NÃO",0,Tabela!$H$34*ESTRUTURA!$I$4))</f>
        <v/>
      </c>
      <c r="G255" s="60" t="str">
        <f t="shared" si="53"/>
        <v/>
      </c>
      <c r="H255" s="30" t="str">
        <f>IF($A255="","",IF(H$6="NÃO",0,IF($A255=0,DATEDIF(ESTRUTURA!$F$3,ESTRUTURA!$F$4,"m")*Tabela!$H$6,Tabela!$H$6)))</f>
        <v/>
      </c>
      <c r="I255" s="60" t="str">
        <f t="shared" si="53"/>
        <v/>
      </c>
      <c r="J255" s="30" t="str">
        <f>IF($A255="","",IF(J$6="NÃO",0,IF($A255=0,DATEDIF(ESTRUTURA!$F$3,ESTRUTURA!$F$4,"m")*Tabela!$H$8,IF(J$6="NÃO",0,Tabela!$H$8))))</f>
        <v/>
      </c>
      <c r="K255" s="60" t="str">
        <f t="shared" si="53"/>
        <v/>
      </c>
      <c r="L255" s="30" t="str">
        <f t="shared" si="53"/>
        <v/>
      </c>
      <c r="M255" s="60" t="str">
        <f t="shared" si="53"/>
        <v/>
      </c>
      <c r="N255" s="30" t="str">
        <f t="shared" si="53"/>
        <v/>
      </c>
      <c r="O255" s="60" t="str">
        <f t="shared" si="53"/>
        <v/>
      </c>
      <c r="P255" s="30" t="str">
        <f t="shared" si="51"/>
        <v/>
      </c>
      <c r="Q255" s="60" t="str">
        <f t="shared" si="53"/>
        <v/>
      </c>
      <c r="R255" s="30" t="str">
        <f t="shared" si="53"/>
        <v/>
      </c>
      <c r="S255" s="60" t="str">
        <f>IF($A255="","",IF(S$6="NÃO",0,IF($A255=0,DATEDIF(ESTRUTURA!$F$3,ESTRUTURA!$F$4,"m")*Tabela!$H$17,Tabela!$H$17)))</f>
        <v/>
      </c>
      <c r="T255" s="30" t="str">
        <f>IF($A255="","",IF(T$6="NÃO",0,IF($A255=0,DATEDIF(ESTRUTURA!$F$3,ESTRUTURA!$F$4,"m")*Tabela!$H$18,Tabela!$H$18)))</f>
        <v/>
      </c>
      <c r="U255" s="60" t="str">
        <f t="shared" si="52"/>
        <v/>
      </c>
      <c r="V255" s="30" t="str">
        <f>IF($A255="","",IF(V$6="NÃO",0,IF($A255=0,DATEDIF(ESTRUTURA!$F$3,ESTRUTURA!$F$4,"m")*Tabela!$H$20,Tabela!$H$20)))</f>
        <v/>
      </c>
      <c r="W255" s="60" t="str">
        <f t="shared" si="52"/>
        <v/>
      </c>
      <c r="X255" s="30" t="str">
        <f t="shared" si="52"/>
        <v/>
      </c>
      <c r="Y255" s="60" t="str">
        <f>IF($A255="","",IF(Y$6="NÃO",0,IF(A255=0,Tabela!$H$23,IF(Y$7="mensal",Tabela!$H$23,IF(AND(MONTH(ESTRUTURA!C255)=MONTH(ESTRUTURA!$F$3),A255&gt;0),Tabela!$H$23,0)))))</f>
        <v/>
      </c>
      <c r="Z255" s="30" t="str">
        <f t="shared" si="52"/>
        <v/>
      </c>
      <c r="AA255" s="60" t="str">
        <f>IF($A255="","",IF(AA$6="NÃO",0,Tabela!$H$25*nm_séries))</f>
        <v/>
      </c>
      <c r="AB255" s="30" t="str">
        <f t="shared" si="52"/>
        <v/>
      </c>
      <c r="AC255" s="60" t="str">
        <f>IF($A255="","",IF(AC$6="NÃO",0,IF(A255=0,Tabela!$H$27,IF(MOD(A255,3)=0,Tabela!$H$27,0))))</f>
        <v/>
      </c>
      <c r="AD255" s="30" t="str">
        <f t="shared" si="52"/>
        <v/>
      </c>
      <c r="AE255" s="60" t="str">
        <f t="shared" si="52"/>
        <v/>
      </c>
      <c r="AF255" s="30" t="str">
        <f>IF($A255="","",IF(AF$6="NÃO",0,IF(AND(MONTH(ESTRUTURA!C255)=MONTH(ESTRUTURA!$F$3),A255&gt;0),Tabela!$H$30,0)))</f>
        <v/>
      </c>
      <c r="AG255" s="60" t="str">
        <f t="shared" si="52"/>
        <v/>
      </c>
      <c r="AH255" s="30" t="str">
        <f t="shared" si="52"/>
        <v/>
      </c>
      <c r="AI255" s="60" t="str">
        <f>IF($A255="","",IF(AI$6="NÃO",0,IF($A255=0,DATEDIF(ESTRUTURA!$F$3,ESTRUTURA!$F$4,"m")*Tabela!$H$33,Tabela!$H$33)))</f>
        <v/>
      </c>
      <c r="AJ255" s="30" t="str">
        <f t="shared" si="50"/>
        <v/>
      </c>
    </row>
    <row r="256" spans="1:36" x14ac:dyDescent="0.2">
      <c r="A256" s="66" t="str">
        <f>ESTRUTURA!A256</f>
        <v/>
      </c>
      <c r="B256" s="58">
        <f t="shared" si="44"/>
        <v>0</v>
      </c>
      <c r="C256" s="60" t="str">
        <f t="shared" si="53"/>
        <v/>
      </c>
      <c r="D256" s="30" t="str">
        <f t="shared" si="53"/>
        <v/>
      </c>
      <c r="E256" s="60" t="str">
        <f t="shared" si="53"/>
        <v/>
      </c>
      <c r="F256" s="30" t="str">
        <f>IF($A256="","",IF(F$6="NÃO",0,Tabela!$H$34*ESTRUTURA!$I$4))</f>
        <v/>
      </c>
      <c r="G256" s="60" t="str">
        <f t="shared" si="53"/>
        <v/>
      </c>
      <c r="H256" s="30" t="str">
        <f>IF($A256="","",IF(H$6="NÃO",0,IF($A256=0,DATEDIF(ESTRUTURA!$F$3,ESTRUTURA!$F$4,"m")*Tabela!$H$6,Tabela!$H$6)))</f>
        <v/>
      </c>
      <c r="I256" s="60" t="str">
        <f t="shared" si="53"/>
        <v/>
      </c>
      <c r="J256" s="30" t="str">
        <f>IF($A256="","",IF(J$6="NÃO",0,IF($A256=0,DATEDIF(ESTRUTURA!$F$3,ESTRUTURA!$F$4,"m")*Tabela!$H$8,IF(J$6="NÃO",0,Tabela!$H$8))))</f>
        <v/>
      </c>
      <c r="K256" s="60" t="str">
        <f t="shared" si="53"/>
        <v/>
      </c>
      <c r="L256" s="30" t="str">
        <f t="shared" si="53"/>
        <v/>
      </c>
      <c r="M256" s="60" t="str">
        <f t="shared" si="53"/>
        <v/>
      </c>
      <c r="N256" s="30" t="str">
        <f t="shared" si="53"/>
        <v/>
      </c>
      <c r="O256" s="60" t="str">
        <f t="shared" si="53"/>
        <v/>
      </c>
      <c r="P256" s="30" t="str">
        <f t="shared" si="51"/>
        <v/>
      </c>
      <c r="Q256" s="60" t="str">
        <f t="shared" si="53"/>
        <v/>
      </c>
      <c r="R256" s="30" t="str">
        <f t="shared" si="53"/>
        <v/>
      </c>
      <c r="S256" s="60" t="str">
        <f>IF($A256="","",IF(S$6="NÃO",0,IF($A256=0,DATEDIF(ESTRUTURA!$F$3,ESTRUTURA!$F$4,"m")*Tabela!$H$17,Tabela!$H$17)))</f>
        <v/>
      </c>
      <c r="T256" s="30" t="str">
        <f>IF($A256="","",IF(T$6="NÃO",0,IF($A256=0,DATEDIF(ESTRUTURA!$F$3,ESTRUTURA!$F$4,"m")*Tabela!$H$18,Tabela!$H$18)))</f>
        <v/>
      </c>
      <c r="U256" s="60" t="str">
        <f t="shared" si="52"/>
        <v/>
      </c>
      <c r="V256" s="30" t="str">
        <f>IF($A256="","",IF(V$6="NÃO",0,IF($A256=0,DATEDIF(ESTRUTURA!$F$3,ESTRUTURA!$F$4,"m")*Tabela!$H$20,Tabela!$H$20)))</f>
        <v/>
      </c>
      <c r="W256" s="60" t="str">
        <f t="shared" si="52"/>
        <v/>
      </c>
      <c r="X256" s="30" t="str">
        <f t="shared" si="52"/>
        <v/>
      </c>
      <c r="Y256" s="60" t="str">
        <f>IF($A256="","",IF(Y$6="NÃO",0,IF(A256=0,Tabela!$H$23,IF(Y$7="mensal",Tabela!$H$23,IF(AND(MONTH(ESTRUTURA!C256)=MONTH(ESTRUTURA!$F$3),A256&gt;0),Tabela!$H$23,0)))))</f>
        <v/>
      </c>
      <c r="Z256" s="30" t="str">
        <f t="shared" si="52"/>
        <v/>
      </c>
      <c r="AA256" s="60" t="str">
        <f>IF($A256="","",IF(AA$6="NÃO",0,Tabela!$H$25*nm_séries))</f>
        <v/>
      </c>
      <c r="AB256" s="30" t="str">
        <f t="shared" si="52"/>
        <v/>
      </c>
      <c r="AC256" s="60" t="str">
        <f>IF($A256="","",IF(AC$6="NÃO",0,IF(A256=0,Tabela!$H$27,IF(MOD(A256,3)=0,Tabela!$H$27,0))))</f>
        <v/>
      </c>
      <c r="AD256" s="30" t="str">
        <f t="shared" si="52"/>
        <v/>
      </c>
      <c r="AE256" s="60" t="str">
        <f t="shared" si="52"/>
        <v/>
      </c>
      <c r="AF256" s="30" t="str">
        <f>IF($A256="","",IF(AF$6="NÃO",0,IF(AND(MONTH(ESTRUTURA!C256)=MONTH(ESTRUTURA!$F$3),A256&gt;0),Tabela!$H$30,0)))</f>
        <v/>
      </c>
      <c r="AG256" s="60" t="str">
        <f t="shared" si="52"/>
        <v/>
      </c>
      <c r="AH256" s="30" t="str">
        <f t="shared" si="52"/>
        <v/>
      </c>
      <c r="AI256" s="60" t="str">
        <f>IF($A256="","",IF(AI$6="NÃO",0,IF($A256=0,DATEDIF(ESTRUTURA!$F$3,ESTRUTURA!$F$4,"m")*Tabela!$H$33,Tabela!$H$33)))</f>
        <v/>
      </c>
      <c r="AJ256" s="30" t="str">
        <f t="shared" si="50"/>
        <v/>
      </c>
    </row>
    <row r="257" spans="1:36" x14ac:dyDescent="0.2">
      <c r="A257" s="66" t="str">
        <f>ESTRUTURA!A257</f>
        <v/>
      </c>
      <c r="B257" s="58">
        <f t="shared" si="44"/>
        <v>0</v>
      </c>
      <c r="C257" s="60" t="str">
        <f t="shared" si="53"/>
        <v/>
      </c>
      <c r="D257" s="30" t="str">
        <f t="shared" si="53"/>
        <v/>
      </c>
      <c r="E257" s="60" t="str">
        <f t="shared" si="53"/>
        <v/>
      </c>
      <c r="F257" s="30" t="str">
        <f>IF($A257="","",IF(F$6="NÃO",0,Tabela!$H$34*ESTRUTURA!$I$4))</f>
        <v/>
      </c>
      <c r="G257" s="60" t="str">
        <f t="shared" si="53"/>
        <v/>
      </c>
      <c r="H257" s="30" t="str">
        <f>IF($A257="","",IF(H$6="NÃO",0,IF($A257=0,DATEDIF(ESTRUTURA!$F$3,ESTRUTURA!$F$4,"m")*Tabela!$H$6,Tabela!$H$6)))</f>
        <v/>
      </c>
      <c r="I257" s="60" t="str">
        <f t="shared" si="53"/>
        <v/>
      </c>
      <c r="J257" s="30" t="str">
        <f>IF($A257="","",IF(J$6="NÃO",0,IF($A257=0,DATEDIF(ESTRUTURA!$F$3,ESTRUTURA!$F$4,"m")*Tabela!$H$8,IF(J$6="NÃO",0,Tabela!$H$8))))</f>
        <v/>
      </c>
      <c r="K257" s="60" t="str">
        <f t="shared" si="53"/>
        <v/>
      </c>
      <c r="L257" s="30" t="str">
        <f t="shared" si="53"/>
        <v/>
      </c>
      <c r="M257" s="60" t="str">
        <f t="shared" si="53"/>
        <v/>
      </c>
      <c r="N257" s="30" t="str">
        <f t="shared" si="53"/>
        <v/>
      </c>
      <c r="O257" s="60" t="str">
        <f t="shared" si="53"/>
        <v/>
      </c>
      <c r="P257" s="30" t="str">
        <f t="shared" si="51"/>
        <v/>
      </c>
      <c r="Q257" s="60" t="str">
        <f t="shared" si="53"/>
        <v/>
      </c>
      <c r="R257" s="30" t="str">
        <f t="shared" si="53"/>
        <v/>
      </c>
      <c r="S257" s="60" t="str">
        <f>IF($A257="","",IF(S$6="NÃO",0,IF($A257=0,DATEDIF(ESTRUTURA!$F$3,ESTRUTURA!$F$4,"m")*Tabela!$H$17,Tabela!$H$17)))</f>
        <v/>
      </c>
      <c r="T257" s="30" t="str">
        <f>IF($A257="","",IF(T$6="NÃO",0,IF($A257=0,DATEDIF(ESTRUTURA!$F$3,ESTRUTURA!$F$4,"m")*Tabela!$H$18,Tabela!$H$18)))</f>
        <v/>
      </c>
      <c r="U257" s="60" t="str">
        <f t="shared" si="52"/>
        <v/>
      </c>
      <c r="V257" s="30" t="str">
        <f>IF($A257="","",IF(V$6="NÃO",0,IF($A257=0,DATEDIF(ESTRUTURA!$F$3,ESTRUTURA!$F$4,"m")*Tabela!$H$20,Tabela!$H$20)))</f>
        <v/>
      </c>
      <c r="W257" s="60" t="str">
        <f t="shared" si="52"/>
        <v/>
      </c>
      <c r="X257" s="30" t="str">
        <f t="shared" si="52"/>
        <v/>
      </c>
      <c r="Y257" s="60" t="str">
        <f>IF($A257="","",IF(Y$6="NÃO",0,IF(A257=0,Tabela!$H$23,IF(Y$7="mensal",Tabela!$H$23,IF(AND(MONTH(ESTRUTURA!C257)=MONTH(ESTRUTURA!$F$3),A257&gt;0),Tabela!$H$23,0)))))</f>
        <v/>
      </c>
      <c r="Z257" s="30" t="str">
        <f t="shared" si="52"/>
        <v/>
      </c>
      <c r="AA257" s="60" t="str">
        <f>IF($A257="","",IF(AA$6="NÃO",0,Tabela!$H$25*nm_séries))</f>
        <v/>
      </c>
      <c r="AB257" s="30" t="str">
        <f t="shared" si="52"/>
        <v/>
      </c>
      <c r="AC257" s="60" t="str">
        <f>IF($A257="","",IF(AC$6="NÃO",0,IF(A257=0,Tabela!$H$27,IF(MOD(A257,3)=0,Tabela!$H$27,0))))</f>
        <v/>
      </c>
      <c r="AD257" s="30" t="str">
        <f t="shared" si="52"/>
        <v/>
      </c>
      <c r="AE257" s="60" t="str">
        <f t="shared" si="52"/>
        <v/>
      </c>
      <c r="AF257" s="30" t="str">
        <f>IF($A257="","",IF(AF$6="NÃO",0,IF(AND(MONTH(ESTRUTURA!C257)=MONTH(ESTRUTURA!$F$3),A257&gt;0),Tabela!$H$30,0)))</f>
        <v/>
      </c>
      <c r="AG257" s="60" t="str">
        <f t="shared" si="52"/>
        <v/>
      </c>
      <c r="AH257" s="30" t="str">
        <f t="shared" si="52"/>
        <v/>
      </c>
      <c r="AI257" s="60" t="str">
        <f>IF($A257="","",IF(AI$6="NÃO",0,IF($A257=0,DATEDIF(ESTRUTURA!$F$3,ESTRUTURA!$F$4,"m")*Tabela!$H$33,Tabela!$H$33)))</f>
        <v/>
      </c>
      <c r="AJ257" s="30" t="str">
        <f t="shared" si="50"/>
        <v/>
      </c>
    </row>
    <row r="258" spans="1:36" x14ac:dyDescent="0.2">
      <c r="A258" s="66" t="str">
        <f>ESTRUTURA!A258</f>
        <v/>
      </c>
      <c r="B258" s="58">
        <f t="shared" si="44"/>
        <v>0</v>
      </c>
      <c r="C258" s="60" t="str">
        <f t="shared" si="53"/>
        <v/>
      </c>
      <c r="D258" s="30" t="str">
        <f t="shared" si="53"/>
        <v/>
      </c>
      <c r="E258" s="60" t="str">
        <f t="shared" si="53"/>
        <v/>
      </c>
      <c r="F258" s="30" t="str">
        <f>IF($A258="","",IF(F$6="NÃO",0,Tabela!$H$34*ESTRUTURA!$I$4))</f>
        <v/>
      </c>
      <c r="G258" s="60" t="str">
        <f t="shared" si="53"/>
        <v/>
      </c>
      <c r="H258" s="30" t="str">
        <f>IF($A258="","",IF(H$6="NÃO",0,IF($A258=0,DATEDIF(ESTRUTURA!$F$3,ESTRUTURA!$F$4,"m")*Tabela!$H$6,Tabela!$H$6)))</f>
        <v/>
      </c>
      <c r="I258" s="60" t="str">
        <f t="shared" si="53"/>
        <v/>
      </c>
      <c r="J258" s="30" t="str">
        <f>IF($A258="","",IF(J$6="NÃO",0,IF($A258=0,DATEDIF(ESTRUTURA!$F$3,ESTRUTURA!$F$4,"m")*Tabela!$H$8,IF(J$6="NÃO",0,Tabela!$H$8))))</f>
        <v/>
      </c>
      <c r="K258" s="60" t="str">
        <f t="shared" si="53"/>
        <v/>
      </c>
      <c r="L258" s="30" t="str">
        <f t="shared" si="53"/>
        <v/>
      </c>
      <c r="M258" s="60" t="str">
        <f t="shared" si="53"/>
        <v/>
      </c>
      <c r="N258" s="30" t="str">
        <f t="shared" si="53"/>
        <v/>
      </c>
      <c r="O258" s="60" t="str">
        <f t="shared" si="53"/>
        <v/>
      </c>
      <c r="P258" s="30" t="str">
        <f t="shared" si="51"/>
        <v/>
      </c>
      <c r="Q258" s="60" t="str">
        <f t="shared" si="53"/>
        <v/>
      </c>
      <c r="R258" s="30" t="str">
        <f t="shared" si="53"/>
        <v/>
      </c>
      <c r="S258" s="60" t="str">
        <f>IF($A258="","",IF(S$6="NÃO",0,IF($A258=0,DATEDIF(ESTRUTURA!$F$3,ESTRUTURA!$F$4,"m")*Tabela!$H$17,Tabela!$H$17)))</f>
        <v/>
      </c>
      <c r="T258" s="30" t="str">
        <f>IF($A258="","",IF(T$6="NÃO",0,IF($A258=0,DATEDIF(ESTRUTURA!$F$3,ESTRUTURA!$F$4,"m")*Tabela!$H$18,Tabela!$H$18)))</f>
        <v/>
      </c>
      <c r="U258" s="60" t="str">
        <f t="shared" si="52"/>
        <v/>
      </c>
      <c r="V258" s="30" t="str">
        <f>IF($A258="","",IF(V$6="NÃO",0,IF($A258=0,DATEDIF(ESTRUTURA!$F$3,ESTRUTURA!$F$4,"m")*Tabela!$H$20,Tabela!$H$20)))</f>
        <v/>
      </c>
      <c r="W258" s="60" t="str">
        <f t="shared" si="52"/>
        <v/>
      </c>
      <c r="X258" s="30" t="str">
        <f t="shared" si="52"/>
        <v/>
      </c>
      <c r="Y258" s="60" t="str">
        <f>IF($A258="","",IF(Y$6="NÃO",0,IF(A258=0,Tabela!$H$23,IF(Y$7="mensal",Tabela!$H$23,IF(AND(MONTH(ESTRUTURA!C258)=MONTH(ESTRUTURA!$F$3),A258&gt;0),Tabela!$H$23,0)))))</f>
        <v/>
      </c>
      <c r="Z258" s="30" t="str">
        <f t="shared" si="52"/>
        <v/>
      </c>
      <c r="AA258" s="60" t="str">
        <f>IF($A258="","",IF(AA$6="NÃO",0,Tabela!$H$25*nm_séries))</f>
        <v/>
      </c>
      <c r="AB258" s="30" t="str">
        <f t="shared" si="52"/>
        <v/>
      </c>
      <c r="AC258" s="60" t="str">
        <f>IF($A258="","",IF(AC$6="NÃO",0,IF(A258=0,Tabela!$H$27,IF(MOD(A258,3)=0,Tabela!$H$27,0))))</f>
        <v/>
      </c>
      <c r="AD258" s="30" t="str">
        <f t="shared" si="52"/>
        <v/>
      </c>
      <c r="AE258" s="60" t="str">
        <f t="shared" si="52"/>
        <v/>
      </c>
      <c r="AF258" s="30" t="str">
        <f>IF($A258="","",IF(AF$6="NÃO",0,IF(AND(MONTH(ESTRUTURA!C258)=MONTH(ESTRUTURA!$F$3),A258&gt;0),Tabela!$H$30,0)))</f>
        <v/>
      </c>
      <c r="AG258" s="60" t="str">
        <f t="shared" si="52"/>
        <v/>
      </c>
      <c r="AH258" s="30" t="str">
        <f t="shared" si="52"/>
        <v/>
      </c>
      <c r="AI258" s="60" t="str">
        <f>IF($A258="","",IF(AI$6="NÃO",0,IF($A258=0,DATEDIF(ESTRUTURA!$F$3,ESTRUTURA!$F$4,"m")*Tabela!$H$33,Tabela!$H$33)))</f>
        <v/>
      </c>
      <c r="AJ258" s="30" t="str">
        <f t="shared" si="50"/>
        <v/>
      </c>
    </row>
    <row r="259" spans="1:36" x14ac:dyDescent="0.2">
      <c r="A259" s="66" t="str">
        <f>ESTRUTURA!A259</f>
        <v/>
      </c>
      <c r="B259" s="58">
        <f t="shared" si="44"/>
        <v>0</v>
      </c>
      <c r="C259" s="60" t="str">
        <f t="shared" si="53"/>
        <v/>
      </c>
      <c r="D259" s="30" t="str">
        <f t="shared" si="53"/>
        <v/>
      </c>
      <c r="E259" s="60" t="str">
        <f t="shared" si="53"/>
        <v/>
      </c>
      <c r="F259" s="30" t="str">
        <f>IF($A259="","",IF(F$6="NÃO",0,Tabela!$H$34*ESTRUTURA!$I$4))</f>
        <v/>
      </c>
      <c r="G259" s="60" t="str">
        <f t="shared" si="53"/>
        <v/>
      </c>
      <c r="H259" s="30" t="str">
        <f>IF($A259="","",IF(H$6="NÃO",0,IF($A259=0,DATEDIF(ESTRUTURA!$F$3,ESTRUTURA!$F$4,"m")*Tabela!$H$6,Tabela!$H$6)))</f>
        <v/>
      </c>
      <c r="I259" s="60" t="str">
        <f t="shared" si="53"/>
        <v/>
      </c>
      <c r="J259" s="30" t="str">
        <f>IF($A259="","",IF(J$6="NÃO",0,IF($A259=0,DATEDIF(ESTRUTURA!$F$3,ESTRUTURA!$F$4,"m")*Tabela!$H$8,IF(J$6="NÃO",0,Tabela!$H$8))))</f>
        <v/>
      </c>
      <c r="K259" s="60" t="str">
        <f t="shared" si="53"/>
        <v/>
      </c>
      <c r="L259" s="30" t="str">
        <f t="shared" si="53"/>
        <v/>
      </c>
      <c r="M259" s="60" t="str">
        <f t="shared" si="53"/>
        <v/>
      </c>
      <c r="N259" s="30" t="str">
        <f t="shared" si="53"/>
        <v/>
      </c>
      <c r="O259" s="60" t="str">
        <f t="shared" si="53"/>
        <v/>
      </c>
      <c r="P259" s="30" t="str">
        <f t="shared" si="51"/>
        <v/>
      </c>
      <c r="Q259" s="60" t="str">
        <f t="shared" si="53"/>
        <v/>
      </c>
      <c r="R259" s="30" t="str">
        <f t="shared" si="53"/>
        <v/>
      </c>
      <c r="S259" s="60" t="str">
        <f>IF($A259="","",IF(S$6="NÃO",0,IF($A259=0,DATEDIF(ESTRUTURA!$F$3,ESTRUTURA!$F$4,"m")*Tabela!$H$17,Tabela!$H$17)))</f>
        <v/>
      </c>
      <c r="T259" s="30" t="str">
        <f>IF($A259="","",IF(T$6="NÃO",0,IF($A259=0,DATEDIF(ESTRUTURA!$F$3,ESTRUTURA!$F$4,"m")*Tabela!$H$18,Tabela!$H$18)))</f>
        <v/>
      </c>
      <c r="U259" s="60" t="str">
        <f t="shared" si="52"/>
        <v/>
      </c>
      <c r="V259" s="30" t="str">
        <f>IF($A259="","",IF(V$6="NÃO",0,IF($A259=0,DATEDIF(ESTRUTURA!$F$3,ESTRUTURA!$F$4,"m")*Tabela!$H$20,Tabela!$H$20)))</f>
        <v/>
      </c>
      <c r="W259" s="60" t="str">
        <f t="shared" si="52"/>
        <v/>
      </c>
      <c r="X259" s="30" t="str">
        <f t="shared" si="52"/>
        <v/>
      </c>
      <c r="Y259" s="60" t="str">
        <f>IF($A259="","",IF(Y$6="NÃO",0,IF(A259=0,Tabela!$H$23,IF(Y$7="mensal",Tabela!$H$23,IF(AND(MONTH(ESTRUTURA!C259)=MONTH(ESTRUTURA!$F$3),A259&gt;0),Tabela!$H$23,0)))))</f>
        <v/>
      </c>
      <c r="Z259" s="30" t="str">
        <f t="shared" si="52"/>
        <v/>
      </c>
      <c r="AA259" s="60" t="str">
        <f>IF($A259="","",IF(AA$6="NÃO",0,Tabela!$H$25*nm_séries))</f>
        <v/>
      </c>
      <c r="AB259" s="30" t="str">
        <f t="shared" si="52"/>
        <v/>
      </c>
      <c r="AC259" s="60" t="str">
        <f>IF($A259="","",IF(AC$6="NÃO",0,IF(A259=0,Tabela!$H$27,IF(MOD(A259,3)=0,Tabela!$H$27,0))))</f>
        <v/>
      </c>
      <c r="AD259" s="30" t="str">
        <f t="shared" si="52"/>
        <v/>
      </c>
      <c r="AE259" s="60" t="str">
        <f t="shared" si="52"/>
        <v/>
      </c>
      <c r="AF259" s="30" t="str">
        <f>IF($A259="","",IF(AF$6="NÃO",0,IF(AND(MONTH(ESTRUTURA!C259)=MONTH(ESTRUTURA!$F$3),A259&gt;0),Tabela!$H$30,0)))</f>
        <v/>
      </c>
      <c r="AG259" s="60" t="str">
        <f t="shared" si="52"/>
        <v/>
      </c>
      <c r="AH259" s="30" t="str">
        <f t="shared" si="52"/>
        <v/>
      </c>
      <c r="AI259" s="60" t="str">
        <f>IF($A259="","",IF(AI$6="NÃO",0,IF($A259=0,DATEDIF(ESTRUTURA!$F$3,ESTRUTURA!$F$4,"m")*Tabela!$H$33,Tabela!$H$33)))</f>
        <v/>
      </c>
      <c r="AJ259" s="30" t="str">
        <f t="shared" si="50"/>
        <v/>
      </c>
    </row>
    <row r="260" spans="1:36" x14ac:dyDescent="0.2">
      <c r="A260" s="66" t="str">
        <f>ESTRUTURA!A260</f>
        <v/>
      </c>
      <c r="B260" s="58">
        <f t="shared" si="44"/>
        <v>0</v>
      </c>
      <c r="C260" s="60" t="str">
        <f t="shared" si="53"/>
        <v/>
      </c>
      <c r="D260" s="30" t="str">
        <f t="shared" si="53"/>
        <v/>
      </c>
      <c r="E260" s="60" t="str">
        <f t="shared" si="53"/>
        <v/>
      </c>
      <c r="F260" s="30" t="str">
        <f>IF($A260="","",IF(F$6="NÃO",0,Tabela!$H$34*ESTRUTURA!$I$4))</f>
        <v/>
      </c>
      <c r="G260" s="60" t="str">
        <f t="shared" si="53"/>
        <v/>
      </c>
      <c r="H260" s="30" t="str">
        <f>IF($A260="","",IF(H$6="NÃO",0,IF($A260=0,DATEDIF(ESTRUTURA!$F$3,ESTRUTURA!$F$4,"m")*Tabela!$H$6,Tabela!$H$6)))</f>
        <v/>
      </c>
      <c r="I260" s="60" t="str">
        <f t="shared" si="53"/>
        <v/>
      </c>
      <c r="J260" s="30" t="str">
        <f>IF($A260="","",IF(J$6="NÃO",0,IF($A260=0,DATEDIF(ESTRUTURA!$F$3,ESTRUTURA!$F$4,"m")*Tabela!$H$8,IF(J$6="NÃO",0,Tabela!$H$8))))</f>
        <v/>
      </c>
      <c r="K260" s="60" t="str">
        <f t="shared" si="53"/>
        <v/>
      </c>
      <c r="L260" s="30" t="str">
        <f t="shared" si="53"/>
        <v/>
      </c>
      <c r="M260" s="60" t="str">
        <f t="shared" si="53"/>
        <v/>
      </c>
      <c r="N260" s="30" t="str">
        <f t="shared" si="53"/>
        <v/>
      </c>
      <c r="O260" s="60" t="str">
        <f t="shared" si="53"/>
        <v/>
      </c>
      <c r="P260" s="30" t="str">
        <f t="shared" si="51"/>
        <v/>
      </c>
      <c r="Q260" s="60" t="str">
        <f t="shared" si="53"/>
        <v/>
      </c>
      <c r="R260" s="30" t="str">
        <f t="shared" si="53"/>
        <v/>
      </c>
      <c r="S260" s="60" t="str">
        <f>IF($A260="","",IF(S$6="NÃO",0,IF($A260=0,DATEDIF(ESTRUTURA!$F$3,ESTRUTURA!$F$4,"m")*Tabela!$H$17,Tabela!$H$17)))</f>
        <v/>
      </c>
      <c r="T260" s="30" t="str">
        <f>IF($A260="","",IF(T$6="NÃO",0,IF($A260=0,DATEDIF(ESTRUTURA!$F$3,ESTRUTURA!$F$4,"m")*Tabela!$H$18,Tabela!$H$18)))</f>
        <v/>
      </c>
      <c r="U260" s="60" t="str">
        <f t="shared" si="52"/>
        <v/>
      </c>
      <c r="V260" s="30" t="str">
        <f>IF($A260="","",IF(V$6="NÃO",0,IF($A260=0,DATEDIF(ESTRUTURA!$F$3,ESTRUTURA!$F$4,"m")*Tabela!$H$20,Tabela!$H$20)))</f>
        <v/>
      </c>
      <c r="W260" s="60" t="str">
        <f t="shared" si="52"/>
        <v/>
      </c>
      <c r="X260" s="30" t="str">
        <f t="shared" si="52"/>
        <v/>
      </c>
      <c r="Y260" s="60" t="str">
        <f>IF($A260="","",IF(Y$6="NÃO",0,IF(A260=0,Tabela!$H$23,IF(Y$7="mensal",Tabela!$H$23,IF(AND(MONTH(ESTRUTURA!C260)=MONTH(ESTRUTURA!$F$3),A260&gt;0),Tabela!$H$23,0)))))</f>
        <v/>
      </c>
      <c r="Z260" s="30" t="str">
        <f t="shared" si="52"/>
        <v/>
      </c>
      <c r="AA260" s="60" t="str">
        <f>IF($A260="","",IF(AA$6="NÃO",0,Tabela!$H$25*nm_séries))</f>
        <v/>
      </c>
      <c r="AB260" s="30" t="str">
        <f t="shared" si="52"/>
        <v/>
      </c>
      <c r="AC260" s="60" t="str">
        <f>IF($A260="","",IF(AC$6="NÃO",0,IF(A260=0,Tabela!$H$27,IF(MOD(A260,3)=0,Tabela!$H$27,0))))</f>
        <v/>
      </c>
      <c r="AD260" s="30" t="str">
        <f t="shared" si="52"/>
        <v/>
      </c>
      <c r="AE260" s="60" t="str">
        <f t="shared" si="52"/>
        <v/>
      </c>
      <c r="AF260" s="30" t="str">
        <f>IF($A260="","",IF(AF$6="NÃO",0,IF(AND(MONTH(ESTRUTURA!C260)=MONTH(ESTRUTURA!$F$3),A260&gt;0),Tabela!$H$30,0)))</f>
        <v/>
      </c>
      <c r="AG260" s="60" t="str">
        <f t="shared" si="52"/>
        <v/>
      </c>
      <c r="AH260" s="30" t="str">
        <f t="shared" si="52"/>
        <v/>
      </c>
      <c r="AI260" s="60" t="str">
        <f>IF($A260="","",IF(AI$6="NÃO",0,IF($A260=0,DATEDIF(ESTRUTURA!$F$3,ESTRUTURA!$F$4,"m")*Tabela!$H$33,Tabela!$H$33)))</f>
        <v/>
      </c>
      <c r="AJ260" s="30" t="str">
        <f t="shared" si="50"/>
        <v/>
      </c>
    </row>
    <row r="261" spans="1:36" x14ac:dyDescent="0.2">
      <c r="A261" s="66" t="str">
        <f>ESTRUTURA!A261</f>
        <v/>
      </c>
      <c r="B261" s="58">
        <f t="shared" si="44"/>
        <v>0</v>
      </c>
      <c r="C261" s="60" t="str">
        <f t="shared" si="53"/>
        <v/>
      </c>
      <c r="D261" s="30" t="str">
        <f t="shared" si="53"/>
        <v/>
      </c>
      <c r="E261" s="60" t="str">
        <f t="shared" si="53"/>
        <v/>
      </c>
      <c r="F261" s="30" t="str">
        <f>IF($A261="","",IF(F$6="NÃO",0,Tabela!$H$34*ESTRUTURA!$I$4))</f>
        <v/>
      </c>
      <c r="G261" s="60" t="str">
        <f t="shared" si="53"/>
        <v/>
      </c>
      <c r="H261" s="30" t="str">
        <f>IF($A261="","",IF(H$6="NÃO",0,IF($A261=0,DATEDIF(ESTRUTURA!$F$3,ESTRUTURA!$F$4,"m")*Tabela!$H$6,Tabela!$H$6)))</f>
        <v/>
      </c>
      <c r="I261" s="60" t="str">
        <f t="shared" si="53"/>
        <v/>
      </c>
      <c r="J261" s="30" t="str">
        <f>IF($A261="","",IF(J$6="NÃO",0,IF($A261=0,DATEDIF(ESTRUTURA!$F$3,ESTRUTURA!$F$4,"m")*Tabela!$H$8,IF(J$6="NÃO",0,Tabela!$H$8))))</f>
        <v/>
      </c>
      <c r="K261" s="60" t="str">
        <f t="shared" si="53"/>
        <v/>
      </c>
      <c r="L261" s="30" t="str">
        <f t="shared" si="53"/>
        <v/>
      </c>
      <c r="M261" s="60" t="str">
        <f t="shared" si="53"/>
        <v/>
      </c>
      <c r="N261" s="30" t="str">
        <f t="shared" si="53"/>
        <v/>
      </c>
      <c r="O261" s="60" t="str">
        <f t="shared" si="53"/>
        <v/>
      </c>
      <c r="P261" s="30" t="str">
        <f t="shared" si="51"/>
        <v/>
      </c>
      <c r="Q261" s="60" t="str">
        <f t="shared" si="53"/>
        <v/>
      </c>
      <c r="R261" s="30" t="str">
        <f t="shared" si="53"/>
        <v/>
      </c>
      <c r="S261" s="60" t="str">
        <f>IF($A261="","",IF(S$6="NÃO",0,IF($A261=0,DATEDIF(ESTRUTURA!$F$3,ESTRUTURA!$F$4,"m")*Tabela!$H$17,Tabela!$H$17)))</f>
        <v/>
      </c>
      <c r="T261" s="30" t="str">
        <f>IF($A261="","",IF(T$6="NÃO",0,IF($A261=0,DATEDIF(ESTRUTURA!$F$3,ESTRUTURA!$F$4,"m")*Tabela!$H$18,Tabela!$H$18)))</f>
        <v/>
      </c>
      <c r="U261" s="60" t="str">
        <f t="shared" si="52"/>
        <v/>
      </c>
      <c r="V261" s="30" t="str">
        <f>IF($A261="","",IF(V$6="NÃO",0,IF($A261=0,DATEDIF(ESTRUTURA!$F$3,ESTRUTURA!$F$4,"m")*Tabela!$H$20,Tabela!$H$20)))</f>
        <v/>
      </c>
      <c r="W261" s="60" t="str">
        <f t="shared" si="52"/>
        <v/>
      </c>
      <c r="X261" s="30" t="str">
        <f t="shared" si="52"/>
        <v/>
      </c>
      <c r="Y261" s="60" t="str">
        <f>IF($A261="","",IF(Y$6="NÃO",0,IF(A261=0,Tabela!$H$23,IF(Y$7="mensal",Tabela!$H$23,IF(AND(MONTH(ESTRUTURA!C261)=MONTH(ESTRUTURA!$F$3),A261&gt;0),Tabela!$H$23,0)))))</f>
        <v/>
      </c>
      <c r="Z261" s="30" t="str">
        <f t="shared" si="52"/>
        <v/>
      </c>
      <c r="AA261" s="60" t="str">
        <f>IF($A261="","",IF(AA$6="NÃO",0,Tabela!$H$25*nm_séries))</f>
        <v/>
      </c>
      <c r="AB261" s="30" t="str">
        <f t="shared" si="52"/>
        <v/>
      </c>
      <c r="AC261" s="60" t="str">
        <f>IF($A261="","",IF(AC$6="NÃO",0,IF(A261=0,Tabela!$H$27,IF(MOD(A261,3)=0,Tabela!$H$27,0))))</f>
        <v/>
      </c>
      <c r="AD261" s="30" t="str">
        <f t="shared" si="52"/>
        <v/>
      </c>
      <c r="AE261" s="60" t="str">
        <f t="shared" si="52"/>
        <v/>
      </c>
      <c r="AF261" s="30" t="str">
        <f>IF($A261="","",IF(AF$6="NÃO",0,IF(AND(MONTH(ESTRUTURA!C261)=MONTH(ESTRUTURA!$F$3),A261&gt;0),Tabela!$H$30,0)))</f>
        <v/>
      </c>
      <c r="AG261" s="60" t="str">
        <f t="shared" si="52"/>
        <v/>
      </c>
      <c r="AH261" s="30" t="str">
        <f t="shared" si="52"/>
        <v/>
      </c>
      <c r="AI261" s="60" t="str">
        <f>IF($A261="","",IF(AI$6="NÃO",0,IF($A261=0,DATEDIF(ESTRUTURA!$F$3,ESTRUTURA!$F$4,"m")*Tabela!$H$33,Tabela!$H$33)))</f>
        <v/>
      </c>
      <c r="AJ261" s="30" t="str">
        <f t="shared" si="50"/>
        <v/>
      </c>
    </row>
    <row r="262" spans="1:36" x14ac:dyDescent="0.2">
      <c r="A262" s="66" t="str">
        <f>ESTRUTURA!A262</f>
        <v/>
      </c>
      <c r="B262" s="58">
        <f t="shared" si="44"/>
        <v>0</v>
      </c>
      <c r="C262" s="60" t="str">
        <f t="shared" si="53"/>
        <v/>
      </c>
      <c r="D262" s="30" t="str">
        <f t="shared" si="53"/>
        <v/>
      </c>
      <c r="E262" s="60" t="str">
        <f t="shared" si="53"/>
        <v/>
      </c>
      <c r="F262" s="30" t="str">
        <f>IF($A262="","",IF(F$6="NÃO",0,Tabela!$H$34*ESTRUTURA!$I$4))</f>
        <v/>
      </c>
      <c r="G262" s="60" t="str">
        <f t="shared" si="53"/>
        <v/>
      </c>
      <c r="H262" s="30" t="str">
        <f>IF($A262="","",IF(H$6="NÃO",0,IF($A262=0,DATEDIF(ESTRUTURA!$F$3,ESTRUTURA!$F$4,"m")*Tabela!$H$6,Tabela!$H$6)))</f>
        <v/>
      </c>
      <c r="I262" s="60" t="str">
        <f t="shared" si="53"/>
        <v/>
      </c>
      <c r="J262" s="30" t="str">
        <f>IF($A262="","",IF(J$6="NÃO",0,IF($A262=0,DATEDIF(ESTRUTURA!$F$3,ESTRUTURA!$F$4,"m")*Tabela!$H$8,IF(J$6="NÃO",0,Tabela!$H$8))))</f>
        <v/>
      </c>
      <c r="K262" s="60" t="str">
        <f t="shared" si="53"/>
        <v/>
      </c>
      <c r="L262" s="30" t="str">
        <f t="shared" si="53"/>
        <v/>
      </c>
      <c r="M262" s="60" t="str">
        <f t="shared" si="53"/>
        <v/>
      </c>
      <c r="N262" s="30" t="str">
        <f t="shared" si="53"/>
        <v/>
      </c>
      <c r="O262" s="60" t="str">
        <f t="shared" si="53"/>
        <v/>
      </c>
      <c r="P262" s="30" t="str">
        <f t="shared" si="51"/>
        <v/>
      </c>
      <c r="Q262" s="60" t="str">
        <f t="shared" si="53"/>
        <v/>
      </c>
      <c r="R262" s="30" t="str">
        <f t="shared" si="53"/>
        <v/>
      </c>
      <c r="S262" s="60" t="str">
        <f>IF($A262="","",IF(S$6="NÃO",0,IF($A262=0,DATEDIF(ESTRUTURA!$F$3,ESTRUTURA!$F$4,"m")*Tabela!$H$17,Tabela!$H$17)))</f>
        <v/>
      </c>
      <c r="T262" s="30" t="str">
        <f>IF($A262="","",IF(T$6="NÃO",0,IF($A262=0,DATEDIF(ESTRUTURA!$F$3,ESTRUTURA!$F$4,"m")*Tabela!$H$18,Tabela!$H$18)))</f>
        <v/>
      </c>
      <c r="U262" s="60" t="str">
        <f t="shared" si="52"/>
        <v/>
      </c>
      <c r="V262" s="30" t="str">
        <f>IF($A262="","",IF(V$6="NÃO",0,IF($A262=0,DATEDIF(ESTRUTURA!$F$3,ESTRUTURA!$F$4,"m")*Tabela!$H$20,Tabela!$H$20)))</f>
        <v/>
      </c>
      <c r="W262" s="60" t="str">
        <f t="shared" si="52"/>
        <v/>
      </c>
      <c r="X262" s="30" t="str">
        <f t="shared" si="52"/>
        <v/>
      </c>
      <c r="Y262" s="60" t="str">
        <f>IF($A262="","",IF(Y$6="NÃO",0,IF(A262=0,Tabela!$H$23,IF(Y$7="mensal",Tabela!$H$23,IF(AND(MONTH(ESTRUTURA!C262)=MONTH(ESTRUTURA!$F$3),A262&gt;0),Tabela!$H$23,0)))))</f>
        <v/>
      </c>
      <c r="Z262" s="30" t="str">
        <f t="shared" si="52"/>
        <v/>
      </c>
      <c r="AA262" s="60" t="str">
        <f>IF($A262="","",IF(AA$6="NÃO",0,Tabela!$H$25*nm_séries))</f>
        <v/>
      </c>
      <c r="AB262" s="30" t="str">
        <f t="shared" si="52"/>
        <v/>
      </c>
      <c r="AC262" s="60" t="str">
        <f>IF($A262="","",IF(AC$6="NÃO",0,IF(A262=0,Tabela!$H$27,IF(MOD(A262,3)=0,Tabela!$H$27,0))))</f>
        <v/>
      </c>
      <c r="AD262" s="30" t="str">
        <f t="shared" si="52"/>
        <v/>
      </c>
      <c r="AE262" s="60" t="str">
        <f t="shared" si="52"/>
        <v/>
      </c>
      <c r="AF262" s="30" t="str">
        <f>IF($A262="","",IF(AF$6="NÃO",0,IF(AND(MONTH(ESTRUTURA!C262)=MONTH(ESTRUTURA!$F$3),A262&gt;0),Tabela!$H$30,0)))</f>
        <v/>
      </c>
      <c r="AG262" s="60" t="str">
        <f t="shared" si="52"/>
        <v/>
      </c>
      <c r="AH262" s="30" t="str">
        <f t="shared" si="52"/>
        <v/>
      </c>
      <c r="AI262" s="60" t="str">
        <f>IF($A262="","",IF(AI$6="NÃO",0,IF($A262=0,DATEDIF(ESTRUTURA!$F$3,ESTRUTURA!$F$4,"m")*Tabela!$H$33,Tabela!$H$33)))</f>
        <v/>
      </c>
      <c r="AJ262" s="30" t="str">
        <f t="shared" si="50"/>
        <v/>
      </c>
    </row>
    <row r="263" spans="1:36" x14ac:dyDescent="0.2">
      <c r="A263" s="66" t="str">
        <f>ESTRUTURA!A263</f>
        <v/>
      </c>
      <c r="B263" s="58">
        <f t="shared" si="44"/>
        <v>0</v>
      </c>
      <c r="C263" s="60" t="str">
        <f t="shared" si="53"/>
        <v/>
      </c>
      <c r="D263" s="30" t="str">
        <f t="shared" si="53"/>
        <v/>
      </c>
      <c r="E263" s="60" t="str">
        <f t="shared" si="53"/>
        <v/>
      </c>
      <c r="F263" s="30" t="str">
        <f>IF($A263="","",IF(F$6="NÃO",0,Tabela!$H$34*ESTRUTURA!$I$4))</f>
        <v/>
      </c>
      <c r="G263" s="60" t="str">
        <f t="shared" si="53"/>
        <v/>
      </c>
      <c r="H263" s="30" t="str">
        <f>IF($A263="","",IF(H$6="NÃO",0,IF($A263=0,DATEDIF(ESTRUTURA!$F$3,ESTRUTURA!$F$4,"m")*Tabela!$H$6,Tabela!$H$6)))</f>
        <v/>
      </c>
      <c r="I263" s="60" t="str">
        <f t="shared" si="53"/>
        <v/>
      </c>
      <c r="J263" s="30" t="str">
        <f>IF($A263="","",IF(J$6="NÃO",0,IF($A263=0,DATEDIF(ESTRUTURA!$F$3,ESTRUTURA!$F$4,"m")*Tabela!$H$8,IF(J$6="NÃO",0,Tabela!$H$8))))</f>
        <v/>
      </c>
      <c r="K263" s="60" t="str">
        <f t="shared" si="53"/>
        <v/>
      </c>
      <c r="L263" s="30" t="str">
        <f t="shared" si="53"/>
        <v/>
      </c>
      <c r="M263" s="60" t="str">
        <f t="shared" si="53"/>
        <v/>
      </c>
      <c r="N263" s="30" t="str">
        <f t="shared" si="53"/>
        <v/>
      </c>
      <c r="O263" s="60" t="str">
        <f t="shared" si="53"/>
        <v/>
      </c>
      <c r="P263" s="30" t="str">
        <f t="shared" si="51"/>
        <v/>
      </c>
      <c r="Q263" s="60" t="str">
        <f t="shared" si="53"/>
        <v/>
      </c>
      <c r="R263" s="30" t="str">
        <f t="shared" si="53"/>
        <v/>
      </c>
      <c r="S263" s="60" t="str">
        <f>IF($A263="","",IF(S$6="NÃO",0,IF($A263=0,DATEDIF(ESTRUTURA!$F$3,ESTRUTURA!$F$4,"m")*Tabela!$H$17,Tabela!$H$17)))</f>
        <v/>
      </c>
      <c r="T263" s="30" t="str">
        <f>IF($A263="","",IF(T$6="NÃO",0,IF($A263=0,DATEDIF(ESTRUTURA!$F$3,ESTRUTURA!$F$4,"m")*Tabela!$H$18,Tabela!$H$18)))</f>
        <v/>
      </c>
      <c r="U263" s="60" t="str">
        <f t="shared" si="52"/>
        <v/>
      </c>
      <c r="V263" s="30" t="str">
        <f>IF($A263="","",IF(V$6="NÃO",0,IF($A263=0,DATEDIF(ESTRUTURA!$F$3,ESTRUTURA!$F$4,"m")*Tabela!$H$20,Tabela!$H$20)))</f>
        <v/>
      </c>
      <c r="W263" s="60" t="str">
        <f t="shared" si="52"/>
        <v/>
      </c>
      <c r="X263" s="30" t="str">
        <f t="shared" si="52"/>
        <v/>
      </c>
      <c r="Y263" s="60" t="str">
        <f>IF($A263="","",IF(Y$6="NÃO",0,IF(A263=0,Tabela!$H$23,IF(Y$7="mensal",Tabela!$H$23,IF(AND(MONTH(ESTRUTURA!C263)=MONTH(ESTRUTURA!$F$3),A263&gt;0),Tabela!$H$23,0)))))</f>
        <v/>
      </c>
      <c r="Z263" s="30" t="str">
        <f t="shared" si="52"/>
        <v/>
      </c>
      <c r="AA263" s="60" t="str">
        <f>IF($A263="","",IF(AA$6="NÃO",0,Tabela!$H$25*nm_séries))</f>
        <v/>
      </c>
      <c r="AB263" s="30" t="str">
        <f t="shared" si="52"/>
        <v/>
      </c>
      <c r="AC263" s="60" t="str">
        <f>IF($A263="","",IF(AC$6="NÃO",0,IF(A263=0,Tabela!$H$27,IF(MOD(A263,3)=0,Tabela!$H$27,0))))</f>
        <v/>
      </c>
      <c r="AD263" s="30" t="str">
        <f t="shared" si="52"/>
        <v/>
      </c>
      <c r="AE263" s="60" t="str">
        <f t="shared" si="52"/>
        <v/>
      </c>
      <c r="AF263" s="30" t="str">
        <f>IF($A263="","",IF(AF$6="NÃO",0,IF(AND(MONTH(ESTRUTURA!C263)=MONTH(ESTRUTURA!$F$3),A263&gt;0),Tabela!$H$30,0)))</f>
        <v/>
      </c>
      <c r="AG263" s="60" t="str">
        <f t="shared" si="52"/>
        <v/>
      </c>
      <c r="AH263" s="30" t="str">
        <f t="shared" si="52"/>
        <v/>
      </c>
      <c r="AI263" s="60" t="str">
        <f>IF($A263="","",IF(AI$6="NÃO",0,IF($A263=0,DATEDIF(ESTRUTURA!$F$3,ESTRUTURA!$F$4,"m")*Tabela!$H$33,Tabela!$H$33)))</f>
        <v/>
      </c>
      <c r="AJ263" s="30" t="str">
        <f t="shared" si="50"/>
        <v/>
      </c>
    </row>
    <row r="264" spans="1:36" x14ac:dyDescent="0.2">
      <c r="A264" s="66" t="str">
        <f>ESTRUTURA!A264</f>
        <v/>
      </c>
      <c r="B264" s="58">
        <f t="shared" si="44"/>
        <v>0</v>
      </c>
      <c r="C264" s="60" t="str">
        <f t="shared" si="53"/>
        <v/>
      </c>
      <c r="D264" s="30" t="str">
        <f t="shared" si="53"/>
        <v/>
      </c>
      <c r="E264" s="60" t="str">
        <f t="shared" si="53"/>
        <v/>
      </c>
      <c r="F264" s="30" t="str">
        <f>IF($A264="","",IF(F$6="NÃO",0,Tabela!$H$34*ESTRUTURA!$I$4))</f>
        <v/>
      </c>
      <c r="G264" s="60" t="str">
        <f t="shared" si="53"/>
        <v/>
      </c>
      <c r="H264" s="30" t="str">
        <f>IF($A264="","",IF(H$6="NÃO",0,IF($A264=0,DATEDIF(ESTRUTURA!$F$3,ESTRUTURA!$F$4,"m")*Tabela!$H$6,Tabela!$H$6)))</f>
        <v/>
      </c>
      <c r="I264" s="60" t="str">
        <f t="shared" si="53"/>
        <v/>
      </c>
      <c r="J264" s="30" t="str">
        <f>IF($A264="","",IF(J$6="NÃO",0,IF($A264=0,DATEDIF(ESTRUTURA!$F$3,ESTRUTURA!$F$4,"m")*Tabela!$H$8,IF(J$6="NÃO",0,Tabela!$H$8))))</f>
        <v/>
      </c>
      <c r="K264" s="60" t="str">
        <f t="shared" si="53"/>
        <v/>
      </c>
      <c r="L264" s="30" t="str">
        <f t="shared" si="53"/>
        <v/>
      </c>
      <c r="M264" s="60" t="str">
        <f t="shared" si="53"/>
        <v/>
      </c>
      <c r="N264" s="30" t="str">
        <f t="shared" si="53"/>
        <v/>
      </c>
      <c r="O264" s="60" t="str">
        <f t="shared" si="53"/>
        <v/>
      </c>
      <c r="P264" s="30" t="str">
        <f t="shared" si="51"/>
        <v/>
      </c>
      <c r="Q264" s="60" t="str">
        <f t="shared" si="53"/>
        <v/>
      </c>
      <c r="R264" s="30" t="str">
        <f t="shared" si="53"/>
        <v/>
      </c>
      <c r="S264" s="60" t="str">
        <f>IF($A264="","",IF(S$6="NÃO",0,IF($A264=0,DATEDIF(ESTRUTURA!$F$3,ESTRUTURA!$F$4,"m")*Tabela!$H$17,Tabela!$H$17)))</f>
        <v/>
      </c>
      <c r="T264" s="30" t="str">
        <f>IF($A264="","",IF(T$6="NÃO",0,IF($A264=0,DATEDIF(ESTRUTURA!$F$3,ESTRUTURA!$F$4,"m")*Tabela!$H$18,Tabela!$H$18)))</f>
        <v/>
      </c>
      <c r="U264" s="60" t="str">
        <f t="shared" si="52"/>
        <v/>
      </c>
      <c r="V264" s="30" t="str">
        <f>IF($A264="","",IF(V$6="NÃO",0,IF($A264=0,DATEDIF(ESTRUTURA!$F$3,ESTRUTURA!$F$4,"m")*Tabela!$H$20,Tabela!$H$20)))</f>
        <v/>
      </c>
      <c r="W264" s="60" t="str">
        <f t="shared" si="52"/>
        <v/>
      </c>
      <c r="X264" s="30" t="str">
        <f t="shared" si="52"/>
        <v/>
      </c>
      <c r="Y264" s="60" t="str">
        <f>IF($A264="","",IF(Y$6="NÃO",0,IF(A264=0,Tabela!$H$23,IF(Y$7="mensal",Tabela!$H$23,IF(AND(MONTH(ESTRUTURA!C264)=MONTH(ESTRUTURA!$F$3),A264&gt;0),Tabela!$H$23,0)))))</f>
        <v/>
      </c>
      <c r="Z264" s="30" t="str">
        <f t="shared" si="52"/>
        <v/>
      </c>
      <c r="AA264" s="60" t="str">
        <f>IF($A264="","",IF(AA$6="NÃO",0,Tabela!$H$25*nm_séries))</f>
        <v/>
      </c>
      <c r="AB264" s="30" t="str">
        <f t="shared" si="52"/>
        <v/>
      </c>
      <c r="AC264" s="60" t="str">
        <f>IF($A264="","",IF(AC$6="NÃO",0,IF(A264=0,Tabela!$H$27,IF(MOD(A264,3)=0,Tabela!$H$27,0))))</f>
        <v/>
      </c>
      <c r="AD264" s="30" t="str">
        <f t="shared" si="52"/>
        <v/>
      </c>
      <c r="AE264" s="60" t="str">
        <f t="shared" si="52"/>
        <v/>
      </c>
      <c r="AF264" s="30" t="str">
        <f>IF($A264="","",IF(AF$6="NÃO",0,IF(AND(MONTH(ESTRUTURA!C264)=MONTH(ESTRUTURA!$F$3),A264&gt;0),Tabela!$H$30,0)))</f>
        <v/>
      </c>
      <c r="AG264" s="60" t="str">
        <f t="shared" si="52"/>
        <v/>
      </c>
      <c r="AH264" s="30" t="str">
        <f t="shared" si="52"/>
        <v/>
      </c>
      <c r="AI264" s="60" t="str">
        <f>IF($A264="","",IF(AI$6="NÃO",0,IF($A264=0,DATEDIF(ESTRUTURA!$F$3,ESTRUTURA!$F$4,"m")*Tabela!$H$33,Tabela!$H$33)))</f>
        <v/>
      </c>
      <c r="AJ264" s="30" t="str">
        <f t="shared" si="50"/>
        <v/>
      </c>
    </row>
    <row r="265" spans="1:36" x14ac:dyDescent="0.2">
      <c r="A265" s="66" t="str">
        <f>ESTRUTURA!A265</f>
        <v/>
      </c>
      <c r="B265" s="58">
        <f t="shared" si="44"/>
        <v>0</v>
      </c>
      <c r="C265" s="60" t="str">
        <f t="shared" si="53"/>
        <v/>
      </c>
      <c r="D265" s="30" t="str">
        <f t="shared" si="53"/>
        <v/>
      </c>
      <c r="E265" s="60" t="str">
        <f t="shared" si="53"/>
        <v/>
      </c>
      <c r="F265" s="30" t="str">
        <f>IF($A265="","",IF(F$6="NÃO",0,Tabela!$H$34*ESTRUTURA!$I$4))</f>
        <v/>
      </c>
      <c r="G265" s="60" t="str">
        <f t="shared" si="53"/>
        <v/>
      </c>
      <c r="H265" s="30" t="str">
        <f>IF($A265="","",IF(H$6="NÃO",0,IF($A265=0,DATEDIF(ESTRUTURA!$F$3,ESTRUTURA!$F$4,"m")*Tabela!$H$6,Tabela!$H$6)))</f>
        <v/>
      </c>
      <c r="I265" s="60" t="str">
        <f t="shared" si="53"/>
        <v/>
      </c>
      <c r="J265" s="30" t="str">
        <f>IF($A265="","",IF(J$6="NÃO",0,IF($A265=0,DATEDIF(ESTRUTURA!$F$3,ESTRUTURA!$F$4,"m")*Tabela!$H$8,IF(J$6="NÃO",0,Tabela!$H$8))))</f>
        <v/>
      </c>
      <c r="K265" s="60" t="str">
        <f t="shared" si="53"/>
        <v/>
      </c>
      <c r="L265" s="30" t="str">
        <f t="shared" si="53"/>
        <v/>
      </c>
      <c r="M265" s="60" t="str">
        <f t="shared" si="53"/>
        <v/>
      </c>
      <c r="N265" s="30" t="str">
        <f t="shared" si="53"/>
        <v/>
      </c>
      <c r="O265" s="60" t="str">
        <f t="shared" si="53"/>
        <v/>
      </c>
      <c r="P265" s="30" t="str">
        <f t="shared" si="51"/>
        <v/>
      </c>
      <c r="Q265" s="60" t="str">
        <f t="shared" si="53"/>
        <v/>
      </c>
      <c r="R265" s="30" t="str">
        <f t="shared" si="53"/>
        <v/>
      </c>
      <c r="S265" s="60" t="str">
        <f>IF($A265="","",IF(S$6="NÃO",0,IF($A265=0,DATEDIF(ESTRUTURA!$F$3,ESTRUTURA!$F$4,"m")*Tabela!$H$17,Tabela!$H$17)))</f>
        <v/>
      </c>
      <c r="T265" s="30" t="str">
        <f>IF($A265="","",IF(T$6="NÃO",0,IF($A265=0,DATEDIF(ESTRUTURA!$F$3,ESTRUTURA!$F$4,"m")*Tabela!$H$18,Tabela!$H$18)))</f>
        <v/>
      </c>
      <c r="U265" s="60" t="str">
        <f t="shared" si="52"/>
        <v/>
      </c>
      <c r="V265" s="30" t="str">
        <f>IF($A265="","",IF(V$6="NÃO",0,IF($A265=0,DATEDIF(ESTRUTURA!$F$3,ESTRUTURA!$F$4,"m")*Tabela!$H$20,Tabela!$H$20)))</f>
        <v/>
      </c>
      <c r="W265" s="60" t="str">
        <f t="shared" si="52"/>
        <v/>
      </c>
      <c r="X265" s="30" t="str">
        <f t="shared" si="52"/>
        <v/>
      </c>
      <c r="Y265" s="60" t="str">
        <f>IF($A265="","",IF(Y$6="NÃO",0,IF(A265=0,Tabela!$H$23,IF(Y$7="mensal",Tabela!$H$23,IF(AND(MONTH(ESTRUTURA!C265)=MONTH(ESTRUTURA!$F$3),A265&gt;0),Tabela!$H$23,0)))))</f>
        <v/>
      </c>
      <c r="Z265" s="30" t="str">
        <f t="shared" si="52"/>
        <v/>
      </c>
      <c r="AA265" s="60" t="str">
        <f>IF($A265="","",IF(AA$6="NÃO",0,Tabela!$H$25*nm_séries))</f>
        <v/>
      </c>
      <c r="AB265" s="30" t="str">
        <f t="shared" si="52"/>
        <v/>
      </c>
      <c r="AC265" s="60" t="str">
        <f>IF($A265="","",IF(AC$6="NÃO",0,IF(A265=0,Tabela!$H$27,IF(MOD(A265,3)=0,Tabela!$H$27,0))))</f>
        <v/>
      </c>
      <c r="AD265" s="30" t="str">
        <f t="shared" si="52"/>
        <v/>
      </c>
      <c r="AE265" s="60" t="str">
        <f t="shared" si="52"/>
        <v/>
      </c>
      <c r="AF265" s="30" t="str">
        <f>IF($A265="","",IF(AF$6="NÃO",0,IF(AND(MONTH(ESTRUTURA!C265)=MONTH(ESTRUTURA!$F$3),A265&gt;0),Tabela!$H$30,0)))</f>
        <v/>
      </c>
      <c r="AG265" s="60" t="str">
        <f t="shared" si="52"/>
        <v/>
      </c>
      <c r="AH265" s="30" t="str">
        <f t="shared" si="52"/>
        <v/>
      </c>
      <c r="AI265" s="60" t="str">
        <f>IF($A265="","",IF(AI$6="NÃO",0,IF($A265=0,DATEDIF(ESTRUTURA!$F$3,ESTRUTURA!$F$4,"m")*Tabela!$H$33,Tabela!$H$33)))</f>
        <v/>
      </c>
      <c r="AJ265" s="30" t="str">
        <f t="shared" si="50"/>
        <v/>
      </c>
    </row>
    <row r="266" spans="1:36" x14ac:dyDescent="0.2">
      <c r="A266" s="66" t="str">
        <f>ESTRUTURA!A266</f>
        <v/>
      </c>
      <c r="B266" s="58">
        <f t="shared" si="44"/>
        <v>0</v>
      </c>
      <c r="C266" s="60" t="str">
        <f t="shared" si="53"/>
        <v/>
      </c>
      <c r="D266" s="30" t="str">
        <f t="shared" si="53"/>
        <v/>
      </c>
      <c r="E266" s="60" t="str">
        <f t="shared" si="53"/>
        <v/>
      </c>
      <c r="F266" s="30" t="str">
        <f>IF($A266="","",IF(F$6="NÃO",0,Tabela!$H$34*ESTRUTURA!$I$4))</f>
        <v/>
      </c>
      <c r="G266" s="60" t="str">
        <f t="shared" si="53"/>
        <v/>
      </c>
      <c r="H266" s="30" t="str">
        <f>IF($A266="","",IF(H$6="NÃO",0,IF($A266=0,DATEDIF(ESTRUTURA!$F$3,ESTRUTURA!$F$4,"m")*Tabela!$H$6,Tabela!$H$6)))</f>
        <v/>
      </c>
      <c r="I266" s="60" t="str">
        <f t="shared" si="53"/>
        <v/>
      </c>
      <c r="J266" s="30" t="str">
        <f>IF($A266="","",IF(J$6="NÃO",0,IF($A266=0,DATEDIF(ESTRUTURA!$F$3,ESTRUTURA!$F$4,"m")*Tabela!$H$8,IF(J$6="NÃO",0,Tabela!$H$8))))</f>
        <v/>
      </c>
      <c r="K266" s="60" t="str">
        <f t="shared" si="53"/>
        <v/>
      </c>
      <c r="L266" s="30" t="str">
        <f t="shared" si="53"/>
        <v/>
      </c>
      <c r="M266" s="60" t="str">
        <f t="shared" si="53"/>
        <v/>
      </c>
      <c r="N266" s="30" t="str">
        <f t="shared" si="53"/>
        <v/>
      </c>
      <c r="O266" s="60" t="str">
        <f t="shared" si="53"/>
        <v/>
      </c>
      <c r="P266" s="30" t="str">
        <f t="shared" si="51"/>
        <v/>
      </c>
      <c r="Q266" s="60" t="str">
        <f t="shared" si="53"/>
        <v/>
      </c>
      <c r="R266" s="30" t="str">
        <f t="shared" si="53"/>
        <v/>
      </c>
      <c r="S266" s="60" t="str">
        <f>IF($A266="","",IF(S$6="NÃO",0,IF($A266=0,DATEDIF(ESTRUTURA!$F$3,ESTRUTURA!$F$4,"m")*Tabela!$H$17,Tabela!$H$17)))</f>
        <v/>
      </c>
      <c r="T266" s="30" t="str">
        <f>IF($A266="","",IF(T$6="NÃO",0,IF($A266=0,DATEDIF(ESTRUTURA!$F$3,ESTRUTURA!$F$4,"m")*Tabela!$H$18,Tabela!$H$18)))</f>
        <v/>
      </c>
      <c r="U266" s="60" t="str">
        <f t="shared" si="52"/>
        <v/>
      </c>
      <c r="V266" s="30" t="str">
        <f>IF($A266="","",IF(V$6="NÃO",0,IF($A266=0,DATEDIF(ESTRUTURA!$F$3,ESTRUTURA!$F$4,"m")*Tabela!$H$20,Tabela!$H$20)))</f>
        <v/>
      </c>
      <c r="W266" s="60" t="str">
        <f t="shared" si="52"/>
        <v/>
      </c>
      <c r="X266" s="30" t="str">
        <f t="shared" si="52"/>
        <v/>
      </c>
      <c r="Y266" s="60" t="str">
        <f>IF($A266="","",IF(Y$6="NÃO",0,IF(A266=0,Tabela!$H$23,IF(Y$7="mensal",Tabela!$H$23,IF(AND(MONTH(ESTRUTURA!C266)=MONTH(ESTRUTURA!$F$3),A266&gt;0),Tabela!$H$23,0)))))</f>
        <v/>
      </c>
      <c r="Z266" s="30" t="str">
        <f t="shared" si="52"/>
        <v/>
      </c>
      <c r="AA266" s="60" t="str">
        <f>IF($A266="","",IF(AA$6="NÃO",0,Tabela!$H$25*nm_séries))</f>
        <v/>
      </c>
      <c r="AB266" s="30" t="str">
        <f t="shared" si="52"/>
        <v/>
      </c>
      <c r="AC266" s="60" t="str">
        <f>IF($A266="","",IF(AC$6="NÃO",0,IF(A266=0,Tabela!$H$27,IF(MOD(A266,3)=0,Tabela!$H$27,0))))</f>
        <v/>
      </c>
      <c r="AD266" s="30" t="str">
        <f t="shared" si="52"/>
        <v/>
      </c>
      <c r="AE266" s="60" t="str">
        <f t="shared" si="52"/>
        <v/>
      </c>
      <c r="AF266" s="30" t="str">
        <f>IF($A266="","",IF(AF$6="NÃO",0,IF(AND(MONTH(ESTRUTURA!C266)=MONTH(ESTRUTURA!$F$3),A266&gt;0),Tabela!$H$30,0)))</f>
        <v/>
      </c>
      <c r="AG266" s="60" t="str">
        <f t="shared" si="52"/>
        <v/>
      </c>
      <c r="AH266" s="30" t="str">
        <f t="shared" si="52"/>
        <v/>
      </c>
      <c r="AI266" s="60" t="str">
        <f>IF($A266="","",IF(AI$6="NÃO",0,IF($A266=0,DATEDIF(ESTRUTURA!$F$3,ESTRUTURA!$F$4,"m")*Tabela!$H$33,Tabela!$H$33)))</f>
        <v/>
      </c>
      <c r="AJ266" s="30" t="str">
        <f t="shared" si="50"/>
        <v/>
      </c>
    </row>
    <row r="267" spans="1:36" x14ac:dyDescent="0.2">
      <c r="A267" s="66" t="str">
        <f>ESTRUTURA!A267</f>
        <v/>
      </c>
      <c r="B267" s="58">
        <f t="shared" si="44"/>
        <v>0</v>
      </c>
      <c r="C267" s="60" t="str">
        <f t="shared" si="53"/>
        <v/>
      </c>
      <c r="D267" s="30" t="str">
        <f t="shared" si="53"/>
        <v/>
      </c>
      <c r="E267" s="60" t="str">
        <f t="shared" si="53"/>
        <v/>
      </c>
      <c r="F267" s="30" t="str">
        <f>IF($A267="","",IF(F$6="NÃO",0,Tabela!$H$34*ESTRUTURA!$I$4))</f>
        <v/>
      </c>
      <c r="G267" s="60" t="str">
        <f t="shared" si="53"/>
        <v/>
      </c>
      <c r="H267" s="30" t="str">
        <f>IF($A267="","",IF(H$6="NÃO",0,IF($A267=0,DATEDIF(ESTRUTURA!$F$3,ESTRUTURA!$F$4,"m")*Tabela!$H$6,Tabela!$H$6)))</f>
        <v/>
      </c>
      <c r="I267" s="60" t="str">
        <f t="shared" si="53"/>
        <v/>
      </c>
      <c r="J267" s="30" t="str">
        <f>IF($A267="","",IF(J$6="NÃO",0,IF($A267=0,DATEDIF(ESTRUTURA!$F$3,ESTRUTURA!$F$4,"m")*Tabela!$H$8,IF(J$6="NÃO",0,Tabela!$H$8))))</f>
        <v/>
      </c>
      <c r="K267" s="60" t="str">
        <f t="shared" si="53"/>
        <v/>
      </c>
      <c r="L267" s="30" t="str">
        <f t="shared" si="53"/>
        <v/>
      </c>
      <c r="M267" s="60" t="str">
        <f t="shared" si="53"/>
        <v/>
      </c>
      <c r="N267" s="30" t="str">
        <f t="shared" si="53"/>
        <v/>
      </c>
      <c r="O267" s="60" t="str">
        <f t="shared" si="53"/>
        <v/>
      </c>
      <c r="P267" s="30" t="str">
        <f t="shared" si="51"/>
        <v/>
      </c>
      <c r="Q267" s="60" t="str">
        <f t="shared" si="53"/>
        <v/>
      </c>
      <c r="R267" s="30" t="str">
        <f t="shared" si="53"/>
        <v/>
      </c>
      <c r="S267" s="60" t="str">
        <f>IF($A267="","",IF(S$6="NÃO",0,IF($A267=0,DATEDIF(ESTRUTURA!$F$3,ESTRUTURA!$F$4,"m")*Tabela!$H$17,Tabela!$H$17)))</f>
        <v/>
      </c>
      <c r="T267" s="30" t="str">
        <f>IF($A267="","",IF(T$6="NÃO",0,IF($A267=0,DATEDIF(ESTRUTURA!$F$3,ESTRUTURA!$F$4,"m")*Tabela!$H$18,Tabela!$H$18)))</f>
        <v/>
      </c>
      <c r="U267" s="60" t="str">
        <f t="shared" ref="U267:AH282" si="54">IF($A267="","",IF(U$6="NÃO",0,0))</f>
        <v/>
      </c>
      <c r="V267" s="30" t="str">
        <f>IF($A267="","",IF(V$6="NÃO",0,IF($A267=0,DATEDIF(ESTRUTURA!$F$3,ESTRUTURA!$F$4,"m")*Tabela!$H$20,Tabela!$H$20)))</f>
        <v/>
      </c>
      <c r="W267" s="60" t="str">
        <f t="shared" si="54"/>
        <v/>
      </c>
      <c r="X267" s="30" t="str">
        <f t="shared" si="54"/>
        <v/>
      </c>
      <c r="Y267" s="60" t="str">
        <f>IF($A267="","",IF(Y$6="NÃO",0,IF(A267=0,Tabela!$H$23,IF(Y$7="mensal",Tabela!$H$23,IF(AND(MONTH(ESTRUTURA!C267)=MONTH(ESTRUTURA!$F$3),A267&gt;0),Tabela!$H$23,0)))))</f>
        <v/>
      </c>
      <c r="Z267" s="30" t="str">
        <f t="shared" si="54"/>
        <v/>
      </c>
      <c r="AA267" s="60" t="str">
        <f>IF($A267="","",IF(AA$6="NÃO",0,Tabela!$H$25*nm_séries))</f>
        <v/>
      </c>
      <c r="AB267" s="30" t="str">
        <f t="shared" si="54"/>
        <v/>
      </c>
      <c r="AC267" s="60" t="str">
        <f>IF($A267="","",IF(AC$6="NÃO",0,IF(A267=0,Tabela!$H$27,IF(MOD(A267,3)=0,Tabela!$H$27,0))))</f>
        <v/>
      </c>
      <c r="AD267" s="30" t="str">
        <f t="shared" si="54"/>
        <v/>
      </c>
      <c r="AE267" s="60" t="str">
        <f t="shared" si="54"/>
        <v/>
      </c>
      <c r="AF267" s="30" t="str">
        <f>IF($A267="","",IF(AF$6="NÃO",0,IF(AND(MONTH(ESTRUTURA!C267)=MONTH(ESTRUTURA!$F$3),A267&gt;0),Tabela!$H$30,0)))</f>
        <v/>
      </c>
      <c r="AG267" s="60" t="str">
        <f t="shared" si="54"/>
        <v/>
      </c>
      <c r="AH267" s="30" t="str">
        <f t="shared" si="54"/>
        <v/>
      </c>
      <c r="AI267" s="60" t="str">
        <f>IF($A267="","",IF(AI$6="NÃO",0,IF($A267=0,DATEDIF(ESTRUTURA!$F$3,ESTRUTURA!$F$4,"m")*Tabela!$H$33,Tabela!$H$33)))</f>
        <v/>
      </c>
      <c r="AJ267" s="30" t="str">
        <f t="shared" si="50"/>
        <v/>
      </c>
    </row>
    <row r="268" spans="1:36" x14ac:dyDescent="0.2">
      <c r="A268" s="66" t="str">
        <f>ESTRUTURA!A268</f>
        <v/>
      </c>
      <c r="B268" s="58">
        <f t="shared" si="44"/>
        <v>0</v>
      </c>
      <c r="C268" s="60" t="str">
        <f t="shared" ref="C268:R283" si="55">IF($A268="","",IF(C$6="NÃO",0,0))</f>
        <v/>
      </c>
      <c r="D268" s="30" t="str">
        <f t="shared" si="55"/>
        <v/>
      </c>
      <c r="E268" s="60" t="str">
        <f t="shared" si="55"/>
        <v/>
      </c>
      <c r="F268" s="30" t="str">
        <f>IF($A268="","",IF(F$6="NÃO",0,Tabela!$H$34*ESTRUTURA!$I$4))</f>
        <v/>
      </c>
      <c r="G268" s="60" t="str">
        <f t="shared" si="55"/>
        <v/>
      </c>
      <c r="H268" s="30" t="str">
        <f>IF($A268="","",IF(H$6="NÃO",0,IF($A268=0,DATEDIF(ESTRUTURA!$F$3,ESTRUTURA!$F$4,"m")*Tabela!$H$6,Tabela!$H$6)))</f>
        <v/>
      </c>
      <c r="I268" s="60" t="str">
        <f t="shared" si="55"/>
        <v/>
      </c>
      <c r="J268" s="30" t="str">
        <f>IF($A268="","",IF(J$6="NÃO",0,IF($A268=0,DATEDIF(ESTRUTURA!$F$3,ESTRUTURA!$F$4,"m")*Tabela!$H$8,IF(J$6="NÃO",0,Tabela!$H$8))))</f>
        <v/>
      </c>
      <c r="K268" s="60" t="str">
        <f t="shared" si="55"/>
        <v/>
      </c>
      <c r="L268" s="30" t="str">
        <f t="shared" si="55"/>
        <v/>
      </c>
      <c r="M268" s="60" t="str">
        <f t="shared" si="55"/>
        <v/>
      </c>
      <c r="N268" s="30" t="str">
        <f t="shared" si="55"/>
        <v/>
      </c>
      <c r="O268" s="60" t="str">
        <f t="shared" si="55"/>
        <v/>
      </c>
      <c r="P268" s="30" t="str">
        <f t="shared" si="55"/>
        <v/>
      </c>
      <c r="Q268" s="60" t="str">
        <f t="shared" si="55"/>
        <v/>
      </c>
      <c r="R268" s="30" t="str">
        <f t="shared" si="55"/>
        <v/>
      </c>
      <c r="S268" s="60" t="str">
        <f>IF($A268="","",IF(S$6="NÃO",0,IF($A268=0,DATEDIF(ESTRUTURA!$F$3,ESTRUTURA!$F$4,"m")*Tabela!$H$17,Tabela!$H$17)))</f>
        <v/>
      </c>
      <c r="T268" s="30" t="str">
        <f>IF($A268="","",IF(T$6="NÃO",0,IF($A268=0,DATEDIF(ESTRUTURA!$F$3,ESTRUTURA!$F$4,"m")*Tabela!$H$18,Tabela!$H$18)))</f>
        <v/>
      </c>
      <c r="U268" s="60" t="str">
        <f t="shared" si="54"/>
        <v/>
      </c>
      <c r="V268" s="30" t="str">
        <f>IF($A268="","",IF(V$6="NÃO",0,IF($A268=0,DATEDIF(ESTRUTURA!$F$3,ESTRUTURA!$F$4,"m")*Tabela!$H$20,Tabela!$H$20)))</f>
        <v/>
      </c>
      <c r="W268" s="60" t="str">
        <f t="shared" si="54"/>
        <v/>
      </c>
      <c r="X268" s="30" t="str">
        <f t="shared" si="54"/>
        <v/>
      </c>
      <c r="Y268" s="60" t="str">
        <f>IF($A268="","",IF(Y$6="NÃO",0,IF(A268=0,Tabela!$H$23,IF(Y$7="mensal",Tabela!$H$23,IF(AND(MONTH(ESTRUTURA!C268)=MONTH(ESTRUTURA!$F$3),A268&gt;0),Tabela!$H$23,0)))))</f>
        <v/>
      </c>
      <c r="Z268" s="30" t="str">
        <f t="shared" si="54"/>
        <v/>
      </c>
      <c r="AA268" s="60" t="str">
        <f>IF($A268="","",IF(AA$6="NÃO",0,Tabela!$H$25*nm_séries))</f>
        <v/>
      </c>
      <c r="AB268" s="30" t="str">
        <f t="shared" si="54"/>
        <v/>
      </c>
      <c r="AC268" s="60" t="str">
        <f>IF($A268="","",IF(AC$6="NÃO",0,IF(A268=0,Tabela!$H$27,IF(MOD(A268,3)=0,Tabela!$H$27,0))))</f>
        <v/>
      </c>
      <c r="AD268" s="30" t="str">
        <f t="shared" si="54"/>
        <v/>
      </c>
      <c r="AE268" s="60" t="str">
        <f t="shared" si="54"/>
        <v/>
      </c>
      <c r="AF268" s="30" t="str">
        <f>IF($A268="","",IF(AF$6="NÃO",0,IF(AND(MONTH(ESTRUTURA!C268)=MONTH(ESTRUTURA!$F$3),A268&gt;0),Tabela!$H$30,0)))</f>
        <v/>
      </c>
      <c r="AG268" s="60" t="str">
        <f t="shared" si="54"/>
        <v/>
      </c>
      <c r="AH268" s="30" t="str">
        <f t="shared" si="54"/>
        <v/>
      </c>
      <c r="AI268" s="60" t="str">
        <f>IF($A268="","",IF(AI$6="NÃO",0,IF($A268=0,DATEDIF(ESTRUTURA!$F$3,ESTRUTURA!$F$4,"m")*Tabela!$H$33,Tabela!$H$33)))</f>
        <v/>
      </c>
      <c r="AJ268" s="30" t="str">
        <f t="shared" si="50"/>
        <v/>
      </c>
    </row>
    <row r="269" spans="1:36" x14ac:dyDescent="0.2">
      <c r="A269" s="66" t="str">
        <f>ESTRUTURA!A269</f>
        <v/>
      </c>
      <c r="B269" s="58">
        <f t="shared" ref="B269:B332" si="56">IF($C$2="SIM",0,-SUM(C269:AJ269))</f>
        <v>0</v>
      </c>
      <c r="C269" s="60" t="str">
        <f t="shared" si="55"/>
        <v/>
      </c>
      <c r="D269" s="30" t="str">
        <f t="shared" si="55"/>
        <v/>
      </c>
      <c r="E269" s="60" t="str">
        <f t="shared" si="55"/>
        <v/>
      </c>
      <c r="F269" s="30" t="str">
        <f>IF($A269="","",IF(F$6="NÃO",0,Tabela!$H$34*ESTRUTURA!$I$4))</f>
        <v/>
      </c>
      <c r="G269" s="60" t="str">
        <f t="shared" si="55"/>
        <v/>
      </c>
      <c r="H269" s="30" t="str">
        <f>IF($A269="","",IF(H$6="NÃO",0,IF($A269=0,DATEDIF(ESTRUTURA!$F$3,ESTRUTURA!$F$4,"m")*Tabela!$H$6,Tabela!$H$6)))</f>
        <v/>
      </c>
      <c r="I269" s="60" t="str">
        <f t="shared" si="55"/>
        <v/>
      </c>
      <c r="J269" s="30" t="str">
        <f>IF($A269="","",IF(J$6="NÃO",0,IF($A269=0,DATEDIF(ESTRUTURA!$F$3,ESTRUTURA!$F$4,"m")*Tabela!$H$8,IF(J$6="NÃO",0,Tabela!$H$8))))</f>
        <v/>
      </c>
      <c r="K269" s="60" t="str">
        <f t="shared" si="55"/>
        <v/>
      </c>
      <c r="L269" s="30" t="str">
        <f t="shared" si="55"/>
        <v/>
      </c>
      <c r="M269" s="60" t="str">
        <f t="shared" si="55"/>
        <v/>
      </c>
      <c r="N269" s="30" t="str">
        <f t="shared" si="55"/>
        <v/>
      </c>
      <c r="O269" s="60" t="str">
        <f t="shared" si="55"/>
        <v/>
      </c>
      <c r="P269" s="30" t="str">
        <f t="shared" si="55"/>
        <v/>
      </c>
      <c r="Q269" s="60" t="str">
        <f t="shared" si="55"/>
        <v/>
      </c>
      <c r="R269" s="30" t="str">
        <f t="shared" si="55"/>
        <v/>
      </c>
      <c r="S269" s="60" t="str">
        <f>IF($A269="","",IF(S$6="NÃO",0,IF($A269=0,DATEDIF(ESTRUTURA!$F$3,ESTRUTURA!$F$4,"m")*Tabela!$H$17,Tabela!$H$17)))</f>
        <v/>
      </c>
      <c r="T269" s="30" t="str">
        <f>IF($A269="","",IF(T$6="NÃO",0,IF($A269=0,DATEDIF(ESTRUTURA!$F$3,ESTRUTURA!$F$4,"m")*Tabela!$H$18,Tabela!$H$18)))</f>
        <v/>
      </c>
      <c r="U269" s="60" t="str">
        <f t="shared" si="54"/>
        <v/>
      </c>
      <c r="V269" s="30" t="str">
        <f>IF($A269="","",IF(V$6="NÃO",0,IF($A269=0,DATEDIF(ESTRUTURA!$F$3,ESTRUTURA!$F$4,"m")*Tabela!$H$20,Tabela!$H$20)))</f>
        <v/>
      </c>
      <c r="W269" s="60" t="str">
        <f t="shared" si="54"/>
        <v/>
      </c>
      <c r="X269" s="30" t="str">
        <f t="shared" si="54"/>
        <v/>
      </c>
      <c r="Y269" s="60" t="str">
        <f>IF($A269="","",IF(Y$6="NÃO",0,IF(A269=0,Tabela!$H$23,IF(Y$7="mensal",Tabela!$H$23,IF(AND(MONTH(ESTRUTURA!C269)=MONTH(ESTRUTURA!$F$3),A269&gt;0),Tabela!$H$23,0)))))</f>
        <v/>
      </c>
      <c r="Z269" s="30" t="str">
        <f t="shared" si="54"/>
        <v/>
      </c>
      <c r="AA269" s="60" t="str">
        <f>IF($A269="","",IF(AA$6="NÃO",0,Tabela!$H$25*nm_séries))</f>
        <v/>
      </c>
      <c r="AB269" s="30" t="str">
        <f t="shared" si="54"/>
        <v/>
      </c>
      <c r="AC269" s="60" t="str">
        <f>IF($A269="","",IF(AC$6="NÃO",0,IF(A269=0,Tabela!$H$27,IF(MOD(A269,3)=0,Tabela!$H$27,0))))</f>
        <v/>
      </c>
      <c r="AD269" s="30" t="str">
        <f t="shared" si="54"/>
        <v/>
      </c>
      <c r="AE269" s="60" t="str">
        <f t="shared" si="54"/>
        <v/>
      </c>
      <c r="AF269" s="30" t="str">
        <f>IF($A269="","",IF(AF$6="NÃO",0,IF(AND(MONTH(ESTRUTURA!C269)=MONTH(ESTRUTURA!$F$3),A269&gt;0),Tabela!$H$30,0)))</f>
        <v/>
      </c>
      <c r="AG269" s="60" t="str">
        <f t="shared" si="54"/>
        <v/>
      </c>
      <c r="AH269" s="30" t="str">
        <f t="shared" si="54"/>
        <v/>
      </c>
      <c r="AI269" s="60" t="str">
        <f>IF($A269="","",IF(AI$6="NÃO",0,IF($A269=0,DATEDIF(ESTRUTURA!$F$3,ESTRUTURA!$F$4,"m")*Tabela!$H$33,Tabela!$H$33)))</f>
        <v/>
      </c>
      <c r="AJ269" s="30" t="str">
        <f t="shared" si="50"/>
        <v/>
      </c>
    </row>
    <row r="270" spans="1:36" x14ac:dyDescent="0.2">
      <c r="A270" s="66" t="str">
        <f>ESTRUTURA!A270</f>
        <v/>
      </c>
      <c r="B270" s="58">
        <f t="shared" si="56"/>
        <v>0</v>
      </c>
      <c r="C270" s="60" t="str">
        <f t="shared" si="55"/>
        <v/>
      </c>
      <c r="D270" s="30" t="str">
        <f t="shared" si="55"/>
        <v/>
      </c>
      <c r="E270" s="60" t="str">
        <f t="shared" si="55"/>
        <v/>
      </c>
      <c r="F270" s="30" t="str">
        <f>IF($A270="","",IF(F$6="NÃO",0,Tabela!$H$34*ESTRUTURA!$I$4))</f>
        <v/>
      </c>
      <c r="G270" s="60" t="str">
        <f t="shared" si="55"/>
        <v/>
      </c>
      <c r="H270" s="30" t="str">
        <f>IF($A270="","",IF(H$6="NÃO",0,IF($A270=0,DATEDIF(ESTRUTURA!$F$3,ESTRUTURA!$F$4,"m")*Tabela!$H$6,Tabela!$H$6)))</f>
        <v/>
      </c>
      <c r="I270" s="60" t="str">
        <f t="shared" si="55"/>
        <v/>
      </c>
      <c r="J270" s="30" t="str">
        <f>IF($A270="","",IF(J$6="NÃO",0,IF($A270=0,DATEDIF(ESTRUTURA!$F$3,ESTRUTURA!$F$4,"m")*Tabela!$H$8,IF(J$6="NÃO",0,Tabela!$H$8))))</f>
        <v/>
      </c>
      <c r="K270" s="60" t="str">
        <f t="shared" si="55"/>
        <v/>
      </c>
      <c r="L270" s="30" t="str">
        <f t="shared" si="55"/>
        <v/>
      </c>
      <c r="M270" s="60" t="str">
        <f t="shared" si="55"/>
        <v/>
      </c>
      <c r="N270" s="30" t="str">
        <f t="shared" si="55"/>
        <v/>
      </c>
      <c r="O270" s="60" t="str">
        <f t="shared" si="55"/>
        <v/>
      </c>
      <c r="P270" s="30" t="str">
        <f t="shared" si="55"/>
        <v/>
      </c>
      <c r="Q270" s="60" t="str">
        <f t="shared" si="55"/>
        <v/>
      </c>
      <c r="R270" s="30" t="str">
        <f t="shared" si="55"/>
        <v/>
      </c>
      <c r="S270" s="60" t="str">
        <f>IF($A270="","",IF(S$6="NÃO",0,IF($A270=0,DATEDIF(ESTRUTURA!$F$3,ESTRUTURA!$F$4,"m")*Tabela!$H$17,Tabela!$H$17)))</f>
        <v/>
      </c>
      <c r="T270" s="30" t="str">
        <f>IF($A270="","",IF(T$6="NÃO",0,IF($A270=0,DATEDIF(ESTRUTURA!$F$3,ESTRUTURA!$F$4,"m")*Tabela!$H$18,Tabela!$H$18)))</f>
        <v/>
      </c>
      <c r="U270" s="60" t="str">
        <f t="shared" si="54"/>
        <v/>
      </c>
      <c r="V270" s="30" t="str">
        <f>IF($A270="","",IF(V$6="NÃO",0,IF($A270=0,DATEDIF(ESTRUTURA!$F$3,ESTRUTURA!$F$4,"m")*Tabela!$H$20,Tabela!$H$20)))</f>
        <v/>
      </c>
      <c r="W270" s="60" t="str">
        <f t="shared" si="54"/>
        <v/>
      </c>
      <c r="X270" s="30" t="str">
        <f t="shared" si="54"/>
        <v/>
      </c>
      <c r="Y270" s="60" t="str">
        <f>IF($A270="","",IF(Y$6="NÃO",0,IF(A270=0,Tabela!$H$23,IF(Y$7="mensal",Tabela!$H$23,IF(AND(MONTH(ESTRUTURA!C270)=MONTH(ESTRUTURA!$F$3),A270&gt;0),Tabela!$H$23,0)))))</f>
        <v/>
      </c>
      <c r="Z270" s="30" t="str">
        <f t="shared" si="54"/>
        <v/>
      </c>
      <c r="AA270" s="60" t="str">
        <f>IF($A270="","",IF(AA$6="NÃO",0,Tabela!$H$25*nm_séries))</f>
        <v/>
      </c>
      <c r="AB270" s="30" t="str">
        <f t="shared" si="54"/>
        <v/>
      </c>
      <c r="AC270" s="60" t="str">
        <f>IF($A270="","",IF(AC$6="NÃO",0,IF(A270=0,Tabela!$H$27,IF(MOD(A270,3)=0,Tabela!$H$27,0))))</f>
        <v/>
      </c>
      <c r="AD270" s="30" t="str">
        <f t="shared" si="54"/>
        <v/>
      </c>
      <c r="AE270" s="60" t="str">
        <f t="shared" si="54"/>
        <v/>
      </c>
      <c r="AF270" s="30" t="str">
        <f>IF($A270="","",IF(AF$6="NÃO",0,IF(AND(MONTH(ESTRUTURA!C270)=MONTH(ESTRUTURA!$F$3),A270&gt;0),Tabela!$H$30,0)))</f>
        <v/>
      </c>
      <c r="AG270" s="60" t="str">
        <f t="shared" si="54"/>
        <v/>
      </c>
      <c r="AH270" s="30" t="str">
        <f t="shared" si="54"/>
        <v/>
      </c>
      <c r="AI270" s="60" t="str">
        <f>IF($A270="","",IF(AI$6="NÃO",0,IF($A270=0,DATEDIF(ESTRUTURA!$F$3,ESTRUTURA!$F$4,"m")*Tabela!$H$33,Tabela!$H$33)))</f>
        <v/>
      </c>
      <c r="AJ270" s="30" t="str">
        <f t="shared" si="50"/>
        <v/>
      </c>
    </row>
    <row r="271" spans="1:36" x14ac:dyDescent="0.2">
      <c r="A271" s="66" t="str">
        <f>ESTRUTURA!A271</f>
        <v/>
      </c>
      <c r="B271" s="58">
        <f t="shared" si="56"/>
        <v>0</v>
      </c>
      <c r="C271" s="60" t="str">
        <f t="shared" si="55"/>
        <v/>
      </c>
      <c r="D271" s="30" t="str">
        <f t="shared" si="55"/>
        <v/>
      </c>
      <c r="E271" s="60" t="str">
        <f t="shared" si="55"/>
        <v/>
      </c>
      <c r="F271" s="30" t="str">
        <f>IF($A271="","",IF(F$6="NÃO",0,Tabela!$H$34*ESTRUTURA!$I$4))</f>
        <v/>
      </c>
      <c r="G271" s="60" t="str">
        <f t="shared" si="55"/>
        <v/>
      </c>
      <c r="H271" s="30" t="str">
        <f>IF($A271="","",IF(H$6="NÃO",0,IF($A271=0,DATEDIF(ESTRUTURA!$F$3,ESTRUTURA!$F$4,"m")*Tabela!$H$6,Tabela!$H$6)))</f>
        <v/>
      </c>
      <c r="I271" s="60" t="str">
        <f t="shared" si="55"/>
        <v/>
      </c>
      <c r="J271" s="30" t="str">
        <f>IF($A271="","",IF(J$6="NÃO",0,IF($A271=0,DATEDIF(ESTRUTURA!$F$3,ESTRUTURA!$F$4,"m")*Tabela!$H$8,IF(J$6="NÃO",0,Tabela!$H$8))))</f>
        <v/>
      </c>
      <c r="K271" s="60" t="str">
        <f t="shared" si="55"/>
        <v/>
      </c>
      <c r="L271" s="30" t="str">
        <f t="shared" si="55"/>
        <v/>
      </c>
      <c r="M271" s="60" t="str">
        <f t="shared" si="55"/>
        <v/>
      </c>
      <c r="N271" s="30" t="str">
        <f t="shared" si="55"/>
        <v/>
      </c>
      <c r="O271" s="60" t="str">
        <f t="shared" si="55"/>
        <v/>
      </c>
      <c r="P271" s="30" t="str">
        <f t="shared" si="55"/>
        <v/>
      </c>
      <c r="Q271" s="60" t="str">
        <f t="shared" si="55"/>
        <v/>
      </c>
      <c r="R271" s="30" t="str">
        <f t="shared" si="55"/>
        <v/>
      </c>
      <c r="S271" s="60" t="str">
        <f>IF($A271="","",IF(S$6="NÃO",0,IF($A271=0,DATEDIF(ESTRUTURA!$F$3,ESTRUTURA!$F$4,"m")*Tabela!$H$17,Tabela!$H$17)))</f>
        <v/>
      </c>
      <c r="T271" s="30" t="str">
        <f>IF($A271="","",IF(T$6="NÃO",0,IF($A271=0,DATEDIF(ESTRUTURA!$F$3,ESTRUTURA!$F$4,"m")*Tabela!$H$18,Tabela!$H$18)))</f>
        <v/>
      </c>
      <c r="U271" s="60" t="str">
        <f t="shared" si="54"/>
        <v/>
      </c>
      <c r="V271" s="30" t="str">
        <f>IF($A271="","",IF(V$6="NÃO",0,IF($A271=0,DATEDIF(ESTRUTURA!$F$3,ESTRUTURA!$F$4,"m")*Tabela!$H$20,Tabela!$H$20)))</f>
        <v/>
      </c>
      <c r="W271" s="60" t="str">
        <f t="shared" si="54"/>
        <v/>
      </c>
      <c r="X271" s="30" t="str">
        <f t="shared" si="54"/>
        <v/>
      </c>
      <c r="Y271" s="60" t="str">
        <f>IF($A271="","",IF(Y$6="NÃO",0,IF(A271=0,Tabela!$H$23,IF(Y$7="mensal",Tabela!$H$23,IF(AND(MONTH(ESTRUTURA!C271)=MONTH(ESTRUTURA!$F$3),A271&gt;0),Tabela!$H$23,0)))))</f>
        <v/>
      </c>
      <c r="Z271" s="30" t="str">
        <f t="shared" si="54"/>
        <v/>
      </c>
      <c r="AA271" s="60" t="str">
        <f>IF($A271="","",IF(AA$6="NÃO",0,Tabela!$H$25*nm_séries))</f>
        <v/>
      </c>
      <c r="AB271" s="30" t="str">
        <f t="shared" si="54"/>
        <v/>
      </c>
      <c r="AC271" s="60" t="str">
        <f>IF($A271="","",IF(AC$6="NÃO",0,IF(A271=0,Tabela!$H$27,IF(MOD(A271,3)=0,Tabela!$H$27,0))))</f>
        <v/>
      </c>
      <c r="AD271" s="30" t="str">
        <f t="shared" si="54"/>
        <v/>
      </c>
      <c r="AE271" s="60" t="str">
        <f t="shared" si="54"/>
        <v/>
      </c>
      <c r="AF271" s="30" t="str">
        <f>IF($A271="","",IF(AF$6="NÃO",0,IF(AND(MONTH(ESTRUTURA!C271)=MONTH(ESTRUTURA!$F$3),A271&gt;0),Tabela!$H$30,0)))</f>
        <v/>
      </c>
      <c r="AG271" s="60" t="str">
        <f t="shared" si="54"/>
        <v/>
      </c>
      <c r="AH271" s="30" t="str">
        <f t="shared" si="54"/>
        <v/>
      </c>
      <c r="AI271" s="60" t="str">
        <f>IF($A271="","",IF(AI$6="NÃO",0,IF($A271=0,DATEDIF(ESTRUTURA!$F$3,ESTRUTURA!$F$4,"m")*Tabela!$H$33,Tabela!$H$33)))</f>
        <v/>
      </c>
      <c r="AJ271" s="30" t="str">
        <f t="shared" si="50"/>
        <v/>
      </c>
    </row>
    <row r="272" spans="1:36" x14ac:dyDescent="0.2">
      <c r="A272" s="66" t="str">
        <f>ESTRUTURA!A272</f>
        <v/>
      </c>
      <c r="B272" s="58">
        <f t="shared" si="56"/>
        <v>0</v>
      </c>
      <c r="C272" s="60" t="str">
        <f t="shared" si="55"/>
        <v/>
      </c>
      <c r="D272" s="30" t="str">
        <f t="shared" si="55"/>
        <v/>
      </c>
      <c r="E272" s="60" t="str">
        <f t="shared" si="55"/>
        <v/>
      </c>
      <c r="F272" s="30" t="str">
        <f>IF($A272="","",IF(F$6="NÃO",0,Tabela!$H$34*ESTRUTURA!$I$4))</f>
        <v/>
      </c>
      <c r="G272" s="60" t="str">
        <f t="shared" si="55"/>
        <v/>
      </c>
      <c r="H272" s="30" t="str">
        <f>IF($A272="","",IF(H$6="NÃO",0,IF($A272=0,DATEDIF(ESTRUTURA!$F$3,ESTRUTURA!$F$4,"m")*Tabela!$H$6,Tabela!$H$6)))</f>
        <v/>
      </c>
      <c r="I272" s="60" t="str">
        <f t="shared" si="55"/>
        <v/>
      </c>
      <c r="J272" s="30" t="str">
        <f>IF($A272="","",IF(J$6="NÃO",0,IF($A272=0,DATEDIF(ESTRUTURA!$F$3,ESTRUTURA!$F$4,"m")*Tabela!$H$8,IF(J$6="NÃO",0,Tabela!$H$8))))</f>
        <v/>
      </c>
      <c r="K272" s="60" t="str">
        <f t="shared" si="55"/>
        <v/>
      </c>
      <c r="L272" s="30" t="str">
        <f t="shared" si="55"/>
        <v/>
      </c>
      <c r="M272" s="60" t="str">
        <f t="shared" si="55"/>
        <v/>
      </c>
      <c r="N272" s="30" t="str">
        <f t="shared" si="55"/>
        <v/>
      </c>
      <c r="O272" s="60" t="str">
        <f t="shared" si="55"/>
        <v/>
      </c>
      <c r="P272" s="30" t="str">
        <f t="shared" si="55"/>
        <v/>
      </c>
      <c r="Q272" s="60" t="str">
        <f t="shared" si="55"/>
        <v/>
      </c>
      <c r="R272" s="30" t="str">
        <f t="shared" si="55"/>
        <v/>
      </c>
      <c r="S272" s="60" t="str">
        <f>IF($A272="","",IF(S$6="NÃO",0,IF($A272=0,DATEDIF(ESTRUTURA!$F$3,ESTRUTURA!$F$4,"m")*Tabela!$H$17,Tabela!$H$17)))</f>
        <v/>
      </c>
      <c r="T272" s="30" t="str">
        <f>IF($A272="","",IF(T$6="NÃO",0,IF($A272=0,DATEDIF(ESTRUTURA!$F$3,ESTRUTURA!$F$4,"m")*Tabela!$H$18,Tabela!$H$18)))</f>
        <v/>
      </c>
      <c r="U272" s="60" t="str">
        <f t="shared" si="54"/>
        <v/>
      </c>
      <c r="V272" s="30" t="str">
        <f>IF($A272="","",IF(V$6="NÃO",0,IF($A272=0,DATEDIF(ESTRUTURA!$F$3,ESTRUTURA!$F$4,"m")*Tabela!$H$20,Tabela!$H$20)))</f>
        <v/>
      </c>
      <c r="W272" s="60" t="str">
        <f t="shared" si="54"/>
        <v/>
      </c>
      <c r="X272" s="30" t="str">
        <f t="shared" si="54"/>
        <v/>
      </c>
      <c r="Y272" s="60" t="str">
        <f>IF($A272="","",IF(Y$6="NÃO",0,IF(A272=0,Tabela!$H$23,IF(Y$7="mensal",Tabela!$H$23,IF(AND(MONTH(ESTRUTURA!C272)=MONTH(ESTRUTURA!$F$3),A272&gt;0),Tabela!$H$23,0)))))</f>
        <v/>
      </c>
      <c r="Z272" s="30" t="str">
        <f t="shared" si="54"/>
        <v/>
      </c>
      <c r="AA272" s="60" t="str">
        <f>IF($A272="","",IF(AA$6="NÃO",0,Tabela!$H$25*nm_séries))</f>
        <v/>
      </c>
      <c r="AB272" s="30" t="str">
        <f t="shared" si="54"/>
        <v/>
      </c>
      <c r="AC272" s="60" t="str">
        <f>IF($A272="","",IF(AC$6="NÃO",0,IF(A272=0,Tabela!$H$27,IF(MOD(A272,3)=0,Tabela!$H$27,0))))</f>
        <v/>
      </c>
      <c r="AD272" s="30" t="str">
        <f t="shared" si="54"/>
        <v/>
      </c>
      <c r="AE272" s="60" t="str">
        <f t="shared" si="54"/>
        <v/>
      </c>
      <c r="AF272" s="30" t="str">
        <f>IF($A272="","",IF(AF$6="NÃO",0,IF(AND(MONTH(ESTRUTURA!C272)=MONTH(ESTRUTURA!$F$3),A272&gt;0),Tabela!$H$30,0)))</f>
        <v/>
      </c>
      <c r="AG272" s="60" t="str">
        <f t="shared" si="54"/>
        <v/>
      </c>
      <c r="AH272" s="30" t="str">
        <f t="shared" si="54"/>
        <v/>
      </c>
      <c r="AI272" s="60" t="str">
        <f>IF($A272="","",IF(AI$6="NÃO",0,IF($A272=0,DATEDIF(ESTRUTURA!$F$3,ESTRUTURA!$F$4,"m")*Tabela!$H$33,Tabela!$H$33)))</f>
        <v/>
      </c>
      <c r="AJ272" s="30" t="str">
        <f t="shared" si="50"/>
        <v/>
      </c>
    </row>
    <row r="273" spans="1:36" x14ac:dyDescent="0.2">
      <c r="A273" s="66" t="str">
        <f>ESTRUTURA!A273</f>
        <v/>
      </c>
      <c r="B273" s="58">
        <f t="shared" si="56"/>
        <v>0</v>
      </c>
      <c r="C273" s="60" t="str">
        <f t="shared" si="55"/>
        <v/>
      </c>
      <c r="D273" s="30" t="str">
        <f t="shared" si="55"/>
        <v/>
      </c>
      <c r="E273" s="60" t="str">
        <f t="shared" si="55"/>
        <v/>
      </c>
      <c r="F273" s="30" t="str">
        <f>IF($A273="","",IF(F$6="NÃO",0,Tabela!$H$34*ESTRUTURA!$I$4))</f>
        <v/>
      </c>
      <c r="G273" s="60" t="str">
        <f t="shared" si="55"/>
        <v/>
      </c>
      <c r="H273" s="30" t="str">
        <f>IF($A273="","",IF(H$6="NÃO",0,IF($A273=0,DATEDIF(ESTRUTURA!$F$3,ESTRUTURA!$F$4,"m")*Tabela!$H$6,Tabela!$H$6)))</f>
        <v/>
      </c>
      <c r="I273" s="60" t="str">
        <f t="shared" si="55"/>
        <v/>
      </c>
      <c r="J273" s="30" t="str">
        <f>IF($A273="","",IF(J$6="NÃO",0,IF($A273=0,DATEDIF(ESTRUTURA!$F$3,ESTRUTURA!$F$4,"m")*Tabela!$H$8,IF(J$6="NÃO",0,Tabela!$H$8))))</f>
        <v/>
      </c>
      <c r="K273" s="60" t="str">
        <f t="shared" si="55"/>
        <v/>
      </c>
      <c r="L273" s="30" t="str">
        <f t="shared" si="55"/>
        <v/>
      </c>
      <c r="M273" s="60" t="str">
        <f t="shared" si="55"/>
        <v/>
      </c>
      <c r="N273" s="30" t="str">
        <f t="shared" si="55"/>
        <v/>
      </c>
      <c r="O273" s="60" t="str">
        <f t="shared" si="55"/>
        <v/>
      </c>
      <c r="P273" s="30" t="str">
        <f t="shared" si="55"/>
        <v/>
      </c>
      <c r="Q273" s="60" t="str">
        <f t="shared" si="55"/>
        <v/>
      </c>
      <c r="R273" s="30" t="str">
        <f t="shared" si="55"/>
        <v/>
      </c>
      <c r="S273" s="60" t="str">
        <f>IF($A273="","",IF(S$6="NÃO",0,IF($A273=0,DATEDIF(ESTRUTURA!$F$3,ESTRUTURA!$F$4,"m")*Tabela!$H$17,Tabela!$H$17)))</f>
        <v/>
      </c>
      <c r="T273" s="30" t="str">
        <f>IF($A273="","",IF(T$6="NÃO",0,IF($A273=0,DATEDIF(ESTRUTURA!$F$3,ESTRUTURA!$F$4,"m")*Tabela!$H$18,Tabela!$H$18)))</f>
        <v/>
      </c>
      <c r="U273" s="60" t="str">
        <f t="shared" si="54"/>
        <v/>
      </c>
      <c r="V273" s="30" t="str">
        <f>IF($A273="","",IF(V$6="NÃO",0,IF($A273=0,DATEDIF(ESTRUTURA!$F$3,ESTRUTURA!$F$4,"m")*Tabela!$H$20,Tabela!$H$20)))</f>
        <v/>
      </c>
      <c r="W273" s="60" t="str">
        <f t="shared" si="54"/>
        <v/>
      </c>
      <c r="X273" s="30" t="str">
        <f t="shared" si="54"/>
        <v/>
      </c>
      <c r="Y273" s="60" t="str">
        <f>IF($A273="","",IF(Y$6="NÃO",0,IF(A273=0,Tabela!$H$23,IF(Y$7="mensal",Tabela!$H$23,IF(AND(MONTH(ESTRUTURA!C273)=MONTH(ESTRUTURA!$F$3),A273&gt;0),Tabela!$H$23,0)))))</f>
        <v/>
      </c>
      <c r="Z273" s="30" t="str">
        <f t="shared" si="54"/>
        <v/>
      </c>
      <c r="AA273" s="60" t="str">
        <f>IF($A273="","",IF(AA$6="NÃO",0,Tabela!$H$25*nm_séries))</f>
        <v/>
      </c>
      <c r="AB273" s="30" t="str">
        <f t="shared" si="54"/>
        <v/>
      </c>
      <c r="AC273" s="60" t="str">
        <f>IF($A273="","",IF(AC$6="NÃO",0,IF(A273=0,Tabela!$H$27,IF(MOD(A273,3)=0,Tabela!$H$27,0))))</f>
        <v/>
      </c>
      <c r="AD273" s="30" t="str">
        <f t="shared" si="54"/>
        <v/>
      </c>
      <c r="AE273" s="60" t="str">
        <f t="shared" si="54"/>
        <v/>
      </c>
      <c r="AF273" s="30" t="str">
        <f>IF($A273="","",IF(AF$6="NÃO",0,IF(AND(MONTH(ESTRUTURA!C273)=MONTH(ESTRUTURA!$F$3),A273&gt;0),Tabela!$H$30,0)))</f>
        <v/>
      </c>
      <c r="AG273" s="60" t="str">
        <f t="shared" si="54"/>
        <v/>
      </c>
      <c r="AH273" s="30" t="str">
        <f t="shared" si="54"/>
        <v/>
      </c>
      <c r="AI273" s="60" t="str">
        <f>IF($A273="","",IF(AI$6="NÃO",0,IF($A273=0,DATEDIF(ESTRUTURA!$F$3,ESTRUTURA!$F$4,"m")*Tabela!$H$33,Tabela!$H$33)))</f>
        <v/>
      </c>
      <c r="AJ273" s="30" t="str">
        <f t="shared" si="50"/>
        <v/>
      </c>
    </row>
    <row r="274" spans="1:36" x14ac:dyDescent="0.2">
      <c r="A274" s="66" t="str">
        <f>ESTRUTURA!A274</f>
        <v/>
      </c>
      <c r="B274" s="58">
        <f t="shared" si="56"/>
        <v>0</v>
      </c>
      <c r="C274" s="60" t="str">
        <f t="shared" si="55"/>
        <v/>
      </c>
      <c r="D274" s="30" t="str">
        <f t="shared" si="55"/>
        <v/>
      </c>
      <c r="E274" s="60" t="str">
        <f t="shared" si="55"/>
        <v/>
      </c>
      <c r="F274" s="30" t="str">
        <f>IF($A274="","",IF(F$6="NÃO",0,Tabela!$H$34*ESTRUTURA!$I$4))</f>
        <v/>
      </c>
      <c r="G274" s="60" t="str">
        <f t="shared" si="55"/>
        <v/>
      </c>
      <c r="H274" s="30" t="str">
        <f>IF($A274="","",IF(H$6="NÃO",0,IF($A274=0,DATEDIF(ESTRUTURA!$F$3,ESTRUTURA!$F$4,"m")*Tabela!$H$6,Tabela!$H$6)))</f>
        <v/>
      </c>
      <c r="I274" s="60" t="str">
        <f t="shared" si="55"/>
        <v/>
      </c>
      <c r="J274" s="30" t="str">
        <f>IF($A274="","",IF(J$6="NÃO",0,IF($A274=0,DATEDIF(ESTRUTURA!$F$3,ESTRUTURA!$F$4,"m")*Tabela!$H$8,IF(J$6="NÃO",0,Tabela!$H$8))))</f>
        <v/>
      </c>
      <c r="K274" s="60" t="str">
        <f t="shared" si="55"/>
        <v/>
      </c>
      <c r="L274" s="30" t="str">
        <f t="shared" si="55"/>
        <v/>
      </c>
      <c r="M274" s="60" t="str">
        <f t="shared" si="55"/>
        <v/>
      </c>
      <c r="N274" s="30" t="str">
        <f t="shared" si="55"/>
        <v/>
      </c>
      <c r="O274" s="60" t="str">
        <f t="shared" si="55"/>
        <v/>
      </c>
      <c r="P274" s="30" t="str">
        <f t="shared" si="55"/>
        <v/>
      </c>
      <c r="Q274" s="60" t="str">
        <f t="shared" si="55"/>
        <v/>
      </c>
      <c r="R274" s="30" t="str">
        <f t="shared" si="55"/>
        <v/>
      </c>
      <c r="S274" s="60" t="str">
        <f>IF($A274="","",IF(S$6="NÃO",0,IF($A274=0,DATEDIF(ESTRUTURA!$F$3,ESTRUTURA!$F$4,"m")*Tabela!$H$17,Tabela!$H$17)))</f>
        <v/>
      </c>
      <c r="T274" s="30" t="str">
        <f>IF($A274="","",IF(T$6="NÃO",0,IF($A274=0,DATEDIF(ESTRUTURA!$F$3,ESTRUTURA!$F$4,"m")*Tabela!$H$18,Tabela!$H$18)))</f>
        <v/>
      </c>
      <c r="U274" s="60" t="str">
        <f t="shared" si="54"/>
        <v/>
      </c>
      <c r="V274" s="30" t="str">
        <f>IF($A274="","",IF(V$6="NÃO",0,IF($A274=0,DATEDIF(ESTRUTURA!$F$3,ESTRUTURA!$F$4,"m")*Tabela!$H$20,Tabela!$H$20)))</f>
        <v/>
      </c>
      <c r="W274" s="60" t="str">
        <f t="shared" si="54"/>
        <v/>
      </c>
      <c r="X274" s="30" t="str">
        <f t="shared" si="54"/>
        <v/>
      </c>
      <c r="Y274" s="60" t="str">
        <f>IF($A274="","",IF(Y$6="NÃO",0,IF(A274=0,Tabela!$H$23,IF(Y$7="mensal",Tabela!$H$23,IF(AND(MONTH(ESTRUTURA!C274)=MONTH(ESTRUTURA!$F$3),A274&gt;0),Tabela!$H$23,0)))))</f>
        <v/>
      </c>
      <c r="Z274" s="30" t="str">
        <f t="shared" si="54"/>
        <v/>
      </c>
      <c r="AA274" s="60" t="str">
        <f>IF($A274="","",IF(AA$6="NÃO",0,Tabela!$H$25*nm_séries))</f>
        <v/>
      </c>
      <c r="AB274" s="30" t="str">
        <f t="shared" si="54"/>
        <v/>
      </c>
      <c r="AC274" s="60" t="str">
        <f>IF($A274="","",IF(AC$6="NÃO",0,IF(A274=0,Tabela!$H$27,IF(MOD(A274,3)=0,Tabela!$H$27,0))))</f>
        <v/>
      </c>
      <c r="AD274" s="30" t="str">
        <f t="shared" si="54"/>
        <v/>
      </c>
      <c r="AE274" s="60" t="str">
        <f t="shared" si="54"/>
        <v/>
      </c>
      <c r="AF274" s="30" t="str">
        <f>IF($A274="","",IF(AF$6="NÃO",0,IF(AND(MONTH(ESTRUTURA!C274)=MONTH(ESTRUTURA!$F$3),A274&gt;0),Tabela!$H$30,0)))</f>
        <v/>
      </c>
      <c r="AG274" s="60" t="str">
        <f t="shared" si="54"/>
        <v/>
      </c>
      <c r="AH274" s="30" t="str">
        <f t="shared" si="54"/>
        <v/>
      </c>
      <c r="AI274" s="60" t="str">
        <f>IF($A274="","",IF(AI$6="NÃO",0,IF($A274=0,DATEDIF(ESTRUTURA!$F$3,ESTRUTURA!$F$4,"m")*Tabela!$H$33,Tabela!$H$33)))</f>
        <v/>
      </c>
      <c r="AJ274" s="30" t="str">
        <f t="shared" si="50"/>
        <v/>
      </c>
    </row>
    <row r="275" spans="1:36" x14ac:dyDescent="0.2">
      <c r="A275" s="66" t="str">
        <f>ESTRUTURA!A275</f>
        <v/>
      </c>
      <c r="B275" s="58">
        <f t="shared" si="56"/>
        <v>0</v>
      </c>
      <c r="C275" s="60" t="str">
        <f t="shared" si="55"/>
        <v/>
      </c>
      <c r="D275" s="30" t="str">
        <f t="shared" si="55"/>
        <v/>
      </c>
      <c r="E275" s="60" t="str">
        <f t="shared" si="55"/>
        <v/>
      </c>
      <c r="F275" s="30" t="str">
        <f>IF($A275="","",IF(F$6="NÃO",0,Tabela!$H$34*ESTRUTURA!$I$4))</f>
        <v/>
      </c>
      <c r="G275" s="60" t="str">
        <f t="shared" si="55"/>
        <v/>
      </c>
      <c r="H275" s="30" t="str">
        <f>IF($A275="","",IF(H$6="NÃO",0,IF($A275=0,DATEDIF(ESTRUTURA!$F$3,ESTRUTURA!$F$4,"m")*Tabela!$H$6,Tabela!$H$6)))</f>
        <v/>
      </c>
      <c r="I275" s="60" t="str">
        <f t="shared" si="55"/>
        <v/>
      </c>
      <c r="J275" s="30" t="str">
        <f>IF($A275="","",IF(J$6="NÃO",0,IF($A275=0,DATEDIF(ESTRUTURA!$F$3,ESTRUTURA!$F$4,"m")*Tabela!$H$8,IF(J$6="NÃO",0,Tabela!$H$8))))</f>
        <v/>
      </c>
      <c r="K275" s="60" t="str">
        <f t="shared" si="55"/>
        <v/>
      </c>
      <c r="L275" s="30" t="str">
        <f t="shared" si="55"/>
        <v/>
      </c>
      <c r="M275" s="60" t="str">
        <f t="shared" si="55"/>
        <v/>
      </c>
      <c r="N275" s="30" t="str">
        <f t="shared" si="55"/>
        <v/>
      </c>
      <c r="O275" s="60" t="str">
        <f t="shared" si="55"/>
        <v/>
      </c>
      <c r="P275" s="30" t="str">
        <f t="shared" si="55"/>
        <v/>
      </c>
      <c r="Q275" s="60" t="str">
        <f t="shared" si="55"/>
        <v/>
      </c>
      <c r="R275" s="30" t="str">
        <f t="shared" si="55"/>
        <v/>
      </c>
      <c r="S275" s="60" t="str">
        <f>IF($A275="","",IF(S$6="NÃO",0,IF($A275=0,DATEDIF(ESTRUTURA!$F$3,ESTRUTURA!$F$4,"m")*Tabela!$H$17,Tabela!$H$17)))</f>
        <v/>
      </c>
      <c r="T275" s="30" t="str">
        <f>IF($A275="","",IF(T$6="NÃO",0,IF($A275=0,DATEDIF(ESTRUTURA!$F$3,ESTRUTURA!$F$4,"m")*Tabela!$H$18,Tabela!$H$18)))</f>
        <v/>
      </c>
      <c r="U275" s="60" t="str">
        <f t="shared" si="54"/>
        <v/>
      </c>
      <c r="V275" s="30" t="str">
        <f>IF($A275="","",IF(V$6="NÃO",0,IF($A275=0,DATEDIF(ESTRUTURA!$F$3,ESTRUTURA!$F$4,"m")*Tabela!$H$20,Tabela!$H$20)))</f>
        <v/>
      </c>
      <c r="W275" s="60" t="str">
        <f t="shared" si="54"/>
        <v/>
      </c>
      <c r="X275" s="30" t="str">
        <f t="shared" si="54"/>
        <v/>
      </c>
      <c r="Y275" s="60" t="str">
        <f>IF($A275="","",IF(Y$6="NÃO",0,IF(A275=0,Tabela!$H$23,IF(Y$7="mensal",Tabela!$H$23,IF(AND(MONTH(ESTRUTURA!C275)=MONTH(ESTRUTURA!$F$3),A275&gt;0),Tabela!$H$23,0)))))</f>
        <v/>
      </c>
      <c r="Z275" s="30" t="str">
        <f t="shared" si="54"/>
        <v/>
      </c>
      <c r="AA275" s="60" t="str">
        <f>IF($A275="","",IF(AA$6="NÃO",0,Tabela!$H$25*nm_séries))</f>
        <v/>
      </c>
      <c r="AB275" s="30" t="str">
        <f t="shared" si="54"/>
        <v/>
      </c>
      <c r="AC275" s="60" t="str">
        <f>IF($A275="","",IF(AC$6="NÃO",0,IF(A275=0,Tabela!$H$27,IF(MOD(A275,3)=0,Tabela!$H$27,0))))</f>
        <v/>
      </c>
      <c r="AD275" s="30" t="str">
        <f t="shared" si="54"/>
        <v/>
      </c>
      <c r="AE275" s="60" t="str">
        <f t="shared" si="54"/>
        <v/>
      </c>
      <c r="AF275" s="30" t="str">
        <f>IF($A275="","",IF(AF$6="NÃO",0,IF(AND(MONTH(ESTRUTURA!C275)=MONTH(ESTRUTURA!$F$3),A275&gt;0),Tabela!$H$30,0)))</f>
        <v/>
      </c>
      <c r="AG275" s="60" t="str">
        <f t="shared" si="54"/>
        <v/>
      </c>
      <c r="AH275" s="30" t="str">
        <f t="shared" si="54"/>
        <v/>
      </c>
      <c r="AI275" s="60" t="str">
        <f>IF($A275="","",IF(AI$6="NÃO",0,IF($A275=0,DATEDIF(ESTRUTURA!$F$3,ESTRUTURA!$F$4,"m")*Tabela!$H$33,Tabela!$H$33)))</f>
        <v/>
      </c>
      <c r="AJ275" s="30" t="str">
        <f t="shared" si="50"/>
        <v/>
      </c>
    </row>
    <row r="276" spans="1:36" x14ac:dyDescent="0.2">
      <c r="A276" s="66" t="str">
        <f>ESTRUTURA!A276</f>
        <v/>
      </c>
      <c r="B276" s="58">
        <f t="shared" si="56"/>
        <v>0</v>
      </c>
      <c r="C276" s="60" t="str">
        <f t="shared" si="55"/>
        <v/>
      </c>
      <c r="D276" s="30" t="str">
        <f t="shared" si="55"/>
        <v/>
      </c>
      <c r="E276" s="60" t="str">
        <f t="shared" si="55"/>
        <v/>
      </c>
      <c r="F276" s="30" t="str">
        <f>IF($A276="","",IF(F$6="NÃO",0,Tabela!$H$34*ESTRUTURA!$I$4))</f>
        <v/>
      </c>
      <c r="G276" s="60" t="str">
        <f t="shared" si="55"/>
        <v/>
      </c>
      <c r="H276" s="30" t="str">
        <f>IF($A276="","",IF(H$6="NÃO",0,IF($A276=0,DATEDIF(ESTRUTURA!$F$3,ESTRUTURA!$F$4,"m")*Tabela!$H$6,Tabela!$H$6)))</f>
        <v/>
      </c>
      <c r="I276" s="60" t="str">
        <f t="shared" si="55"/>
        <v/>
      </c>
      <c r="J276" s="30" t="str">
        <f>IF($A276="","",IF(J$6="NÃO",0,IF($A276=0,DATEDIF(ESTRUTURA!$F$3,ESTRUTURA!$F$4,"m")*Tabela!$H$8,IF(J$6="NÃO",0,Tabela!$H$8))))</f>
        <v/>
      </c>
      <c r="K276" s="60" t="str">
        <f t="shared" si="55"/>
        <v/>
      </c>
      <c r="L276" s="30" t="str">
        <f t="shared" si="55"/>
        <v/>
      </c>
      <c r="M276" s="60" t="str">
        <f t="shared" si="55"/>
        <v/>
      </c>
      <c r="N276" s="30" t="str">
        <f t="shared" si="55"/>
        <v/>
      </c>
      <c r="O276" s="60" t="str">
        <f t="shared" si="55"/>
        <v/>
      </c>
      <c r="P276" s="30" t="str">
        <f t="shared" si="55"/>
        <v/>
      </c>
      <c r="Q276" s="60" t="str">
        <f t="shared" si="55"/>
        <v/>
      </c>
      <c r="R276" s="30" t="str">
        <f t="shared" si="55"/>
        <v/>
      </c>
      <c r="S276" s="60" t="str">
        <f>IF($A276="","",IF(S$6="NÃO",0,IF($A276=0,DATEDIF(ESTRUTURA!$F$3,ESTRUTURA!$F$4,"m")*Tabela!$H$17,Tabela!$H$17)))</f>
        <v/>
      </c>
      <c r="T276" s="30" t="str">
        <f>IF($A276="","",IF(T$6="NÃO",0,IF($A276=0,DATEDIF(ESTRUTURA!$F$3,ESTRUTURA!$F$4,"m")*Tabela!$H$18,Tabela!$H$18)))</f>
        <v/>
      </c>
      <c r="U276" s="60" t="str">
        <f t="shared" si="54"/>
        <v/>
      </c>
      <c r="V276" s="30" t="str">
        <f>IF($A276="","",IF(V$6="NÃO",0,IF($A276=0,DATEDIF(ESTRUTURA!$F$3,ESTRUTURA!$F$4,"m")*Tabela!$H$20,Tabela!$H$20)))</f>
        <v/>
      </c>
      <c r="W276" s="60" t="str">
        <f t="shared" si="54"/>
        <v/>
      </c>
      <c r="X276" s="30" t="str">
        <f t="shared" si="54"/>
        <v/>
      </c>
      <c r="Y276" s="60" t="str">
        <f>IF($A276="","",IF(Y$6="NÃO",0,IF(A276=0,Tabela!$H$23,IF(Y$7="mensal",Tabela!$H$23,IF(AND(MONTH(ESTRUTURA!C276)=MONTH(ESTRUTURA!$F$3),A276&gt;0),Tabela!$H$23,0)))))</f>
        <v/>
      </c>
      <c r="Z276" s="30" t="str">
        <f t="shared" si="54"/>
        <v/>
      </c>
      <c r="AA276" s="60" t="str">
        <f>IF($A276="","",IF(AA$6="NÃO",0,Tabela!$H$25*nm_séries))</f>
        <v/>
      </c>
      <c r="AB276" s="30" t="str">
        <f t="shared" si="54"/>
        <v/>
      </c>
      <c r="AC276" s="60" t="str">
        <f>IF($A276="","",IF(AC$6="NÃO",0,IF(A276=0,Tabela!$H$27,IF(MOD(A276,3)=0,Tabela!$H$27,0))))</f>
        <v/>
      </c>
      <c r="AD276" s="30" t="str">
        <f t="shared" si="54"/>
        <v/>
      </c>
      <c r="AE276" s="60" t="str">
        <f t="shared" si="54"/>
        <v/>
      </c>
      <c r="AF276" s="30" t="str">
        <f>IF($A276="","",IF(AF$6="NÃO",0,IF(AND(MONTH(ESTRUTURA!C276)=MONTH(ESTRUTURA!$F$3),A276&gt;0),Tabela!$H$30,0)))</f>
        <v/>
      </c>
      <c r="AG276" s="60" t="str">
        <f t="shared" si="54"/>
        <v/>
      </c>
      <c r="AH276" s="30" t="str">
        <f t="shared" si="54"/>
        <v/>
      </c>
      <c r="AI276" s="60" t="str">
        <f>IF($A276="","",IF(AI$6="NÃO",0,IF($A276=0,DATEDIF(ESTRUTURA!$F$3,ESTRUTURA!$F$4,"m")*Tabela!$H$33,Tabela!$H$33)))</f>
        <v/>
      </c>
      <c r="AJ276" s="30" t="str">
        <f t="shared" si="50"/>
        <v/>
      </c>
    </row>
    <row r="277" spans="1:36" x14ac:dyDescent="0.2">
      <c r="A277" s="66" t="str">
        <f>ESTRUTURA!A277</f>
        <v/>
      </c>
      <c r="B277" s="58">
        <f t="shared" si="56"/>
        <v>0</v>
      </c>
      <c r="C277" s="60" t="str">
        <f t="shared" si="55"/>
        <v/>
      </c>
      <c r="D277" s="30" t="str">
        <f t="shared" si="55"/>
        <v/>
      </c>
      <c r="E277" s="60" t="str">
        <f t="shared" si="55"/>
        <v/>
      </c>
      <c r="F277" s="30" t="str">
        <f>IF($A277="","",IF(F$6="NÃO",0,Tabela!$H$34*ESTRUTURA!$I$4))</f>
        <v/>
      </c>
      <c r="G277" s="60" t="str">
        <f t="shared" si="55"/>
        <v/>
      </c>
      <c r="H277" s="30" t="str">
        <f>IF($A277="","",IF(H$6="NÃO",0,IF($A277=0,DATEDIF(ESTRUTURA!$F$3,ESTRUTURA!$F$4,"m")*Tabela!$H$6,Tabela!$H$6)))</f>
        <v/>
      </c>
      <c r="I277" s="60" t="str">
        <f t="shared" si="55"/>
        <v/>
      </c>
      <c r="J277" s="30" t="str">
        <f>IF($A277="","",IF(J$6="NÃO",0,IF($A277=0,DATEDIF(ESTRUTURA!$F$3,ESTRUTURA!$F$4,"m")*Tabela!$H$8,IF(J$6="NÃO",0,Tabela!$H$8))))</f>
        <v/>
      </c>
      <c r="K277" s="60" t="str">
        <f t="shared" si="55"/>
        <v/>
      </c>
      <c r="L277" s="30" t="str">
        <f t="shared" si="55"/>
        <v/>
      </c>
      <c r="M277" s="60" t="str">
        <f t="shared" si="55"/>
        <v/>
      </c>
      <c r="N277" s="30" t="str">
        <f t="shared" si="55"/>
        <v/>
      </c>
      <c r="O277" s="60" t="str">
        <f t="shared" si="55"/>
        <v/>
      </c>
      <c r="P277" s="30" t="str">
        <f t="shared" si="55"/>
        <v/>
      </c>
      <c r="Q277" s="60" t="str">
        <f t="shared" si="55"/>
        <v/>
      </c>
      <c r="R277" s="30" t="str">
        <f t="shared" si="55"/>
        <v/>
      </c>
      <c r="S277" s="60" t="str">
        <f>IF($A277="","",IF(S$6="NÃO",0,IF($A277=0,DATEDIF(ESTRUTURA!$F$3,ESTRUTURA!$F$4,"m")*Tabela!$H$17,Tabela!$H$17)))</f>
        <v/>
      </c>
      <c r="T277" s="30" t="str">
        <f>IF($A277="","",IF(T$6="NÃO",0,IF($A277=0,DATEDIF(ESTRUTURA!$F$3,ESTRUTURA!$F$4,"m")*Tabela!$H$18,Tabela!$H$18)))</f>
        <v/>
      </c>
      <c r="U277" s="60" t="str">
        <f t="shared" si="54"/>
        <v/>
      </c>
      <c r="V277" s="30" t="str">
        <f>IF($A277="","",IF(V$6="NÃO",0,IF($A277=0,DATEDIF(ESTRUTURA!$F$3,ESTRUTURA!$F$4,"m")*Tabela!$H$20,Tabela!$H$20)))</f>
        <v/>
      </c>
      <c r="W277" s="60" t="str">
        <f t="shared" si="54"/>
        <v/>
      </c>
      <c r="X277" s="30" t="str">
        <f t="shared" si="54"/>
        <v/>
      </c>
      <c r="Y277" s="60" t="str">
        <f>IF($A277="","",IF(Y$6="NÃO",0,IF(A277=0,Tabela!$H$23,IF(Y$7="mensal",Tabela!$H$23,IF(AND(MONTH(ESTRUTURA!C277)=MONTH(ESTRUTURA!$F$3),A277&gt;0),Tabela!$H$23,0)))))</f>
        <v/>
      </c>
      <c r="Z277" s="30" t="str">
        <f t="shared" si="54"/>
        <v/>
      </c>
      <c r="AA277" s="60" t="str">
        <f>IF($A277="","",IF(AA$6="NÃO",0,Tabela!$H$25*nm_séries))</f>
        <v/>
      </c>
      <c r="AB277" s="30" t="str">
        <f t="shared" si="54"/>
        <v/>
      </c>
      <c r="AC277" s="60" t="str">
        <f>IF($A277="","",IF(AC$6="NÃO",0,IF(A277=0,Tabela!$H$27,IF(MOD(A277,3)=0,Tabela!$H$27,0))))</f>
        <v/>
      </c>
      <c r="AD277" s="30" t="str">
        <f t="shared" si="54"/>
        <v/>
      </c>
      <c r="AE277" s="60" t="str">
        <f t="shared" si="54"/>
        <v/>
      </c>
      <c r="AF277" s="30" t="str">
        <f>IF($A277="","",IF(AF$6="NÃO",0,IF(AND(MONTH(ESTRUTURA!C277)=MONTH(ESTRUTURA!$F$3),A277&gt;0),Tabela!$H$30,0)))</f>
        <v/>
      </c>
      <c r="AG277" s="60" t="str">
        <f t="shared" si="54"/>
        <v/>
      </c>
      <c r="AH277" s="30" t="str">
        <f t="shared" si="54"/>
        <v/>
      </c>
      <c r="AI277" s="60" t="str">
        <f>IF($A277="","",IF(AI$6="NÃO",0,IF($A277=0,DATEDIF(ESTRUTURA!$F$3,ESTRUTURA!$F$4,"m")*Tabela!$H$33,Tabela!$H$33)))</f>
        <v/>
      </c>
      <c r="AJ277" s="30" t="str">
        <f t="shared" si="50"/>
        <v/>
      </c>
    </row>
    <row r="278" spans="1:36" x14ac:dyDescent="0.2">
      <c r="A278" s="66" t="str">
        <f>ESTRUTURA!A278</f>
        <v/>
      </c>
      <c r="B278" s="58">
        <f t="shared" si="56"/>
        <v>0</v>
      </c>
      <c r="C278" s="60" t="str">
        <f t="shared" si="55"/>
        <v/>
      </c>
      <c r="D278" s="30" t="str">
        <f t="shared" si="55"/>
        <v/>
      </c>
      <c r="E278" s="60" t="str">
        <f t="shared" si="55"/>
        <v/>
      </c>
      <c r="F278" s="30" t="str">
        <f>IF($A278="","",IF(F$6="NÃO",0,Tabela!$H$34*ESTRUTURA!$I$4))</f>
        <v/>
      </c>
      <c r="G278" s="60" t="str">
        <f t="shared" si="55"/>
        <v/>
      </c>
      <c r="H278" s="30" t="str">
        <f>IF($A278="","",IF(H$6="NÃO",0,IF($A278=0,DATEDIF(ESTRUTURA!$F$3,ESTRUTURA!$F$4,"m")*Tabela!$H$6,Tabela!$H$6)))</f>
        <v/>
      </c>
      <c r="I278" s="60" t="str">
        <f t="shared" si="55"/>
        <v/>
      </c>
      <c r="J278" s="30" t="str">
        <f>IF($A278="","",IF(J$6="NÃO",0,IF($A278=0,DATEDIF(ESTRUTURA!$F$3,ESTRUTURA!$F$4,"m")*Tabela!$H$8,IF(J$6="NÃO",0,Tabela!$H$8))))</f>
        <v/>
      </c>
      <c r="K278" s="60" t="str">
        <f t="shared" si="55"/>
        <v/>
      </c>
      <c r="L278" s="30" t="str">
        <f t="shared" si="55"/>
        <v/>
      </c>
      <c r="M278" s="60" t="str">
        <f t="shared" si="55"/>
        <v/>
      </c>
      <c r="N278" s="30" t="str">
        <f t="shared" si="55"/>
        <v/>
      </c>
      <c r="O278" s="60" t="str">
        <f t="shared" si="55"/>
        <v/>
      </c>
      <c r="P278" s="30" t="str">
        <f t="shared" si="55"/>
        <v/>
      </c>
      <c r="Q278" s="60" t="str">
        <f t="shared" si="55"/>
        <v/>
      </c>
      <c r="R278" s="30" t="str">
        <f t="shared" si="55"/>
        <v/>
      </c>
      <c r="S278" s="60" t="str">
        <f>IF($A278="","",IF(S$6="NÃO",0,IF($A278=0,DATEDIF(ESTRUTURA!$F$3,ESTRUTURA!$F$4,"m")*Tabela!$H$17,Tabela!$H$17)))</f>
        <v/>
      </c>
      <c r="T278" s="30" t="str">
        <f>IF($A278="","",IF(T$6="NÃO",0,IF($A278=0,DATEDIF(ESTRUTURA!$F$3,ESTRUTURA!$F$4,"m")*Tabela!$H$18,Tabela!$H$18)))</f>
        <v/>
      </c>
      <c r="U278" s="60" t="str">
        <f t="shared" si="54"/>
        <v/>
      </c>
      <c r="V278" s="30" t="str">
        <f>IF($A278="","",IF(V$6="NÃO",0,IF($A278=0,DATEDIF(ESTRUTURA!$F$3,ESTRUTURA!$F$4,"m")*Tabela!$H$20,Tabela!$H$20)))</f>
        <v/>
      </c>
      <c r="W278" s="60" t="str">
        <f t="shared" si="54"/>
        <v/>
      </c>
      <c r="X278" s="30" t="str">
        <f t="shared" si="54"/>
        <v/>
      </c>
      <c r="Y278" s="60" t="str">
        <f>IF($A278="","",IF(Y$6="NÃO",0,IF(A278=0,Tabela!$H$23,IF(Y$7="mensal",Tabela!$H$23,IF(AND(MONTH(ESTRUTURA!C278)=MONTH(ESTRUTURA!$F$3),A278&gt;0),Tabela!$H$23,0)))))</f>
        <v/>
      </c>
      <c r="Z278" s="30" t="str">
        <f t="shared" si="54"/>
        <v/>
      </c>
      <c r="AA278" s="60" t="str">
        <f>IF($A278="","",IF(AA$6="NÃO",0,Tabela!$H$25*nm_séries))</f>
        <v/>
      </c>
      <c r="AB278" s="30" t="str">
        <f t="shared" si="54"/>
        <v/>
      </c>
      <c r="AC278" s="60" t="str">
        <f>IF($A278="","",IF(AC$6="NÃO",0,IF(A278=0,Tabela!$H$27,IF(MOD(A278,3)=0,Tabela!$H$27,0))))</f>
        <v/>
      </c>
      <c r="AD278" s="30" t="str">
        <f t="shared" si="54"/>
        <v/>
      </c>
      <c r="AE278" s="60" t="str">
        <f t="shared" si="54"/>
        <v/>
      </c>
      <c r="AF278" s="30" t="str">
        <f>IF($A278="","",IF(AF$6="NÃO",0,IF(AND(MONTH(ESTRUTURA!C278)=MONTH(ESTRUTURA!$F$3),A278&gt;0),Tabela!$H$30,0)))</f>
        <v/>
      </c>
      <c r="AG278" s="60" t="str">
        <f t="shared" si="54"/>
        <v/>
      </c>
      <c r="AH278" s="30" t="str">
        <f t="shared" si="54"/>
        <v/>
      </c>
      <c r="AI278" s="60" t="str">
        <f>IF($A278="","",IF(AI$6="NÃO",0,IF($A278=0,DATEDIF(ESTRUTURA!$F$3,ESTRUTURA!$F$4,"m")*Tabela!$H$33,Tabela!$H$33)))</f>
        <v/>
      </c>
      <c r="AJ278" s="30" t="str">
        <f t="shared" si="50"/>
        <v/>
      </c>
    </row>
    <row r="279" spans="1:36" x14ac:dyDescent="0.2">
      <c r="A279" s="66" t="str">
        <f>ESTRUTURA!A279</f>
        <v/>
      </c>
      <c r="B279" s="58">
        <f t="shared" si="56"/>
        <v>0</v>
      </c>
      <c r="C279" s="60" t="str">
        <f t="shared" si="55"/>
        <v/>
      </c>
      <c r="D279" s="30" t="str">
        <f t="shared" si="55"/>
        <v/>
      </c>
      <c r="E279" s="60" t="str">
        <f t="shared" si="55"/>
        <v/>
      </c>
      <c r="F279" s="30" t="str">
        <f>IF($A279="","",IF(F$6="NÃO",0,Tabela!$H$34*ESTRUTURA!$I$4))</f>
        <v/>
      </c>
      <c r="G279" s="60" t="str">
        <f t="shared" si="55"/>
        <v/>
      </c>
      <c r="H279" s="30" t="str">
        <f>IF($A279="","",IF(H$6="NÃO",0,IF($A279=0,DATEDIF(ESTRUTURA!$F$3,ESTRUTURA!$F$4,"m")*Tabela!$H$6,Tabela!$H$6)))</f>
        <v/>
      </c>
      <c r="I279" s="60" t="str">
        <f t="shared" si="55"/>
        <v/>
      </c>
      <c r="J279" s="30" t="str">
        <f>IF($A279="","",IF(J$6="NÃO",0,IF($A279=0,DATEDIF(ESTRUTURA!$F$3,ESTRUTURA!$F$4,"m")*Tabela!$H$8,IF(J$6="NÃO",0,Tabela!$H$8))))</f>
        <v/>
      </c>
      <c r="K279" s="60" t="str">
        <f t="shared" si="55"/>
        <v/>
      </c>
      <c r="L279" s="30" t="str">
        <f t="shared" si="55"/>
        <v/>
      </c>
      <c r="M279" s="60" t="str">
        <f t="shared" si="55"/>
        <v/>
      </c>
      <c r="N279" s="30" t="str">
        <f t="shared" si="55"/>
        <v/>
      </c>
      <c r="O279" s="60" t="str">
        <f t="shared" si="55"/>
        <v/>
      </c>
      <c r="P279" s="30" t="str">
        <f t="shared" si="55"/>
        <v/>
      </c>
      <c r="Q279" s="60" t="str">
        <f t="shared" si="55"/>
        <v/>
      </c>
      <c r="R279" s="30" t="str">
        <f t="shared" si="55"/>
        <v/>
      </c>
      <c r="S279" s="60" t="str">
        <f>IF($A279="","",IF(S$6="NÃO",0,IF($A279=0,DATEDIF(ESTRUTURA!$F$3,ESTRUTURA!$F$4,"m")*Tabela!$H$17,Tabela!$H$17)))</f>
        <v/>
      </c>
      <c r="T279" s="30" t="str">
        <f>IF($A279="","",IF(T$6="NÃO",0,IF($A279=0,DATEDIF(ESTRUTURA!$F$3,ESTRUTURA!$F$4,"m")*Tabela!$H$18,Tabela!$H$18)))</f>
        <v/>
      </c>
      <c r="U279" s="60" t="str">
        <f t="shared" si="54"/>
        <v/>
      </c>
      <c r="V279" s="30" t="str">
        <f>IF($A279="","",IF(V$6="NÃO",0,IF($A279=0,DATEDIF(ESTRUTURA!$F$3,ESTRUTURA!$F$4,"m")*Tabela!$H$20,Tabela!$H$20)))</f>
        <v/>
      </c>
      <c r="W279" s="60" t="str">
        <f t="shared" si="54"/>
        <v/>
      </c>
      <c r="X279" s="30" t="str">
        <f t="shared" si="54"/>
        <v/>
      </c>
      <c r="Y279" s="60" t="str">
        <f>IF($A279="","",IF(Y$6="NÃO",0,IF(A279=0,Tabela!$H$23,IF(Y$7="mensal",Tabela!$H$23,IF(AND(MONTH(ESTRUTURA!C279)=MONTH(ESTRUTURA!$F$3),A279&gt;0),Tabela!$H$23,0)))))</f>
        <v/>
      </c>
      <c r="Z279" s="30" t="str">
        <f t="shared" si="54"/>
        <v/>
      </c>
      <c r="AA279" s="60" t="str">
        <f>IF($A279="","",IF(AA$6="NÃO",0,Tabela!$H$25*nm_séries))</f>
        <v/>
      </c>
      <c r="AB279" s="30" t="str">
        <f t="shared" si="54"/>
        <v/>
      </c>
      <c r="AC279" s="60" t="str">
        <f>IF($A279="","",IF(AC$6="NÃO",0,IF(A279=0,Tabela!$H$27,IF(MOD(A279,3)=0,Tabela!$H$27,0))))</f>
        <v/>
      </c>
      <c r="AD279" s="30" t="str">
        <f t="shared" si="54"/>
        <v/>
      </c>
      <c r="AE279" s="60" t="str">
        <f t="shared" si="54"/>
        <v/>
      </c>
      <c r="AF279" s="30" t="str">
        <f>IF($A279="","",IF(AF$6="NÃO",0,IF(AND(MONTH(ESTRUTURA!C279)=MONTH(ESTRUTURA!$F$3),A279&gt;0),Tabela!$H$30,0)))</f>
        <v/>
      </c>
      <c r="AG279" s="60" t="str">
        <f t="shared" si="54"/>
        <v/>
      </c>
      <c r="AH279" s="30" t="str">
        <f t="shared" si="54"/>
        <v/>
      </c>
      <c r="AI279" s="60" t="str">
        <f>IF($A279="","",IF(AI$6="NÃO",0,IF($A279=0,DATEDIF(ESTRUTURA!$F$3,ESTRUTURA!$F$4,"m")*Tabela!$H$33,Tabela!$H$33)))</f>
        <v/>
      </c>
      <c r="AJ279" s="30" t="str">
        <f t="shared" si="50"/>
        <v/>
      </c>
    </row>
    <row r="280" spans="1:36" x14ac:dyDescent="0.2">
      <c r="A280" s="66" t="str">
        <f>ESTRUTURA!A280</f>
        <v/>
      </c>
      <c r="B280" s="58">
        <f t="shared" si="56"/>
        <v>0</v>
      </c>
      <c r="C280" s="60" t="str">
        <f t="shared" si="55"/>
        <v/>
      </c>
      <c r="D280" s="30" t="str">
        <f t="shared" si="55"/>
        <v/>
      </c>
      <c r="E280" s="60" t="str">
        <f t="shared" si="55"/>
        <v/>
      </c>
      <c r="F280" s="30" t="str">
        <f>IF($A280="","",IF(F$6="NÃO",0,Tabela!$H$34*ESTRUTURA!$I$4))</f>
        <v/>
      </c>
      <c r="G280" s="60" t="str">
        <f t="shared" si="55"/>
        <v/>
      </c>
      <c r="H280" s="30" t="str">
        <f>IF($A280="","",IF(H$6="NÃO",0,IF($A280=0,DATEDIF(ESTRUTURA!$F$3,ESTRUTURA!$F$4,"m")*Tabela!$H$6,Tabela!$H$6)))</f>
        <v/>
      </c>
      <c r="I280" s="60" t="str">
        <f t="shared" si="55"/>
        <v/>
      </c>
      <c r="J280" s="30" t="str">
        <f>IF($A280="","",IF(J$6="NÃO",0,IF($A280=0,DATEDIF(ESTRUTURA!$F$3,ESTRUTURA!$F$4,"m")*Tabela!$H$8,IF(J$6="NÃO",0,Tabela!$H$8))))</f>
        <v/>
      </c>
      <c r="K280" s="60" t="str">
        <f t="shared" si="55"/>
        <v/>
      </c>
      <c r="L280" s="30" t="str">
        <f t="shared" si="55"/>
        <v/>
      </c>
      <c r="M280" s="60" t="str">
        <f t="shared" si="55"/>
        <v/>
      </c>
      <c r="N280" s="30" t="str">
        <f t="shared" si="55"/>
        <v/>
      </c>
      <c r="O280" s="60" t="str">
        <f t="shared" si="55"/>
        <v/>
      </c>
      <c r="P280" s="30" t="str">
        <f t="shared" si="55"/>
        <v/>
      </c>
      <c r="Q280" s="60" t="str">
        <f t="shared" si="55"/>
        <v/>
      </c>
      <c r="R280" s="30" t="str">
        <f t="shared" si="55"/>
        <v/>
      </c>
      <c r="S280" s="60" t="str">
        <f>IF($A280="","",IF(S$6="NÃO",0,IF($A280=0,DATEDIF(ESTRUTURA!$F$3,ESTRUTURA!$F$4,"m")*Tabela!$H$17,Tabela!$H$17)))</f>
        <v/>
      </c>
      <c r="T280" s="30" t="str">
        <f>IF($A280="","",IF(T$6="NÃO",0,IF($A280=0,DATEDIF(ESTRUTURA!$F$3,ESTRUTURA!$F$4,"m")*Tabela!$H$18,Tabela!$H$18)))</f>
        <v/>
      </c>
      <c r="U280" s="60" t="str">
        <f t="shared" si="54"/>
        <v/>
      </c>
      <c r="V280" s="30" t="str">
        <f>IF($A280="","",IF(V$6="NÃO",0,IF($A280=0,DATEDIF(ESTRUTURA!$F$3,ESTRUTURA!$F$4,"m")*Tabela!$H$20,Tabela!$H$20)))</f>
        <v/>
      </c>
      <c r="W280" s="60" t="str">
        <f t="shared" si="54"/>
        <v/>
      </c>
      <c r="X280" s="30" t="str">
        <f t="shared" si="54"/>
        <v/>
      </c>
      <c r="Y280" s="60" t="str">
        <f>IF($A280="","",IF(Y$6="NÃO",0,IF(A280=0,Tabela!$H$23,IF(Y$7="mensal",Tabela!$H$23,IF(AND(MONTH(ESTRUTURA!C280)=MONTH(ESTRUTURA!$F$3),A280&gt;0),Tabela!$H$23,0)))))</f>
        <v/>
      </c>
      <c r="Z280" s="30" t="str">
        <f t="shared" si="54"/>
        <v/>
      </c>
      <c r="AA280" s="60" t="str">
        <f>IF($A280="","",IF(AA$6="NÃO",0,Tabela!$H$25*nm_séries))</f>
        <v/>
      </c>
      <c r="AB280" s="30" t="str">
        <f t="shared" si="54"/>
        <v/>
      </c>
      <c r="AC280" s="60" t="str">
        <f>IF($A280="","",IF(AC$6="NÃO",0,IF(A280=0,Tabela!$H$27,IF(MOD(A280,3)=0,Tabela!$H$27,0))))</f>
        <v/>
      </c>
      <c r="AD280" s="30" t="str">
        <f t="shared" si="54"/>
        <v/>
      </c>
      <c r="AE280" s="60" t="str">
        <f t="shared" si="54"/>
        <v/>
      </c>
      <c r="AF280" s="30" t="str">
        <f>IF($A280="","",IF(AF$6="NÃO",0,IF(AND(MONTH(ESTRUTURA!C280)=MONTH(ESTRUTURA!$F$3),A280&gt;0),Tabela!$H$30,0)))</f>
        <v/>
      </c>
      <c r="AG280" s="60" t="str">
        <f t="shared" si="54"/>
        <v/>
      </c>
      <c r="AH280" s="30" t="str">
        <f t="shared" si="54"/>
        <v/>
      </c>
      <c r="AI280" s="60" t="str">
        <f>IF($A280="","",IF(AI$6="NÃO",0,IF($A280=0,DATEDIF(ESTRUTURA!$F$3,ESTRUTURA!$F$4,"m")*Tabela!$H$33,Tabela!$H$33)))</f>
        <v/>
      </c>
      <c r="AJ280" s="30" t="str">
        <f t="shared" si="50"/>
        <v/>
      </c>
    </row>
    <row r="281" spans="1:36" x14ac:dyDescent="0.2">
      <c r="A281" s="66" t="str">
        <f>ESTRUTURA!A281</f>
        <v/>
      </c>
      <c r="B281" s="58">
        <f t="shared" si="56"/>
        <v>0</v>
      </c>
      <c r="C281" s="60" t="str">
        <f t="shared" si="55"/>
        <v/>
      </c>
      <c r="D281" s="30" t="str">
        <f t="shared" si="55"/>
        <v/>
      </c>
      <c r="E281" s="60" t="str">
        <f t="shared" si="55"/>
        <v/>
      </c>
      <c r="F281" s="30" t="str">
        <f>IF($A281="","",IF(F$6="NÃO",0,Tabela!$H$34*ESTRUTURA!$I$4))</f>
        <v/>
      </c>
      <c r="G281" s="60" t="str">
        <f t="shared" si="55"/>
        <v/>
      </c>
      <c r="H281" s="30" t="str">
        <f>IF($A281="","",IF(H$6="NÃO",0,IF($A281=0,DATEDIF(ESTRUTURA!$F$3,ESTRUTURA!$F$4,"m")*Tabela!$H$6,Tabela!$H$6)))</f>
        <v/>
      </c>
      <c r="I281" s="60" t="str">
        <f t="shared" si="55"/>
        <v/>
      </c>
      <c r="J281" s="30" t="str">
        <f>IF($A281="","",IF(J$6="NÃO",0,IF($A281=0,DATEDIF(ESTRUTURA!$F$3,ESTRUTURA!$F$4,"m")*Tabela!$H$8,IF(J$6="NÃO",0,Tabela!$H$8))))</f>
        <v/>
      </c>
      <c r="K281" s="60" t="str">
        <f t="shared" si="55"/>
        <v/>
      </c>
      <c r="L281" s="30" t="str">
        <f t="shared" si="55"/>
        <v/>
      </c>
      <c r="M281" s="60" t="str">
        <f t="shared" si="55"/>
        <v/>
      </c>
      <c r="N281" s="30" t="str">
        <f t="shared" si="55"/>
        <v/>
      </c>
      <c r="O281" s="60" t="str">
        <f t="shared" si="55"/>
        <v/>
      </c>
      <c r="P281" s="30" t="str">
        <f t="shared" si="55"/>
        <v/>
      </c>
      <c r="Q281" s="60" t="str">
        <f t="shared" si="55"/>
        <v/>
      </c>
      <c r="R281" s="30" t="str">
        <f t="shared" si="55"/>
        <v/>
      </c>
      <c r="S281" s="60" t="str">
        <f>IF($A281="","",IF(S$6="NÃO",0,IF($A281=0,DATEDIF(ESTRUTURA!$F$3,ESTRUTURA!$F$4,"m")*Tabela!$H$17,Tabela!$H$17)))</f>
        <v/>
      </c>
      <c r="T281" s="30" t="str">
        <f>IF($A281="","",IF(T$6="NÃO",0,IF($A281=0,DATEDIF(ESTRUTURA!$F$3,ESTRUTURA!$F$4,"m")*Tabela!$H$18,Tabela!$H$18)))</f>
        <v/>
      </c>
      <c r="U281" s="60" t="str">
        <f t="shared" si="54"/>
        <v/>
      </c>
      <c r="V281" s="30" t="str">
        <f>IF($A281="","",IF(V$6="NÃO",0,IF($A281=0,DATEDIF(ESTRUTURA!$F$3,ESTRUTURA!$F$4,"m")*Tabela!$H$20,Tabela!$H$20)))</f>
        <v/>
      </c>
      <c r="W281" s="60" t="str">
        <f t="shared" si="54"/>
        <v/>
      </c>
      <c r="X281" s="30" t="str">
        <f t="shared" si="54"/>
        <v/>
      </c>
      <c r="Y281" s="60" t="str">
        <f>IF($A281="","",IF(Y$6="NÃO",0,IF(A281=0,Tabela!$H$23,IF(Y$7="mensal",Tabela!$H$23,IF(AND(MONTH(ESTRUTURA!C281)=MONTH(ESTRUTURA!$F$3),A281&gt;0),Tabela!$H$23,0)))))</f>
        <v/>
      </c>
      <c r="Z281" s="30" t="str">
        <f t="shared" si="54"/>
        <v/>
      </c>
      <c r="AA281" s="60" t="str">
        <f>IF($A281="","",IF(AA$6="NÃO",0,Tabela!$H$25*nm_séries))</f>
        <v/>
      </c>
      <c r="AB281" s="30" t="str">
        <f t="shared" si="54"/>
        <v/>
      </c>
      <c r="AC281" s="60" t="str">
        <f>IF($A281="","",IF(AC$6="NÃO",0,IF(A281=0,Tabela!$H$27,IF(MOD(A281,3)=0,Tabela!$H$27,0))))</f>
        <v/>
      </c>
      <c r="AD281" s="30" t="str">
        <f t="shared" si="54"/>
        <v/>
      </c>
      <c r="AE281" s="60" t="str">
        <f t="shared" si="54"/>
        <v/>
      </c>
      <c r="AF281" s="30" t="str">
        <f>IF($A281="","",IF(AF$6="NÃO",0,IF(AND(MONTH(ESTRUTURA!C281)=MONTH(ESTRUTURA!$F$3),A281&gt;0),Tabela!$H$30,0)))</f>
        <v/>
      </c>
      <c r="AG281" s="60" t="str">
        <f t="shared" si="54"/>
        <v/>
      </c>
      <c r="AH281" s="30" t="str">
        <f t="shared" si="54"/>
        <v/>
      </c>
      <c r="AI281" s="60" t="str">
        <f>IF($A281="","",IF(AI$6="NÃO",0,IF($A281=0,DATEDIF(ESTRUTURA!$F$3,ESTRUTURA!$F$4,"m")*Tabela!$H$33,Tabela!$H$33)))</f>
        <v/>
      </c>
      <c r="AJ281" s="30" t="str">
        <f t="shared" si="50"/>
        <v/>
      </c>
    </row>
    <row r="282" spans="1:36" x14ac:dyDescent="0.2">
      <c r="A282" s="66" t="str">
        <f>ESTRUTURA!A282</f>
        <v/>
      </c>
      <c r="B282" s="58">
        <f t="shared" si="56"/>
        <v>0</v>
      </c>
      <c r="C282" s="60" t="str">
        <f t="shared" si="55"/>
        <v/>
      </c>
      <c r="D282" s="30" t="str">
        <f t="shared" si="55"/>
        <v/>
      </c>
      <c r="E282" s="60" t="str">
        <f t="shared" si="55"/>
        <v/>
      </c>
      <c r="F282" s="30" t="str">
        <f>IF($A282="","",IF(F$6="NÃO",0,Tabela!$H$34*ESTRUTURA!$I$4))</f>
        <v/>
      </c>
      <c r="G282" s="60" t="str">
        <f t="shared" si="55"/>
        <v/>
      </c>
      <c r="H282" s="30" t="str">
        <f>IF($A282="","",IF(H$6="NÃO",0,IF($A282=0,DATEDIF(ESTRUTURA!$F$3,ESTRUTURA!$F$4,"m")*Tabela!$H$6,Tabela!$H$6)))</f>
        <v/>
      </c>
      <c r="I282" s="60" t="str">
        <f t="shared" si="55"/>
        <v/>
      </c>
      <c r="J282" s="30" t="str">
        <f>IF($A282="","",IF(J$6="NÃO",0,IF($A282=0,DATEDIF(ESTRUTURA!$F$3,ESTRUTURA!$F$4,"m")*Tabela!$H$8,IF(J$6="NÃO",0,Tabela!$H$8))))</f>
        <v/>
      </c>
      <c r="K282" s="60" t="str">
        <f t="shared" si="55"/>
        <v/>
      </c>
      <c r="L282" s="30" t="str">
        <f t="shared" si="55"/>
        <v/>
      </c>
      <c r="M282" s="60" t="str">
        <f t="shared" si="55"/>
        <v/>
      </c>
      <c r="N282" s="30" t="str">
        <f t="shared" si="55"/>
        <v/>
      </c>
      <c r="O282" s="60" t="str">
        <f t="shared" si="55"/>
        <v/>
      </c>
      <c r="P282" s="30" t="str">
        <f t="shared" ref="P282:P299" si="57">IF($A282="","",IF(P$6="NÃO",0,0))</f>
        <v/>
      </c>
      <c r="Q282" s="60" t="str">
        <f t="shared" si="55"/>
        <v/>
      </c>
      <c r="R282" s="30" t="str">
        <f t="shared" si="55"/>
        <v/>
      </c>
      <c r="S282" s="60" t="str">
        <f>IF($A282="","",IF(S$6="NÃO",0,IF($A282=0,DATEDIF(ESTRUTURA!$F$3,ESTRUTURA!$F$4,"m")*Tabela!$H$17,Tabela!$H$17)))</f>
        <v/>
      </c>
      <c r="T282" s="30" t="str">
        <f>IF($A282="","",IF(T$6="NÃO",0,IF($A282=0,DATEDIF(ESTRUTURA!$F$3,ESTRUTURA!$F$4,"m")*Tabela!$H$18,Tabela!$H$18)))</f>
        <v/>
      </c>
      <c r="U282" s="60" t="str">
        <f t="shared" si="54"/>
        <v/>
      </c>
      <c r="V282" s="30" t="str">
        <f>IF($A282="","",IF(V$6="NÃO",0,IF($A282=0,DATEDIF(ESTRUTURA!$F$3,ESTRUTURA!$F$4,"m")*Tabela!$H$20,Tabela!$H$20)))</f>
        <v/>
      </c>
      <c r="W282" s="60" t="str">
        <f t="shared" si="54"/>
        <v/>
      </c>
      <c r="X282" s="30" t="str">
        <f t="shared" si="54"/>
        <v/>
      </c>
      <c r="Y282" s="60" t="str">
        <f>IF($A282="","",IF(Y$6="NÃO",0,IF(A282=0,Tabela!$H$23,IF(Y$7="mensal",Tabela!$H$23,IF(AND(MONTH(ESTRUTURA!C282)=MONTH(ESTRUTURA!$F$3),A282&gt;0),Tabela!$H$23,0)))))</f>
        <v/>
      </c>
      <c r="Z282" s="30" t="str">
        <f t="shared" si="54"/>
        <v/>
      </c>
      <c r="AA282" s="60" t="str">
        <f>IF($A282="","",IF(AA$6="NÃO",0,Tabela!$H$25*nm_séries))</f>
        <v/>
      </c>
      <c r="AB282" s="30" t="str">
        <f t="shared" si="54"/>
        <v/>
      </c>
      <c r="AC282" s="60" t="str">
        <f>IF($A282="","",IF(AC$6="NÃO",0,IF(A282=0,Tabela!$H$27,IF(MOD(A282,3)=0,Tabela!$H$27,0))))</f>
        <v/>
      </c>
      <c r="AD282" s="30" t="str">
        <f t="shared" si="54"/>
        <v/>
      </c>
      <c r="AE282" s="60" t="str">
        <f t="shared" si="54"/>
        <v/>
      </c>
      <c r="AF282" s="30" t="str">
        <f>IF($A282="","",IF(AF$6="NÃO",0,IF(AND(MONTH(ESTRUTURA!C282)=MONTH(ESTRUTURA!$F$3),A282&gt;0),Tabela!$H$30,0)))</f>
        <v/>
      </c>
      <c r="AG282" s="60" t="str">
        <f t="shared" si="54"/>
        <v/>
      </c>
      <c r="AH282" s="30" t="str">
        <f t="shared" si="54"/>
        <v/>
      </c>
      <c r="AI282" s="60" t="str">
        <f>IF($A282="","",IF(AI$6="NÃO",0,IF($A282=0,DATEDIF(ESTRUTURA!$F$3,ESTRUTURA!$F$4,"m")*Tabela!$H$33,Tabela!$H$33)))</f>
        <v/>
      </c>
      <c r="AJ282" s="30" t="str">
        <f t="shared" si="50"/>
        <v/>
      </c>
    </row>
    <row r="283" spans="1:36" x14ac:dyDescent="0.2">
      <c r="A283" s="66" t="str">
        <f>ESTRUTURA!A283</f>
        <v/>
      </c>
      <c r="B283" s="58">
        <f t="shared" si="56"/>
        <v>0</v>
      </c>
      <c r="C283" s="60" t="str">
        <f t="shared" si="55"/>
        <v/>
      </c>
      <c r="D283" s="30" t="str">
        <f t="shared" si="55"/>
        <v/>
      </c>
      <c r="E283" s="60" t="str">
        <f t="shared" si="55"/>
        <v/>
      </c>
      <c r="F283" s="30" t="str">
        <f>IF($A283="","",IF(F$6="NÃO",0,Tabela!$H$34*ESTRUTURA!$I$4))</f>
        <v/>
      </c>
      <c r="G283" s="60" t="str">
        <f t="shared" si="55"/>
        <v/>
      </c>
      <c r="H283" s="30" t="str">
        <f>IF($A283="","",IF(H$6="NÃO",0,IF($A283=0,DATEDIF(ESTRUTURA!$F$3,ESTRUTURA!$F$4,"m")*Tabela!$H$6,Tabela!$H$6)))</f>
        <v/>
      </c>
      <c r="I283" s="60" t="str">
        <f t="shared" si="55"/>
        <v/>
      </c>
      <c r="J283" s="30" t="str">
        <f>IF($A283="","",IF(J$6="NÃO",0,IF($A283=0,DATEDIF(ESTRUTURA!$F$3,ESTRUTURA!$F$4,"m")*Tabela!$H$8,IF(J$6="NÃO",0,Tabela!$H$8))))</f>
        <v/>
      </c>
      <c r="K283" s="60" t="str">
        <f t="shared" si="55"/>
        <v/>
      </c>
      <c r="L283" s="30" t="str">
        <f t="shared" si="55"/>
        <v/>
      </c>
      <c r="M283" s="60" t="str">
        <f t="shared" si="55"/>
        <v/>
      </c>
      <c r="N283" s="30" t="str">
        <f t="shared" si="55"/>
        <v/>
      </c>
      <c r="O283" s="60" t="str">
        <f t="shared" si="55"/>
        <v/>
      </c>
      <c r="P283" s="30" t="str">
        <f t="shared" si="57"/>
        <v/>
      </c>
      <c r="Q283" s="60" t="str">
        <f t="shared" si="55"/>
        <v/>
      </c>
      <c r="R283" s="30" t="str">
        <f t="shared" si="55"/>
        <v/>
      </c>
      <c r="S283" s="60" t="str">
        <f>IF($A283="","",IF(S$6="NÃO",0,IF($A283=0,DATEDIF(ESTRUTURA!$F$3,ESTRUTURA!$F$4,"m")*Tabela!$H$17,Tabela!$H$17)))</f>
        <v/>
      </c>
      <c r="T283" s="30" t="str">
        <f>IF($A283="","",IF(T$6="NÃO",0,IF($A283=0,DATEDIF(ESTRUTURA!$F$3,ESTRUTURA!$F$4,"m")*Tabela!$H$18,Tabela!$H$18)))</f>
        <v/>
      </c>
      <c r="U283" s="60" t="str">
        <f t="shared" ref="U283:AH298" si="58">IF($A283="","",IF(U$6="NÃO",0,0))</f>
        <v/>
      </c>
      <c r="V283" s="30" t="str">
        <f>IF($A283="","",IF(V$6="NÃO",0,IF($A283=0,DATEDIF(ESTRUTURA!$F$3,ESTRUTURA!$F$4,"m")*Tabela!$H$20,Tabela!$H$20)))</f>
        <v/>
      </c>
      <c r="W283" s="60" t="str">
        <f t="shared" si="58"/>
        <v/>
      </c>
      <c r="X283" s="30" t="str">
        <f t="shared" si="58"/>
        <v/>
      </c>
      <c r="Y283" s="60" t="str">
        <f>IF($A283="","",IF(Y$6="NÃO",0,IF(A283=0,Tabela!$H$23,IF(Y$7="mensal",Tabela!$H$23,IF(AND(MONTH(ESTRUTURA!C283)=MONTH(ESTRUTURA!$F$3),A283&gt;0),Tabela!$H$23,0)))))</f>
        <v/>
      </c>
      <c r="Z283" s="30" t="str">
        <f t="shared" si="58"/>
        <v/>
      </c>
      <c r="AA283" s="60" t="str">
        <f>IF($A283="","",IF(AA$6="NÃO",0,Tabela!$H$25*nm_séries))</f>
        <v/>
      </c>
      <c r="AB283" s="30" t="str">
        <f t="shared" si="58"/>
        <v/>
      </c>
      <c r="AC283" s="60" t="str">
        <f>IF($A283="","",IF(AC$6="NÃO",0,IF(A283=0,Tabela!$H$27,IF(MOD(A283,3)=0,Tabela!$H$27,0))))</f>
        <v/>
      </c>
      <c r="AD283" s="30" t="str">
        <f t="shared" si="58"/>
        <v/>
      </c>
      <c r="AE283" s="60" t="str">
        <f t="shared" si="58"/>
        <v/>
      </c>
      <c r="AF283" s="30" t="str">
        <f>IF($A283="","",IF(AF$6="NÃO",0,IF(AND(MONTH(ESTRUTURA!C283)=MONTH(ESTRUTURA!$F$3),A283&gt;0),Tabela!$H$30,0)))</f>
        <v/>
      </c>
      <c r="AG283" s="60" t="str">
        <f t="shared" si="58"/>
        <v/>
      </c>
      <c r="AH283" s="30" t="str">
        <f t="shared" si="58"/>
        <v/>
      </c>
      <c r="AI283" s="60" t="str">
        <f>IF($A283="","",IF(AI$6="NÃO",0,IF($A283=0,DATEDIF(ESTRUTURA!$F$3,ESTRUTURA!$F$4,"m")*Tabela!$H$33,Tabela!$H$33)))</f>
        <v/>
      </c>
      <c r="AJ283" s="30" t="str">
        <f t="shared" si="50"/>
        <v/>
      </c>
    </row>
    <row r="284" spans="1:36" x14ac:dyDescent="0.2">
      <c r="A284" s="66" t="str">
        <f>ESTRUTURA!A284</f>
        <v/>
      </c>
      <c r="B284" s="58">
        <f t="shared" si="56"/>
        <v>0</v>
      </c>
      <c r="C284" s="60" t="str">
        <f t="shared" ref="C284:R299" si="59">IF($A284="","",IF(C$6="NÃO",0,0))</f>
        <v/>
      </c>
      <c r="D284" s="30" t="str">
        <f t="shared" si="59"/>
        <v/>
      </c>
      <c r="E284" s="60" t="str">
        <f t="shared" si="59"/>
        <v/>
      </c>
      <c r="F284" s="30" t="str">
        <f>IF($A284="","",IF(F$6="NÃO",0,Tabela!$H$34*ESTRUTURA!$I$4))</f>
        <v/>
      </c>
      <c r="G284" s="60" t="str">
        <f t="shared" si="59"/>
        <v/>
      </c>
      <c r="H284" s="30" t="str">
        <f>IF($A284="","",IF(H$6="NÃO",0,IF($A284=0,DATEDIF(ESTRUTURA!$F$3,ESTRUTURA!$F$4,"m")*Tabela!$H$6,Tabela!$H$6)))</f>
        <v/>
      </c>
      <c r="I284" s="60" t="str">
        <f t="shared" si="59"/>
        <v/>
      </c>
      <c r="J284" s="30" t="str">
        <f>IF($A284="","",IF(J$6="NÃO",0,IF($A284=0,DATEDIF(ESTRUTURA!$F$3,ESTRUTURA!$F$4,"m")*Tabela!$H$8,IF(J$6="NÃO",0,Tabela!$H$8))))</f>
        <v/>
      </c>
      <c r="K284" s="60" t="str">
        <f t="shared" si="59"/>
        <v/>
      </c>
      <c r="L284" s="30" t="str">
        <f t="shared" si="59"/>
        <v/>
      </c>
      <c r="M284" s="60" t="str">
        <f t="shared" si="59"/>
        <v/>
      </c>
      <c r="N284" s="30" t="str">
        <f t="shared" si="59"/>
        <v/>
      </c>
      <c r="O284" s="60" t="str">
        <f t="shared" si="59"/>
        <v/>
      </c>
      <c r="P284" s="30" t="str">
        <f t="shared" si="57"/>
        <v/>
      </c>
      <c r="Q284" s="60" t="str">
        <f t="shared" si="59"/>
        <v/>
      </c>
      <c r="R284" s="30" t="str">
        <f t="shared" si="59"/>
        <v/>
      </c>
      <c r="S284" s="60" t="str">
        <f>IF($A284="","",IF(S$6="NÃO",0,IF($A284=0,DATEDIF(ESTRUTURA!$F$3,ESTRUTURA!$F$4,"m")*Tabela!$H$17,Tabela!$H$17)))</f>
        <v/>
      </c>
      <c r="T284" s="30" t="str">
        <f>IF($A284="","",IF(T$6="NÃO",0,IF($A284=0,DATEDIF(ESTRUTURA!$F$3,ESTRUTURA!$F$4,"m")*Tabela!$H$18,Tabela!$H$18)))</f>
        <v/>
      </c>
      <c r="U284" s="60" t="str">
        <f t="shared" si="58"/>
        <v/>
      </c>
      <c r="V284" s="30" t="str">
        <f>IF($A284="","",IF(V$6="NÃO",0,IF($A284=0,DATEDIF(ESTRUTURA!$F$3,ESTRUTURA!$F$4,"m")*Tabela!$H$20,Tabela!$H$20)))</f>
        <v/>
      </c>
      <c r="W284" s="60" t="str">
        <f t="shared" si="58"/>
        <v/>
      </c>
      <c r="X284" s="30" t="str">
        <f t="shared" si="58"/>
        <v/>
      </c>
      <c r="Y284" s="60" t="str">
        <f>IF($A284="","",IF(Y$6="NÃO",0,IF(A284=0,Tabela!$H$23,IF(Y$7="mensal",Tabela!$H$23,IF(AND(MONTH(ESTRUTURA!C284)=MONTH(ESTRUTURA!$F$3),A284&gt;0),Tabela!$H$23,0)))))</f>
        <v/>
      </c>
      <c r="Z284" s="30" t="str">
        <f t="shared" si="58"/>
        <v/>
      </c>
      <c r="AA284" s="60" t="str">
        <f>IF($A284="","",IF(AA$6="NÃO",0,Tabela!$H$25*nm_séries))</f>
        <v/>
      </c>
      <c r="AB284" s="30" t="str">
        <f t="shared" si="58"/>
        <v/>
      </c>
      <c r="AC284" s="60" t="str">
        <f>IF($A284="","",IF(AC$6="NÃO",0,IF(A284=0,Tabela!$H$27,IF(MOD(A284,3)=0,Tabela!$H$27,0))))</f>
        <v/>
      </c>
      <c r="AD284" s="30" t="str">
        <f t="shared" si="58"/>
        <v/>
      </c>
      <c r="AE284" s="60" t="str">
        <f t="shared" si="58"/>
        <v/>
      </c>
      <c r="AF284" s="30" t="str">
        <f>IF($A284="","",IF(AF$6="NÃO",0,IF(AND(MONTH(ESTRUTURA!C284)=MONTH(ESTRUTURA!$F$3),A284&gt;0),Tabela!$H$30,0)))</f>
        <v/>
      </c>
      <c r="AG284" s="60" t="str">
        <f t="shared" si="58"/>
        <v/>
      </c>
      <c r="AH284" s="30" t="str">
        <f t="shared" si="58"/>
        <v/>
      </c>
      <c r="AI284" s="60" t="str">
        <f>IF($A284="","",IF(AI$6="NÃO",0,IF($A284=0,DATEDIF(ESTRUTURA!$F$3,ESTRUTURA!$F$4,"m")*Tabela!$H$33,Tabela!$H$33)))</f>
        <v/>
      </c>
      <c r="AJ284" s="30" t="str">
        <f t="shared" si="50"/>
        <v/>
      </c>
    </row>
    <row r="285" spans="1:36" x14ac:dyDescent="0.2">
      <c r="A285" s="66" t="str">
        <f>ESTRUTURA!A285</f>
        <v/>
      </c>
      <c r="B285" s="58">
        <f t="shared" si="56"/>
        <v>0</v>
      </c>
      <c r="C285" s="60" t="str">
        <f t="shared" si="59"/>
        <v/>
      </c>
      <c r="D285" s="30" t="str">
        <f t="shared" si="59"/>
        <v/>
      </c>
      <c r="E285" s="60" t="str">
        <f t="shared" si="59"/>
        <v/>
      </c>
      <c r="F285" s="30" t="str">
        <f>IF($A285="","",IF(F$6="NÃO",0,Tabela!$H$34*ESTRUTURA!$I$4))</f>
        <v/>
      </c>
      <c r="G285" s="60" t="str">
        <f t="shared" si="59"/>
        <v/>
      </c>
      <c r="H285" s="30" t="str">
        <f>IF($A285="","",IF(H$6="NÃO",0,IF($A285=0,DATEDIF(ESTRUTURA!$F$3,ESTRUTURA!$F$4,"m")*Tabela!$H$6,Tabela!$H$6)))</f>
        <v/>
      </c>
      <c r="I285" s="60" t="str">
        <f t="shared" si="59"/>
        <v/>
      </c>
      <c r="J285" s="30" t="str">
        <f>IF($A285="","",IF(J$6="NÃO",0,IF($A285=0,DATEDIF(ESTRUTURA!$F$3,ESTRUTURA!$F$4,"m")*Tabela!$H$8,IF(J$6="NÃO",0,Tabela!$H$8))))</f>
        <v/>
      </c>
      <c r="K285" s="60" t="str">
        <f t="shared" si="59"/>
        <v/>
      </c>
      <c r="L285" s="30" t="str">
        <f t="shared" si="59"/>
        <v/>
      </c>
      <c r="M285" s="60" t="str">
        <f t="shared" si="59"/>
        <v/>
      </c>
      <c r="N285" s="30" t="str">
        <f t="shared" si="59"/>
        <v/>
      </c>
      <c r="O285" s="60" t="str">
        <f t="shared" si="59"/>
        <v/>
      </c>
      <c r="P285" s="30" t="str">
        <f t="shared" si="57"/>
        <v/>
      </c>
      <c r="Q285" s="60" t="str">
        <f t="shared" si="59"/>
        <v/>
      </c>
      <c r="R285" s="30" t="str">
        <f t="shared" si="59"/>
        <v/>
      </c>
      <c r="S285" s="60" t="str">
        <f>IF($A285="","",IF(S$6="NÃO",0,IF($A285=0,DATEDIF(ESTRUTURA!$F$3,ESTRUTURA!$F$4,"m")*Tabela!$H$17,Tabela!$H$17)))</f>
        <v/>
      </c>
      <c r="T285" s="30" t="str">
        <f>IF($A285="","",IF(T$6="NÃO",0,IF($A285=0,DATEDIF(ESTRUTURA!$F$3,ESTRUTURA!$F$4,"m")*Tabela!$H$18,Tabela!$H$18)))</f>
        <v/>
      </c>
      <c r="U285" s="60" t="str">
        <f t="shared" si="58"/>
        <v/>
      </c>
      <c r="V285" s="30" t="str">
        <f>IF($A285="","",IF(V$6="NÃO",0,IF($A285=0,DATEDIF(ESTRUTURA!$F$3,ESTRUTURA!$F$4,"m")*Tabela!$H$20,Tabela!$H$20)))</f>
        <v/>
      </c>
      <c r="W285" s="60" t="str">
        <f t="shared" si="58"/>
        <v/>
      </c>
      <c r="X285" s="30" t="str">
        <f t="shared" si="58"/>
        <v/>
      </c>
      <c r="Y285" s="60" t="str">
        <f>IF($A285="","",IF(Y$6="NÃO",0,IF(A285=0,Tabela!$H$23,IF(Y$7="mensal",Tabela!$H$23,IF(AND(MONTH(ESTRUTURA!C285)=MONTH(ESTRUTURA!$F$3),A285&gt;0),Tabela!$H$23,0)))))</f>
        <v/>
      </c>
      <c r="Z285" s="30" t="str">
        <f t="shared" si="58"/>
        <v/>
      </c>
      <c r="AA285" s="60" t="str">
        <f>IF($A285="","",IF(AA$6="NÃO",0,Tabela!$H$25*nm_séries))</f>
        <v/>
      </c>
      <c r="AB285" s="30" t="str">
        <f t="shared" si="58"/>
        <v/>
      </c>
      <c r="AC285" s="60" t="str">
        <f>IF($A285="","",IF(AC$6="NÃO",0,IF(A285=0,Tabela!$H$27,IF(MOD(A285,3)=0,Tabela!$H$27,0))))</f>
        <v/>
      </c>
      <c r="AD285" s="30" t="str">
        <f t="shared" si="58"/>
        <v/>
      </c>
      <c r="AE285" s="60" t="str">
        <f t="shared" si="58"/>
        <v/>
      </c>
      <c r="AF285" s="30" t="str">
        <f>IF($A285="","",IF(AF$6="NÃO",0,IF(AND(MONTH(ESTRUTURA!C285)=MONTH(ESTRUTURA!$F$3),A285&gt;0),Tabela!$H$30,0)))</f>
        <v/>
      </c>
      <c r="AG285" s="60" t="str">
        <f t="shared" si="58"/>
        <v/>
      </c>
      <c r="AH285" s="30" t="str">
        <f t="shared" si="58"/>
        <v/>
      </c>
      <c r="AI285" s="60" t="str">
        <f>IF($A285="","",IF(AI$6="NÃO",0,IF($A285=0,DATEDIF(ESTRUTURA!$F$3,ESTRUTURA!$F$4,"m")*Tabela!$H$33,Tabela!$H$33)))</f>
        <v/>
      </c>
      <c r="AJ285" s="30" t="str">
        <f t="shared" si="50"/>
        <v/>
      </c>
    </row>
    <row r="286" spans="1:36" x14ac:dyDescent="0.2">
      <c r="A286" s="66" t="str">
        <f>ESTRUTURA!A286</f>
        <v/>
      </c>
      <c r="B286" s="58">
        <f t="shared" si="56"/>
        <v>0</v>
      </c>
      <c r="C286" s="60" t="str">
        <f t="shared" si="59"/>
        <v/>
      </c>
      <c r="D286" s="30" t="str">
        <f t="shared" si="59"/>
        <v/>
      </c>
      <c r="E286" s="60" t="str">
        <f t="shared" si="59"/>
        <v/>
      </c>
      <c r="F286" s="30" t="str">
        <f>IF($A286="","",IF(F$6="NÃO",0,Tabela!$H$34*ESTRUTURA!$I$4))</f>
        <v/>
      </c>
      <c r="G286" s="60" t="str">
        <f t="shared" si="59"/>
        <v/>
      </c>
      <c r="H286" s="30" t="str">
        <f>IF($A286="","",IF(H$6="NÃO",0,IF($A286=0,DATEDIF(ESTRUTURA!$F$3,ESTRUTURA!$F$4,"m")*Tabela!$H$6,Tabela!$H$6)))</f>
        <v/>
      </c>
      <c r="I286" s="60" t="str">
        <f t="shared" si="59"/>
        <v/>
      </c>
      <c r="J286" s="30" t="str">
        <f>IF($A286="","",IF(J$6="NÃO",0,IF($A286=0,DATEDIF(ESTRUTURA!$F$3,ESTRUTURA!$F$4,"m")*Tabela!$H$8,IF(J$6="NÃO",0,Tabela!$H$8))))</f>
        <v/>
      </c>
      <c r="K286" s="60" t="str">
        <f t="shared" si="59"/>
        <v/>
      </c>
      <c r="L286" s="30" t="str">
        <f t="shared" si="59"/>
        <v/>
      </c>
      <c r="M286" s="60" t="str">
        <f t="shared" si="59"/>
        <v/>
      </c>
      <c r="N286" s="30" t="str">
        <f t="shared" si="59"/>
        <v/>
      </c>
      <c r="O286" s="60" t="str">
        <f t="shared" si="59"/>
        <v/>
      </c>
      <c r="P286" s="30" t="str">
        <f t="shared" si="57"/>
        <v/>
      </c>
      <c r="Q286" s="60" t="str">
        <f t="shared" si="59"/>
        <v/>
      </c>
      <c r="R286" s="30" t="str">
        <f t="shared" si="59"/>
        <v/>
      </c>
      <c r="S286" s="60" t="str">
        <f>IF($A286="","",IF(S$6="NÃO",0,IF($A286=0,DATEDIF(ESTRUTURA!$F$3,ESTRUTURA!$F$4,"m")*Tabela!$H$17,Tabela!$H$17)))</f>
        <v/>
      </c>
      <c r="T286" s="30" t="str">
        <f>IF($A286="","",IF(T$6="NÃO",0,IF($A286=0,DATEDIF(ESTRUTURA!$F$3,ESTRUTURA!$F$4,"m")*Tabela!$H$18,Tabela!$H$18)))</f>
        <v/>
      </c>
      <c r="U286" s="60" t="str">
        <f t="shared" si="58"/>
        <v/>
      </c>
      <c r="V286" s="30" t="str">
        <f>IF($A286="","",IF(V$6="NÃO",0,IF($A286=0,DATEDIF(ESTRUTURA!$F$3,ESTRUTURA!$F$4,"m")*Tabela!$H$20,Tabela!$H$20)))</f>
        <v/>
      </c>
      <c r="W286" s="60" t="str">
        <f t="shared" si="58"/>
        <v/>
      </c>
      <c r="X286" s="30" t="str">
        <f t="shared" si="58"/>
        <v/>
      </c>
      <c r="Y286" s="60" t="str">
        <f>IF($A286="","",IF(Y$6="NÃO",0,IF(A286=0,Tabela!$H$23,IF(Y$7="mensal",Tabela!$H$23,IF(AND(MONTH(ESTRUTURA!C286)=MONTH(ESTRUTURA!$F$3),A286&gt;0),Tabela!$H$23,0)))))</f>
        <v/>
      </c>
      <c r="Z286" s="30" t="str">
        <f t="shared" si="58"/>
        <v/>
      </c>
      <c r="AA286" s="60" t="str">
        <f>IF($A286="","",IF(AA$6="NÃO",0,Tabela!$H$25*nm_séries))</f>
        <v/>
      </c>
      <c r="AB286" s="30" t="str">
        <f t="shared" si="58"/>
        <v/>
      </c>
      <c r="AC286" s="60" t="str">
        <f>IF($A286="","",IF(AC$6="NÃO",0,IF(A286=0,Tabela!$H$27,IF(MOD(A286,3)=0,Tabela!$H$27,0))))</f>
        <v/>
      </c>
      <c r="AD286" s="30" t="str">
        <f t="shared" si="58"/>
        <v/>
      </c>
      <c r="AE286" s="60" t="str">
        <f t="shared" si="58"/>
        <v/>
      </c>
      <c r="AF286" s="30" t="str">
        <f>IF($A286="","",IF(AF$6="NÃO",0,IF(AND(MONTH(ESTRUTURA!C286)=MONTH(ESTRUTURA!$F$3),A286&gt;0),Tabela!$H$30,0)))</f>
        <v/>
      </c>
      <c r="AG286" s="60" t="str">
        <f t="shared" si="58"/>
        <v/>
      </c>
      <c r="AH286" s="30" t="str">
        <f t="shared" si="58"/>
        <v/>
      </c>
      <c r="AI286" s="60" t="str">
        <f>IF($A286="","",IF(AI$6="NÃO",0,IF($A286=0,DATEDIF(ESTRUTURA!$F$3,ESTRUTURA!$F$4,"m")*Tabela!$H$33,Tabela!$H$33)))</f>
        <v/>
      </c>
      <c r="AJ286" s="30" t="str">
        <f t="shared" si="50"/>
        <v/>
      </c>
    </row>
    <row r="287" spans="1:36" x14ac:dyDescent="0.2">
      <c r="A287" s="66" t="str">
        <f>ESTRUTURA!A287</f>
        <v/>
      </c>
      <c r="B287" s="58">
        <f t="shared" si="56"/>
        <v>0</v>
      </c>
      <c r="C287" s="60" t="str">
        <f t="shared" si="59"/>
        <v/>
      </c>
      <c r="D287" s="30" t="str">
        <f t="shared" si="59"/>
        <v/>
      </c>
      <c r="E287" s="60" t="str">
        <f t="shared" si="59"/>
        <v/>
      </c>
      <c r="F287" s="30" t="str">
        <f>IF($A287="","",IF(F$6="NÃO",0,Tabela!$H$34*ESTRUTURA!$I$4))</f>
        <v/>
      </c>
      <c r="G287" s="60" t="str">
        <f t="shared" si="59"/>
        <v/>
      </c>
      <c r="H287" s="30" t="str">
        <f>IF($A287="","",IF(H$6="NÃO",0,IF($A287=0,DATEDIF(ESTRUTURA!$F$3,ESTRUTURA!$F$4,"m")*Tabela!$H$6,Tabela!$H$6)))</f>
        <v/>
      </c>
      <c r="I287" s="60" t="str">
        <f t="shared" si="59"/>
        <v/>
      </c>
      <c r="J287" s="30" t="str">
        <f>IF($A287="","",IF(J$6="NÃO",0,IF($A287=0,DATEDIF(ESTRUTURA!$F$3,ESTRUTURA!$F$4,"m")*Tabela!$H$8,IF(J$6="NÃO",0,Tabela!$H$8))))</f>
        <v/>
      </c>
      <c r="K287" s="60" t="str">
        <f t="shared" si="59"/>
        <v/>
      </c>
      <c r="L287" s="30" t="str">
        <f t="shared" si="59"/>
        <v/>
      </c>
      <c r="M287" s="60" t="str">
        <f t="shared" si="59"/>
        <v/>
      </c>
      <c r="N287" s="30" t="str">
        <f t="shared" si="59"/>
        <v/>
      </c>
      <c r="O287" s="60" t="str">
        <f t="shared" si="59"/>
        <v/>
      </c>
      <c r="P287" s="30" t="str">
        <f t="shared" si="57"/>
        <v/>
      </c>
      <c r="Q287" s="60" t="str">
        <f t="shared" si="59"/>
        <v/>
      </c>
      <c r="R287" s="30" t="str">
        <f t="shared" si="59"/>
        <v/>
      </c>
      <c r="S287" s="60" t="str">
        <f>IF($A287="","",IF(S$6="NÃO",0,IF($A287=0,DATEDIF(ESTRUTURA!$F$3,ESTRUTURA!$F$4,"m")*Tabela!$H$17,Tabela!$H$17)))</f>
        <v/>
      </c>
      <c r="T287" s="30" t="str">
        <f>IF($A287="","",IF(T$6="NÃO",0,IF($A287=0,DATEDIF(ESTRUTURA!$F$3,ESTRUTURA!$F$4,"m")*Tabela!$H$18,Tabela!$H$18)))</f>
        <v/>
      </c>
      <c r="U287" s="60" t="str">
        <f t="shared" si="58"/>
        <v/>
      </c>
      <c r="V287" s="30" t="str">
        <f>IF($A287="","",IF(V$6="NÃO",0,IF($A287=0,DATEDIF(ESTRUTURA!$F$3,ESTRUTURA!$F$4,"m")*Tabela!$H$20,Tabela!$H$20)))</f>
        <v/>
      </c>
      <c r="W287" s="60" t="str">
        <f t="shared" si="58"/>
        <v/>
      </c>
      <c r="X287" s="30" t="str">
        <f t="shared" si="58"/>
        <v/>
      </c>
      <c r="Y287" s="60" t="str">
        <f>IF($A287="","",IF(Y$6="NÃO",0,IF(A287=0,Tabela!$H$23,IF(Y$7="mensal",Tabela!$H$23,IF(AND(MONTH(ESTRUTURA!C287)=MONTH(ESTRUTURA!$F$3),A287&gt;0),Tabela!$H$23,0)))))</f>
        <v/>
      </c>
      <c r="Z287" s="30" t="str">
        <f t="shared" si="58"/>
        <v/>
      </c>
      <c r="AA287" s="60" t="str">
        <f>IF($A287="","",IF(AA$6="NÃO",0,Tabela!$H$25*nm_séries))</f>
        <v/>
      </c>
      <c r="AB287" s="30" t="str">
        <f t="shared" si="58"/>
        <v/>
      </c>
      <c r="AC287" s="60" t="str">
        <f>IF($A287="","",IF(AC$6="NÃO",0,IF(A287=0,Tabela!$H$27,IF(MOD(A287,3)=0,Tabela!$H$27,0))))</f>
        <v/>
      </c>
      <c r="AD287" s="30" t="str">
        <f t="shared" si="58"/>
        <v/>
      </c>
      <c r="AE287" s="60" t="str">
        <f t="shared" si="58"/>
        <v/>
      </c>
      <c r="AF287" s="30" t="str">
        <f>IF($A287="","",IF(AF$6="NÃO",0,IF(AND(MONTH(ESTRUTURA!C287)=MONTH(ESTRUTURA!$F$3),A287&gt;0),Tabela!$H$30,0)))</f>
        <v/>
      </c>
      <c r="AG287" s="60" t="str">
        <f t="shared" si="58"/>
        <v/>
      </c>
      <c r="AH287" s="30" t="str">
        <f t="shared" si="58"/>
        <v/>
      </c>
      <c r="AI287" s="60" t="str">
        <f>IF($A287="","",IF(AI$6="NÃO",0,IF($A287=0,DATEDIF(ESTRUTURA!$F$3,ESTRUTURA!$F$4,"m")*Tabela!$H$33,Tabela!$H$33)))</f>
        <v/>
      </c>
      <c r="AJ287" s="30" t="str">
        <f t="shared" si="50"/>
        <v/>
      </c>
    </row>
    <row r="288" spans="1:36" x14ac:dyDescent="0.2">
      <c r="A288" s="66" t="str">
        <f>ESTRUTURA!A288</f>
        <v/>
      </c>
      <c r="B288" s="58">
        <f t="shared" si="56"/>
        <v>0</v>
      </c>
      <c r="C288" s="60" t="str">
        <f t="shared" si="59"/>
        <v/>
      </c>
      <c r="D288" s="30" t="str">
        <f t="shared" si="59"/>
        <v/>
      </c>
      <c r="E288" s="60" t="str">
        <f t="shared" si="59"/>
        <v/>
      </c>
      <c r="F288" s="30" t="str">
        <f>IF($A288="","",IF(F$6="NÃO",0,Tabela!$H$34*ESTRUTURA!$I$4))</f>
        <v/>
      </c>
      <c r="G288" s="60" t="str">
        <f t="shared" si="59"/>
        <v/>
      </c>
      <c r="H288" s="30" t="str">
        <f>IF($A288="","",IF(H$6="NÃO",0,IF($A288=0,DATEDIF(ESTRUTURA!$F$3,ESTRUTURA!$F$4,"m")*Tabela!$H$6,Tabela!$H$6)))</f>
        <v/>
      </c>
      <c r="I288" s="60" t="str">
        <f t="shared" si="59"/>
        <v/>
      </c>
      <c r="J288" s="30" t="str">
        <f>IF($A288="","",IF(J$6="NÃO",0,IF($A288=0,DATEDIF(ESTRUTURA!$F$3,ESTRUTURA!$F$4,"m")*Tabela!$H$8,IF(J$6="NÃO",0,Tabela!$H$8))))</f>
        <v/>
      </c>
      <c r="K288" s="60" t="str">
        <f t="shared" si="59"/>
        <v/>
      </c>
      <c r="L288" s="30" t="str">
        <f t="shared" si="59"/>
        <v/>
      </c>
      <c r="M288" s="60" t="str">
        <f t="shared" si="59"/>
        <v/>
      </c>
      <c r="N288" s="30" t="str">
        <f t="shared" si="59"/>
        <v/>
      </c>
      <c r="O288" s="60" t="str">
        <f t="shared" si="59"/>
        <v/>
      </c>
      <c r="P288" s="30" t="str">
        <f t="shared" si="57"/>
        <v/>
      </c>
      <c r="Q288" s="60" t="str">
        <f t="shared" si="59"/>
        <v/>
      </c>
      <c r="R288" s="30" t="str">
        <f t="shared" si="59"/>
        <v/>
      </c>
      <c r="S288" s="60" t="str">
        <f>IF($A288="","",IF(S$6="NÃO",0,IF($A288=0,DATEDIF(ESTRUTURA!$F$3,ESTRUTURA!$F$4,"m")*Tabela!$H$17,Tabela!$H$17)))</f>
        <v/>
      </c>
      <c r="T288" s="30" t="str">
        <f>IF($A288="","",IF(T$6="NÃO",0,IF($A288=0,DATEDIF(ESTRUTURA!$F$3,ESTRUTURA!$F$4,"m")*Tabela!$H$18,Tabela!$H$18)))</f>
        <v/>
      </c>
      <c r="U288" s="60" t="str">
        <f t="shared" si="58"/>
        <v/>
      </c>
      <c r="V288" s="30" t="str">
        <f>IF($A288="","",IF(V$6="NÃO",0,IF($A288=0,DATEDIF(ESTRUTURA!$F$3,ESTRUTURA!$F$4,"m")*Tabela!$H$20,Tabela!$H$20)))</f>
        <v/>
      </c>
      <c r="W288" s="60" t="str">
        <f t="shared" si="58"/>
        <v/>
      </c>
      <c r="X288" s="30" t="str">
        <f t="shared" si="58"/>
        <v/>
      </c>
      <c r="Y288" s="60" t="str">
        <f>IF($A288="","",IF(Y$6="NÃO",0,IF(A288=0,Tabela!$H$23,IF(Y$7="mensal",Tabela!$H$23,IF(AND(MONTH(ESTRUTURA!C288)=MONTH(ESTRUTURA!$F$3),A288&gt;0),Tabela!$H$23,0)))))</f>
        <v/>
      </c>
      <c r="Z288" s="30" t="str">
        <f t="shared" si="58"/>
        <v/>
      </c>
      <c r="AA288" s="60" t="str">
        <f>IF($A288="","",IF(AA$6="NÃO",0,Tabela!$H$25*nm_séries))</f>
        <v/>
      </c>
      <c r="AB288" s="30" t="str">
        <f t="shared" si="58"/>
        <v/>
      </c>
      <c r="AC288" s="60" t="str">
        <f>IF($A288="","",IF(AC$6="NÃO",0,IF(A288=0,Tabela!$H$27,IF(MOD(A288,3)=0,Tabela!$H$27,0))))</f>
        <v/>
      </c>
      <c r="AD288" s="30" t="str">
        <f t="shared" si="58"/>
        <v/>
      </c>
      <c r="AE288" s="60" t="str">
        <f t="shared" si="58"/>
        <v/>
      </c>
      <c r="AF288" s="30" t="str">
        <f>IF($A288="","",IF(AF$6="NÃO",0,IF(AND(MONTH(ESTRUTURA!C288)=MONTH(ESTRUTURA!$F$3),A288&gt;0),Tabela!$H$30,0)))</f>
        <v/>
      </c>
      <c r="AG288" s="60" t="str">
        <f t="shared" si="58"/>
        <v/>
      </c>
      <c r="AH288" s="30" t="str">
        <f t="shared" si="58"/>
        <v/>
      </c>
      <c r="AI288" s="60" t="str">
        <f>IF($A288="","",IF(AI$6="NÃO",0,IF($A288=0,DATEDIF(ESTRUTURA!$F$3,ESTRUTURA!$F$4,"m")*Tabela!$H$33,Tabela!$H$33)))</f>
        <v/>
      </c>
      <c r="AJ288" s="30" t="str">
        <f t="shared" si="50"/>
        <v/>
      </c>
    </row>
    <row r="289" spans="1:36" x14ac:dyDescent="0.2">
      <c r="A289" s="66" t="str">
        <f>ESTRUTURA!A289</f>
        <v/>
      </c>
      <c r="B289" s="58">
        <f t="shared" si="56"/>
        <v>0</v>
      </c>
      <c r="C289" s="60" t="str">
        <f t="shared" si="59"/>
        <v/>
      </c>
      <c r="D289" s="30" t="str">
        <f t="shared" si="59"/>
        <v/>
      </c>
      <c r="E289" s="60" t="str">
        <f t="shared" si="59"/>
        <v/>
      </c>
      <c r="F289" s="30" t="str">
        <f>IF($A289="","",IF(F$6="NÃO",0,Tabela!$H$34*ESTRUTURA!$I$4))</f>
        <v/>
      </c>
      <c r="G289" s="60" t="str">
        <f t="shared" si="59"/>
        <v/>
      </c>
      <c r="H289" s="30" t="str">
        <f>IF($A289="","",IF(H$6="NÃO",0,IF($A289=0,DATEDIF(ESTRUTURA!$F$3,ESTRUTURA!$F$4,"m")*Tabela!$H$6,Tabela!$H$6)))</f>
        <v/>
      </c>
      <c r="I289" s="60" t="str">
        <f t="shared" si="59"/>
        <v/>
      </c>
      <c r="J289" s="30" t="str">
        <f>IF($A289="","",IF(J$6="NÃO",0,IF($A289=0,DATEDIF(ESTRUTURA!$F$3,ESTRUTURA!$F$4,"m")*Tabela!$H$8,IF(J$6="NÃO",0,Tabela!$H$8))))</f>
        <v/>
      </c>
      <c r="K289" s="60" t="str">
        <f t="shared" si="59"/>
        <v/>
      </c>
      <c r="L289" s="30" t="str">
        <f t="shared" si="59"/>
        <v/>
      </c>
      <c r="M289" s="60" t="str">
        <f t="shared" si="59"/>
        <v/>
      </c>
      <c r="N289" s="30" t="str">
        <f t="shared" si="59"/>
        <v/>
      </c>
      <c r="O289" s="60" t="str">
        <f t="shared" si="59"/>
        <v/>
      </c>
      <c r="P289" s="30" t="str">
        <f t="shared" si="57"/>
        <v/>
      </c>
      <c r="Q289" s="60" t="str">
        <f t="shared" si="59"/>
        <v/>
      </c>
      <c r="R289" s="30" t="str">
        <f t="shared" si="59"/>
        <v/>
      </c>
      <c r="S289" s="60" t="str">
        <f>IF($A289="","",IF(S$6="NÃO",0,IF($A289=0,DATEDIF(ESTRUTURA!$F$3,ESTRUTURA!$F$4,"m")*Tabela!$H$17,Tabela!$H$17)))</f>
        <v/>
      </c>
      <c r="T289" s="30" t="str">
        <f>IF($A289="","",IF(T$6="NÃO",0,IF($A289=0,DATEDIF(ESTRUTURA!$F$3,ESTRUTURA!$F$4,"m")*Tabela!$H$18,Tabela!$H$18)))</f>
        <v/>
      </c>
      <c r="U289" s="60" t="str">
        <f t="shared" si="58"/>
        <v/>
      </c>
      <c r="V289" s="30" t="str">
        <f>IF($A289="","",IF(V$6="NÃO",0,IF($A289=0,DATEDIF(ESTRUTURA!$F$3,ESTRUTURA!$F$4,"m")*Tabela!$H$20,Tabela!$H$20)))</f>
        <v/>
      </c>
      <c r="W289" s="60" t="str">
        <f t="shared" si="58"/>
        <v/>
      </c>
      <c r="X289" s="30" t="str">
        <f t="shared" si="58"/>
        <v/>
      </c>
      <c r="Y289" s="60" t="str">
        <f>IF($A289="","",IF(Y$6="NÃO",0,IF(A289=0,Tabela!$H$23,IF(Y$7="mensal",Tabela!$H$23,IF(AND(MONTH(ESTRUTURA!C289)=MONTH(ESTRUTURA!$F$3),A289&gt;0),Tabela!$H$23,0)))))</f>
        <v/>
      </c>
      <c r="Z289" s="30" t="str">
        <f t="shared" si="58"/>
        <v/>
      </c>
      <c r="AA289" s="60" t="str">
        <f>IF($A289="","",IF(AA$6="NÃO",0,Tabela!$H$25*nm_séries))</f>
        <v/>
      </c>
      <c r="AB289" s="30" t="str">
        <f t="shared" si="58"/>
        <v/>
      </c>
      <c r="AC289" s="60" t="str">
        <f>IF($A289="","",IF(AC$6="NÃO",0,IF(A289=0,Tabela!$H$27,IF(MOD(A289,3)=0,Tabela!$H$27,0))))</f>
        <v/>
      </c>
      <c r="AD289" s="30" t="str">
        <f t="shared" si="58"/>
        <v/>
      </c>
      <c r="AE289" s="60" t="str">
        <f t="shared" si="58"/>
        <v/>
      </c>
      <c r="AF289" s="30" t="str">
        <f>IF($A289="","",IF(AF$6="NÃO",0,IF(AND(MONTH(ESTRUTURA!C289)=MONTH(ESTRUTURA!$F$3),A289&gt;0),Tabela!$H$30,0)))</f>
        <v/>
      </c>
      <c r="AG289" s="60" t="str">
        <f t="shared" si="58"/>
        <v/>
      </c>
      <c r="AH289" s="30" t="str">
        <f t="shared" si="58"/>
        <v/>
      </c>
      <c r="AI289" s="60" t="str">
        <f>IF($A289="","",IF(AI$6="NÃO",0,IF($A289=0,DATEDIF(ESTRUTURA!$F$3,ESTRUTURA!$F$4,"m")*Tabela!$H$33,Tabela!$H$33)))</f>
        <v/>
      </c>
      <c r="AJ289" s="30" t="str">
        <f t="shared" si="50"/>
        <v/>
      </c>
    </row>
    <row r="290" spans="1:36" x14ac:dyDescent="0.2">
      <c r="A290" s="66" t="str">
        <f>ESTRUTURA!A290</f>
        <v/>
      </c>
      <c r="B290" s="58">
        <f t="shared" si="56"/>
        <v>0</v>
      </c>
      <c r="C290" s="60" t="str">
        <f t="shared" si="59"/>
        <v/>
      </c>
      <c r="D290" s="30" t="str">
        <f t="shared" si="59"/>
        <v/>
      </c>
      <c r="E290" s="60" t="str">
        <f t="shared" si="59"/>
        <v/>
      </c>
      <c r="F290" s="30" t="str">
        <f>IF($A290="","",IF(F$6="NÃO",0,Tabela!$H$34*ESTRUTURA!$I$4))</f>
        <v/>
      </c>
      <c r="G290" s="60" t="str">
        <f t="shared" si="59"/>
        <v/>
      </c>
      <c r="H290" s="30" t="str">
        <f>IF($A290="","",IF(H$6="NÃO",0,IF($A290=0,DATEDIF(ESTRUTURA!$F$3,ESTRUTURA!$F$4,"m")*Tabela!$H$6,Tabela!$H$6)))</f>
        <v/>
      </c>
      <c r="I290" s="60" t="str">
        <f t="shared" si="59"/>
        <v/>
      </c>
      <c r="J290" s="30" t="str">
        <f>IF($A290="","",IF(J$6="NÃO",0,IF($A290=0,DATEDIF(ESTRUTURA!$F$3,ESTRUTURA!$F$4,"m")*Tabela!$H$8,IF(J$6="NÃO",0,Tabela!$H$8))))</f>
        <v/>
      </c>
      <c r="K290" s="60" t="str">
        <f t="shared" si="59"/>
        <v/>
      </c>
      <c r="L290" s="30" t="str">
        <f t="shared" si="59"/>
        <v/>
      </c>
      <c r="M290" s="60" t="str">
        <f t="shared" si="59"/>
        <v/>
      </c>
      <c r="N290" s="30" t="str">
        <f t="shared" si="59"/>
        <v/>
      </c>
      <c r="O290" s="60" t="str">
        <f t="shared" si="59"/>
        <v/>
      </c>
      <c r="P290" s="30" t="str">
        <f t="shared" si="57"/>
        <v/>
      </c>
      <c r="Q290" s="60" t="str">
        <f t="shared" si="59"/>
        <v/>
      </c>
      <c r="R290" s="30" t="str">
        <f t="shared" si="59"/>
        <v/>
      </c>
      <c r="S290" s="60" t="str">
        <f>IF($A290="","",IF(S$6="NÃO",0,IF($A290=0,DATEDIF(ESTRUTURA!$F$3,ESTRUTURA!$F$4,"m")*Tabela!$H$17,Tabela!$H$17)))</f>
        <v/>
      </c>
      <c r="T290" s="30" t="str">
        <f>IF($A290="","",IF(T$6="NÃO",0,IF($A290=0,DATEDIF(ESTRUTURA!$F$3,ESTRUTURA!$F$4,"m")*Tabela!$H$18,Tabela!$H$18)))</f>
        <v/>
      </c>
      <c r="U290" s="60" t="str">
        <f t="shared" si="58"/>
        <v/>
      </c>
      <c r="V290" s="30" t="str">
        <f>IF($A290="","",IF(V$6="NÃO",0,IF($A290=0,DATEDIF(ESTRUTURA!$F$3,ESTRUTURA!$F$4,"m")*Tabela!$H$20,Tabela!$H$20)))</f>
        <v/>
      </c>
      <c r="W290" s="60" t="str">
        <f t="shared" si="58"/>
        <v/>
      </c>
      <c r="X290" s="30" t="str">
        <f t="shared" si="58"/>
        <v/>
      </c>
      <c r="Y290" s="60" t="str">
        <f>IF($A290="","",IF(Y$6="NÃO",0,IF(A290=0,Tabela!$H$23,IF(Y$7="mensal",Tabela!$H$23,IF(AND(MONTH(ESTRUTURA!C290)=MONTH(ESTRUTURA!$F$3),A290&gt;0),Tabela!$H$23,0)))))</f>
        <v/>
      </c>
      <c r="Z290" s="30" t="str">
        <f t="shared" si="58"/>
        <v/>
      </c>
      <c r="AA290" s="60" t="str">
        <f>IF($A290="","",IF(AA$6="NÃO",0,Tabela!$H$25*nm_séries))</f>
        <v/>
      </c>
      <c r="AB290" s="30" t="str">
        <f t="shared" si="58"/>
        <v/>
      </c>
      <c r="AC290" s="60" t="str">
        <f>IF($A290="","",IF(AC$6="NÃO",0,IF(A290=0,Tabela!$H$27,IF(MOD(A290,3)=0,Tabela!$H$27,0))))</f>
        <v/>
      </c>
      <c r="AD290" s="30" t="str">
        <f t="shared" si="58"/>
        <v/>
      </c>
      <c r="AE290" s="60" t="str">
        <f t="shared" si="58"/>
        <v/>
      </c>
      <c r="AF290" s="30" t="str">
        <f>IF($A290="","",IF(AF$6="NÃO",0,IF(AND(MONTH(ESTRUTURA!C290)=MONTH(ESTRUTURA!$F$3),A290&gt;0),Tabela!$H$30,0)))</f>
        <v/>
      </c>
      <c r="AG290" s="60" t="str">
        <f t="shared" si="58"/>
        <v/>
      </c>
      <c r="AH290" s="30" t="str">
        <f t="shared" si="58"/>
        <v/>
      </c>
      <c r="AI290" s="60" t="str">
        <f>IF($A290="","",IF(AI$6="NÃO",0,IF($A290=0,DATEDIF(ESTRUTURA!$F$3,ESTRUTURA!$F$4,"m")*Tabela!$H$33,Tabela!$H$33)))</f>
        <v/>
      </c>
      <c r="AJ290" s="30" t="str">
        <f t="shared" si="50"/>
        <v/>
      </c>
    </row>
    <row r="291" spans="1:36" x14ac:dyDescent="0.2">
      <c r="A291" s="66" t="str">
        <f>ESTRUTURA!A291</f>
        <v/>
      </c>
      <c r="B291" s="58">
        <f t="shared" si="56"/>
        <v>0</v>
      </c>
      <c r="C291" s="60" t="str">
        <f t="shared" si="59"/>
        <v/>
      </c>
      <c r="D291" s="30" t="str">
        <f t="shared" si="59"/>
        <v/>
      </c>
      <c r="E291" s="60" t="str">
        <f t="shared" si="59"/>
        <v/>
      </c>
      <c r="F291" s="30" t="str">
        <f>IF($A291="","",IF(F$6="NÃO",0,Tabela!$H$34*ESTRUTURA!$I$4))</f>
        <v/>
      </c>
      <c r="G291" s="60" t="str">
        <f t="shared" si="59"/>
        <v/>
      </c>
      <c r="H291" s="30" t="str">
        <f>IF($A291="","",IF(H$6="NÃO",0,IF($A291=0,DATEDIF(ESTRUTURA!$F$3,ESTRUTURA!$F$4,"m")*Tabela!$H$6,Tabela!$H$6)))</f>
        <v/>
      </c>
      <c r="I291" s="60" t="str">
        <f t="shared" si="59"/>
        <v/>
      </c>
      <c r="J291" s="30" t="str">
        <f>IF($A291="","",IF(J$6="NÃO",0,IF($A291=0,DATEDIF(ESTRUTURA!$F$3,ESTRUTURA!$F$4,"m")*Tabela!$H$8,IF(J$6="NÃO",0,Tabela!$H$8))))</f>
        <v/>
      </c>
      <c r="K291" s="60" t="str">
        <f t="shared" si="59"/>
        <v/>
      </c>
      <c r="L291" s="30" t="str">
        <f t="shared" si="59"/>
        <v/>
      </c>
      <c r="M291" s="60" t="str">
        <f t="shared" si="59"/>
        <v/>
      </c>
      <c r="N291" s="30" t="str">
        <f t="shared" si="59"/>
        <v/>
      </c>
      <c r="O291" s="60" t="str">
        <f t="shared" si="59"/>
        <v/>
      </c>
      <c r="P291" s="30" t="str">
        <f t="shared" si="57"/>
        <v/>
      </c>
      <c r="Q291" s="60" t="str">
        <f t="shared" si="59"/>
        <v/>
      </c>
      <c r="R291" s="30" t="str">
        <f t="shared" si="59"/>
        <v/>
      </c>
      <c r="S291" s="60" t="str">
        <f>IF($A291="","",IF(S$6="NÃO",0,IF($A291=0,DATEDIF(ESTRUTURA!$F$3,ESTRUTURA!$F$4,"m")*Tabela!$H$17,Tabela!$H$17)))</f>
        <v/>
      </c>
      <c r="T291" s="30" t="str">
        <f>IF($A291="","",IF(T$6="NÃO",0,IF($A291=0,DATEDIF(ESTRUTURA!$F$3,ESTRUTURA!$F$4,"m")*Tabela!$H$18,Tabela!$H$18)))</f>
        <v/>
      </c>
      <c r="U291" s="60" t="str">
        <f t="shared" si="58"/>
        <v/>
      </c>
      <c r="V291" s="30" t="str">
        <f>IF($A291="","",IF(V$6="NÃO",0,IF($A291=0,DATEDIF(ESTRUTURA!$F$3,ESTRUTURA!$F$4,"m")*Tabela!$H$20,Tabela!$H$20)))</f>
        <v/>
      </c>
      <c r="W291" s="60" t="str">
        <f t="shared" si="58"/>
        <v/>
      </c>
      <c r="X291" s="30" t="str">
        <f t="shared" si="58"/>
        <v/>
      </c>
      <c r="Y291" s="60" t="str">
        <f>IF($A291="","",IF(Y$6="NÃO",0,IF(A291=0,Tabela!$H$23,IF(Y$7="mensal",Tabela!$H$23,IF(AND(MONTH(ESTRUTURA!C291)=MONTH(ESTRUTURA!$F$3),A291&gt;0),Tabela!$H$23,0)))))</f>
        <v/>
      </c>
      <c r="Z291" s="30" t="str">
        <f t="shared" si="58"/>
        <v/>
      </c>
      <c r="AA291" s="60" t="str">
        <f>IF($A291="","",IF(AA$6="NÃO",0,Tabela!$H$25*nm_séries))</f>
        <v/>
      </c>
      <c r="AB291" s="30" t="str">
        <f t="shared" si="58"/>
        <v/>
      </c>
      <c r="AC291" s="60" t="str">
        <f>IF($A291="","",IF(AC$6="NÃO",0,IF(A291=0,Tabela!$H$27,IF(MOD(A291,3)=0,Tabela!$H$27,0))))</f>
        <v/>
      </c>
      <c r="AD291" s="30" t="str">
        <f t="shared" si="58"/>
        <v/>
      </c>
      <c r="AE291" s="60" t="str">
        <f t="shared" si="58"/>
        <v/>
      </c>
      <c r="AF291" s="30" t="str">
        <f>IF($A291="","",IF(AF$6="NÃO",0,IF(AND(MONTH(ESTRUTURA!C291)=MONTH(ESTRUTURA!$F$3),A291&gt;0),Tabela!$H$30,0)))</f>
        <v/>
      </c>
      <c r="AG291" s="60" t="str">
        <f t="shared" si="58"/>
        <v/>
      </c>
      <c r="AH291" s="30" t="str">
        <f t="shared" si="58"/>
        <v/>
      </c>
      <c r="AI291" s="60" t="str">
        <f>IF($A291="","",IF(AI$6="NÃO",0,IF($A291=0,DATEDIF(ESTRUTURA!$F$3,ESTRUTURA!$F$4,"m")*Tabela!$H$33,Tabela!$H$33)))</f>
        <v/>
      </c>
      <c r="AJ291" s="30" t="str">
        <f t="shared" si="50"/>
        <v/>
      </c>
    </row>
    <row r="292" spans="1:36" x14ac:dyDescent="0.2">
      <c r="A292" s="66" t="str">
        <f>ESTRUTURA!A292</f>
        <v/>
      </c>
      <c r="B292" s="58">
        <f t="shared" si="56"/>
        <v>0</v>
      </c>
      <c r="C292" s="60" t="str">
        <f t="shared" si="59"/>
        <v/>
      </c>
      <c r="D292" s="30" t="str">
        <f t="shared" si="59"/>
        <v/>
      </c>
      <c r="E292" s="60" t="str">
        <f t="shared" si="59"/>
        <v/>
      </c>
      <c r="F292" s="30" t="str">
        <f>IF($A292="","",IF(F$6="NÃO",0,Tabela!$H$34*ESTRUTURA!$I$4))</f>
        <v/>
      </c>
      <c r="G292" s="60" t="str">
        <f t="shared" si="59"/>
        <v/>
      </c>
      <c r="H292" s="30" t="str">
        <f>IF($A292="","",IF(H$6="NÃO",0,IF($A292=0,DATEDIF(ESTRUTURA!$F$3,ESTRUTURA!$F$4,"m")*Tabela!$H$6,Tabela!$H$6)))</f>
        <v/>
      </c>
      <c r="I292" s="60" t="str">
        <f t="shared" si="59"/>
        <v/>
      </c>
      <c r="J292" s="30" t="str">
        <f>IF($A292="","",IF(J$6="NÃO",0,IF($A292=0,DATEDIF(ESTRUTURA!$F$3,ESTRUTURA!$F$4,"m")*Tabela!$H$8,IF(J$6="NÃO",0,Tabela!$H$8))))</f>
        <v/>
      </c>
      <c r="K292" s="60" t="str">
        <f t="shared" si="59"/>
        <v/>
      </c>
      <c r="L292" s="30" t="str">
        <f t="shared" si="59"/>
        <v/>
      </c>
      <c r="M292" s="60" t="str">
        <f t="shared" si="59"/>
        <v/>
      </c>
      <c r="N292" s="30" t="str">
        <f t="shared" si="59"/>
        <v/>
      </c>
      <c r="O292" s="60" t="str">
        <f t="shared" si="59"/>
        <v/>
      </c>
      <c r="P292" s="30" t="str">
        <f t="shared" si="57"/>
        <v/>
      </c>
      <c r="Q292" s="60" t="str">
        <f t="shared" si="59"/>
        <v/>
      </c>
      <c r="R292" s="30" t="str">
        <f t="shared" si="59"/>
        <v/>
      </c>
      <c r="S292" s="60" t="str">
        <f>IF($A292="","",IF(S$6="NÃO",0,IF($A292=0,DATEDIF(ESTRUTURA!$F$3,ESTRUTURA!$F$4,"m")*Tabela!$H$17,Tabela!$H$17)))</f>
        <v/>
      </c>
      <c r="T292" s="30" t="str">
        <f>IF($A292="","",IF(T$6="NÃO",0,IF($A292=0,DATEDIF(ESTRUTURA!$F$3,ESTRUTURA!$F$4,"m")*Tabela!$H$18,Tabela!$H$18)))</f>
        <v/>
      </c>
      <c r="U292" s="60" t="str">
        <f t="shared" si="58"/>
        <v/>
      </c>
      <c r="V292" s="30" t="str">
        <f>IF($A292="","",IF(V$6="NÃO",0,IF($A292=0,DATEDIF(ESTRUTURA!$F$3,ESTRUTURA!$F$4,"m")*Tabela!$H$20,Tabela!$H$20)))</f>
        <v/>
      </c>
      <c r="W292" s="60" t="str">
        <f t="shared" si="58"/>
        <v/>
      </c>
      <c r="X292" s="30" t="str">
        <f t="shared" si="58"/>
        <v/>
      </c>
      <c r="Y292" s="60" t="str">
        <f>IF($A292="","",IF(Y$6="NÃO",0,IF(A292=0,Tabela!$H$23,IF(Y$7="mensal",Tabela!$H$23,IF(AND(MONTH(ESTRUTURA!C292)=MONTH(ESTRUTURA!$F$3),A292&gt;0),Tabela!$H$23,0)))))</f>
        <v/>
      </c>
      <c r="Z292" s="30" t="str">
        <f t="shared" si="58"/>
        <v/>
      </c>
      <c r="AA292" s="60" t="str">
        <f>IF($A292="","",IF(AA$6="NÃO",0,Tabela!$H$25*nm_séries))</f>
        <v/>
      </c>
      <c r="AB292" s="30" t="str">
        <f t="shared" si="58"/>
        <v/>
      </c>
      <c r="AC292" s="60" t="str">
        <f>IF($A292="","",IF(AC$6="NÃO",0,IF(A292=0,Tabela!$H$27,IF(MOD(A292,3)=0,Tabela!$H$27,0))))</f>
        <v/>
      </c>
      <c r="AD292" s="30" t="str">
        <f t="shared" si="58"/>
        <v/>
      </c>
      <c r="AE292" s="60" t="str">
        <f t="shared" si="58"/>
        <v/>
      </c>
      <c r="AF292" s="30" t="str">
        <f>IF($A292="","",IF(AF$6="NÃO",0,IF(AND(MONTH(ESTRUTURA!C292)=MONTH(ESTRUTURA!$F$3),A292&gt;0),Tabela!$H$30,0)))</f>
        <v/>
      </c>
      <c r="AG292" s="60" t="str">
        <f t="shared" si="58"/>
        <v/>
      </c>
      <c r="AH292" s="30" t="str">
        <f t="shared" si="58"/>
        <v/>
      </c>
      <c r="AI292" s="60" t="str">
        <f>IF($A292="","",IF(AI$6="NÃO",0,IF($A292=0,DATEDIF(ESTRUTURA!$F$3,ESTRUTURA!$F$4,"m")*Tabela!$H$33,Tabela!$H$33)))</f>
        <v/>
      </c>
      <c r="AJ292" s="30" t="str">
        <f t="shared" si="50"/>
        <v/>
      </c>
    </row>
    <row r="293" spans="1:36" x14ac:dyDescent="0.2">
      <c r="A293" s="66" t="str">
        <f>ESTRUTURA!A293</f>
        <v/>
      </c>
      <c r="B293" s="58">
        <f t="shared" si="56"/>
        <v>0</v>
      </c>
      <c r="C293" s="60" t="str">
        <f t="shared" si="59"/>
        <v/>
      </c>
      <c r="D293" s="30" t="str">
        <f t="shared" si="59"/>
        <v/>
      </c>
      <c r="E293" s="60" t="str">
        <f t="shared" si="59"/>
        <v/>
      </c>
      <c r="F293" s="30" t="str">
        <f>IF($A293="","",IF(F$6="NÃO",0,Tabela!$H$34*ESTRUTURA!$I$4))</f>
        <v/>
      </c>
      <c r="G293" s="60" t="str">
        <f t="shared" si="59"/>
        <v/>
      </c>
      <c r="H293" s="30" t="str">
        <f>IF($A293="","",IF(H$6="NÃO",0,IF($A293=0,DATEDIF(ESTRUTURA!$F$3,ESTRUTURA!$F$4,"m")*Tabela!$H$6,Tabela!$H$6)))</f>
        <v/>
      </c>
      <c r="I293" s="60" t="str">
        <f t="shared" si="59"/>
        <v/>
      </c>
      <c r="J293" s="30" t="str">
        <f>IF($A293="","",IF(J$6="NÃO",0,IF($A293=0,DATEDIF(ESTRUTURA!$F$3,ESTRUTURA!$F$4,"m")*Tabela!$H$8,IF(J$6="NÃO",0,Tabela!$H$8))))</f>
        <v/>
      </c>
      <c r="K293" s="60" t="str">
        <f t="shared" si="59"/>
        <v/>
      </c>
      <c r="L293" s="30" t="str">
        <f t="shared" si="59"/>
        <v/>
      </c>
      <c r="M293" s="60" t="str">
        <f t="shared" si="59"/>
        <v/>
      </c>
      <c r="N293" s="30" t="str">
        <f t="shared" si="59"/>
        <v/>
      </c>
      <c r="O293" s="60" t="str">
        <f t="shared" si="59"/>
        <v/>
      </c>
      <c r="P293" s="30" t="str">
        <f t="shared" si="57"/>
        <v/>
      </c>
      <c r="Q293" s="60" t="str">
        <f t="shared" si="59"/>
        <v/>
      </c>
      <c r="R293" s="30" t="str">
        <f t="shared" si="59"/>
        <v/>
      </c>
      <c r="S293" s="60" t="str">
        <f>IF($A293="","",IF(S$6="NÃO",0,IF($A293=0,DATEDIF(ESTRUTURA!$F$3,ESTRUTURA!$F$4,"m")*Tabela!$H$17,Tabela!$H$17)))</f>
        <v/>
      </c>
      <c r="T293" s="30" t="str">
        <f>IF($A293="","",IF(T$6="NÃO",0,IF($A293=0,DATEDIF(ESTRUTURA!$F$3,ESTRUTURA!$F$4,"m")*Tabela!$H$18,Tabela!$H$18)))</f>
        <v/>
      </c>
      <c r="U293" s="60" t="str">
        <f t="shared" si="58"/>
        <v/>
      </c>
      <c r="V293" s="30" t="str">
        <f>IF($A293="","",IF(V$6="NÃO",0,IF($A293=0,DATEDIF(ESTRUTURA!$F$3,ESTRUTURA!$F$4,"m")*Tabela!$H$20,Tabela!$H$20)))</f>
        <v/>
      </c>
      <c r="W293" s="60" t="str">
        <f t="shared" si="58"/>
        <v/>
      </c>
      <c r="X293" s="30" t="str">
        <f t="shared" si="58"/>
        <v/>
      </c>
      <c r="Y293" s="60" t="str">
        <f>IF($A293="","",IF(Y$6="NÃO",0,IF(A293=0,Tabela!$H$23,IF(Y$7="mensal",Tabela!$H$23,IF(AND(MONTH(ESTRUTURA!C293)=MONTH(ESTRUTURA!$F$3),A293&gt;0),Tabela!$H$23,0)))))</f>
        <v/>
      </c>
      <c r="Z293" s="30" t="str">
        <f t="shared" si="58"/>
        <v/>
      </c>
      <c r="AA293" s="60" t="str">
        <f>IF($A293="","",IF(AA$6="NÃO",0,Tabela!$H$25*nm_séries))</f>
        <v/>
      </c>
      <c r="AB293" s="30" t="str">
        <f t="shared" si="58"/>
        <v/>
      </c>
      <c r="AC293" s="60" t="str">
        <f>IF($A293="","",IF(AC$6="NÃO",0,IF(A293=0,Tabela!$H$27,IF(MOD(A293,3)=0,Tabela!$H$27,0))))</f>
        <v/>
      </c>
      <c r="AD293" s="30" t="str">
        <f t="shared" si="58"/>
        <v/>
      </c>
      <c r="AE293" s="60" t="str">
        <f t="shared" si="58"/>
        <v/>
      </c>
      <c r="AF293" s="30" t="str">
        <f>IF($A293="","",IF(AF$6="NÃO",0,IF(AND(MONTH(ESTRUTURA!C293)=MONTH(ESTRUTURA!$F$3),A293&gt;0),Tabela!$H$30,0)))</f>
        <v/>
      </c>
      <c r="AG293" s="60" t="str">
        <f t="shared" si="58"/>
        <v/>
      </c>
      <c r="AH293" s="30" t="str">
        <f t="shared" si="58"/>
        <v/>
      </c>
      <c r="AI293" s="60" t="str">
        <f>IF($A293="","",IF(AI$6="NÃO",0,IF($A293=0,DATEDIF(ESTRUTURA!$F$3,ESTRUTURA!$F$4,"m")*Tabela!$H$33,Tabela!$H$33)))</f>
        <v/>
      </c>
      <c r="AJ293" s="30" t="str">
        <f t="shared" si="50"/>
        <v/>
      </c>
    </row>
    <row r="294" spans="1:36" x14ac:dyDescent="0.2">
      <c r="A294" s="66" t="str">
        <f>ESTRUTURA!A294</f>
        <v/>
      </c>
      <c r="B294" s="58">
        <f t="shared" si="56"/>
        <v>0</v>
      </c>
      <c r="C294" s="60" t="str">
        <f t="shared" si="59"/>
        <v/>
      </c>
      <c r="D294" s="30" t="str">
        <f t="shared" si="59"/>
        <v/>
      </c>
      <c r="E294" s="60" t="str">
        <f t="shared" si="59"/>
        <v/>
      </c>
      <c r="F294" s="30" t="str">
        <f>IF($A294="","",IF(F$6="NÃO",0,Tabela!$H$34*ESTRUTURA!$I$4))</f>
        <v/>
      </c>
      <c r="G294" s="60" t="str">
        <f t="shared" si="59"/>
        <v/>
      </c>
      <c r="H294" s="30" t="str">
        <f>IF($A294="","",IF(H$6="NÃO",0,IF($A294=0,DATEDIF(ESTRUTURA!$F$3,ESTRUTURA!$F$4,"m")*Tabela!$H$6,Tabela!$H$6)))</f>
        <v/>
      </c>
      <c r="I294" s="60" t="str">
        <f t="shared" si="59"/>
        <v/>
      </c>
      <c r="J294" s="30" t="str">
        <f>IF($A294="","",IF(J$6="NÃO",0,IF($A294=0,DATEDIF(ESTRUTURA!$F$3,ESTRUTURA!$F$4,"m")*Tabela!$H$8,IF(J$6="NÃO",0,Tabela!$H$8))))</f>
        <v/>
      </c>
      <c r="K294" s="60" t="str">
        <f t="shared" si="59"/>
        <v/>
      </c>
      <c r="L294" s="30" t="str">
        <f t="shared" si="59"/>
        <v/>
      </c>
      <c r="M294" s="60" t="str">
        <f t="shared" si="59"/>
        <v/>
      </c>
      <c r="N294" s="30" t="str">
        <f t="shared" si="59"/>
        <v/>
      </c>
      <c r="O294" s="60" t="str">
        <f t="shared" si="59"/>
        <v/>
      </c>
      <c r="P294" s="30" t="str">
        <f t="shared" si="57"/>
        <v/>
      </c>
      <c r="Q294" s="60" t="str">
        <f t="shared" si="59"/>
        <v/>
      </c>
      <c r="R294" s="30" t="str">
        <f t="shared" si="59"/>
        <v/>
      </c>
      <c r="S294" s="60" t="str">
        <f>IF($A294="","",IF(S$6="NÃO",0,IF($A294=0,DATEDIF(ESTRUTURA!$F$3,ESTRUTURA!$F$4,"m")*Tabela!$H$17,Tabela!$H$17)))</f>
        <v/>
      </c>
      <c r="T294" s="30" t="str">
        <f>IF($A294="","",IF(T$6="NÃO",0,IF($A294=0,DATEDIF(ESTRUTURA!$F$3,ESTRUTURA!$F$4,"m")*Tabela!$H$18,Tabela!$H$18)))</f>
        <v/>
      </c>
      <c r="U294" s="60" t="str">
        <f t="shared" si="58"/>
        <v/>
      </c>
      <c r="V294" s="30" t="str">
        <f>IF($A294="","",IF(V$6="NÃO",0,IF($A294=0,DATEDIF(ESTRUTURA!$F$3,ESTRUTURA!$F$4,"m")*Tabela!$H$20,Tabela!$H$20)))</f>
        <v/>
      </c>
      <c r="W294" s="60" t="str">
        <f t="shared" si="58"/>
        <v/>
      </c>
      <c r="X294" s="30" t="str">
        <f t="shared" si="58"/>
        <v/>
      </c>
      <c r="Y294" s="60" t="str">
        <f>IF($A294="","",IF(Y$6="NÃO",0,IF(A294=0,Tabela!$H$23,IF(Y$7="mensal",Tabela!$H$23,IF(AND(MONTH(ESTRUTURA!C294)=MONTH(ESTRUTURA!$F$3),A294&gt;0),Tabela!$H$23,0)))))</f>
        <v/>
      </c>
      <c r="Z294" s="30" t="str">
        <f t="shared" si="58"/>
        <v/>
      </c>
      <c r="AA294" s="60" t="str">
        <f>IF($A294="","",IF(AA$6="NÃO",0,Tabela!$H$25*nm_séries))</f>
        <v/>
      </c>
      <c r="AB294" s="30" t="str">
        <f t="shared" si="58"/>
        <v/>
      </c>
      <c r="AC294" s="60" t="str">
        <f>IF($A294="","",IF(AC$6="NÃO",0,IF(A294=0,Tabela!$H$27,IF(MOD(A294,3)=0,Tabela!$H$27,0))))</f>
        <v/>
      </c>
      <c r="AD294" s="30" t="str">
        <f t="shared" si="58"/>
        <v/>
      </c>
      <c r="AE294" s="60" t="str">
        <f t="shared" si="58"/>
        <v/>
      </c>
      <c r="AF294" s="30" t="str">
        <f>IF($A294="","",IF(AF$6="NÃO",0,IF(AND(MONTH(ESTRUTURA!C294)=MONTH(ESTRUTURA!$F$3),A294&gt;0),Tabela!$H$30,0)))</f>
        <v/>
      </c>
      <c r="AG294" s="60" t="str">
        <f t="shared" si="58"/>
        <v/>
      </c>
      <c r="AH294" s="30" t="str">
        <f t="shared" si="58"/>
        <v/>
      </c>
      <c r="AI294" s="60" t="str">
        <f>IF($A294="","",IF(AI$6="NÃO",0,IF($A294=0,DATEDIF(ESTRUTURA!$F$3,ESTRUTURA!$F$4,"m")*Tabela!$H$33,Tabela!$H$33)))</f>
        <v/>
      </c>
      <c r="AJ294" s="30" t="str">
        <f t="shared" si="50"/>
        <v/>
      </c>
    </row>
    <row r="295" spans="1:36" x14ac:dyDescent="0.2">
      <c r="A295" s="66" t="str">
        <f>ESTRUTURA!A295</f>
        <v/>
      </c>
      <c r="B295" s="58">
        <f t="shared" si="56"/>
        <v>0</v>
      </c>
      <c r="C295" s="60" t="str">
        <f t="shared" si="59"/>
        <v/>
      </c>
      <c r="D295" s="30" t="str">
        <f t="shared" si="59"/>
        <v/>
      </c>
      <c r="E295" s="60" t="str">
        <f t="shared" si="59"/>
        <v/>
      </c>
      <c r="F295" s="30" t="str">
        <f>IF($A295="","",IF(F$6="NÃO",0,Tabela!$H$34*ESTRUTURA!$I$4))</f>
        <v/>
      </c>
      <c r="G295" s="60" t="str">
        <f t="shared" si="59"/>
        <v/>
      </c>
      <c r="H295" s="30" t="str">
        <f>IF($A295="","",IF(H$6="NÃO",0,IF($A295=0,DATEDIF(ESTRUTURA!$F$3,ESTRUTURA!$F$4,"m")*Tabela!$H$6,Tabela!$H$6)))</f>
        <v/>
      </c>
      <c r="I295" s="60" t="str">
        <f t="shared" si="59"/>
        <v/>
      </c>
      <c r="J295" s="30" t="str">
        <f>IF($A295="","",IF(J$6="NÃO",0,IF($A295=0,DATEDIF(ESTRUTURA!$F$3,ESTRUTURA!$F$4,"m")*Tabela!$H$8,IF(J$6="NÃO",0,Tabela!$H$8))))</f>
        <v/>
      </c>
      <c r="K295" s="60" t="str">
        <f t="shared" si="59"/>
        <v/>
      </c>
      <c r="L295" s="30" t="str">
        <f t="shared" si="59"/>
        <v/>
      </c>
      <c r="M295" s="60" t="str">
        <f t="shared" si="59"/>
        <v/>
      </c>
      <c r="N295" s="30" t="str">
        <f t="shared" si="59"/>
        <v/>
      </c>
      <c r="O295" s="60" t="str">
        <f t="shared" si="59"/>
        <v/>
      </c>
      <c r="P295" s="30" t="str">
        <f t="shared" si="57"/>
        <v/>
      </c>
      <c r="Q295" s="60" t="str">
        <f t="shared" si="59"/>
        <v/>
      </c>
      <c r="R295" s="30" t="str">
        <f t="shared" si="59"/>
        <v/>
      </c>
      <c r="S295" s="60" t="str">
        <f>IF($A295="","",IF(S$6="NÃO",0,IF($A295=0,DATEDIF(ESTRUTURA!$F$3,ESTRUTURA!$F$4,"m")*Tabela!$H$17,Tabela!$H$17)))</f>
        <v/>
      </c>
      <c r="T295" s="30" t="str">
        <f>IF($A295="","",IF(T$6="NÃO",0,IF($A295=0,DATEDIF(ESTRUTURA!$F$3,ESTRUTURA!$F$4,"m")*Tabela!$H$18,Tabela!$H$18)))</f>
        <v/>
      </c>
      <c r="U295" s="60" t="str">
        <f t="shared" si="58"/>
        <v/>
      </c>
      <c r="V295" s="30" t="str">
        <f>IF($A295="","",IF(V$6="NÃO",0,IF($A295=0,DATEDIF(ESTRUTURA!$F$3,ESTRUTURA!$F$4,"m")*Tabela!$H$20,Tabela!$H$20)))</f>
        <v/>
      </c>
      <c r="W295" s="60" t="str">
        <f t="shared" si="58"/>
        <v/>
      </c>
      <c r="X295" s="30" t="str">
        <f t="shared" si="58"/>
        <v/>
      </c>
      <c r="Y295" s="60" t="str">
        <f>IF($A295="","",IF(Y$6="NÃO",0,IF(A295=0,Tabela!$H$23,IF(Y$7="mensal",Tabela!$H$23,IF(AND(MONTH(ESTRUTURA!C295)=MONTH(ESTRUTURA!$F$3),A295&gt;0),Tabela!$H$23,0)))))</f>
        <v/>
      </c>
      <c r="Z295" s="30" t="str">
        <f t="shared" si="58"/>
        <v/>
      </c>
      <c r="AA295" s="60" t="str">
        <f>IF($A295="","",IF(AA$6="NÃO",0,Tabela!$H$25*nm_séries))</f>
        <v/>
      </c>
      <c r="AB295" s="30" t="str">
        <f t="shared" si="58"/>
        <v/>
      </c>
      <c r="AC295" s="60" t="str">
        <f>IF($A295="","",IF(AC$6="NÃO",0,IF(A295=0,Tabela!$H$27,IF(MOD(A295,3)=0,Tabela!$H$27,0))))</f>
        <v/>
      </c>
      <c r="AD295" s="30" t="str">
        <f t="shared" si="58"/>
        <v/>
      </c>
      <c r="AE295" s="60" t="str">
        <f t="shared" si="58"/>
        <v/>
      </c>
      <c r="AF295" s="30" t="str">
        <f>IF($A295="","",IF(AF$6="NÃO",0,IF(AND(MONTH(ESTRUTURA!C295)=MONTH(ESTRUTURA!$F$3),A295&gt;0),Tabela!$H$30,0)))</f>
        <v/>
      </c>
      <c r="AG295" s="60" t="str">
        <f t="shared" si="58"/>
        <v/>
      </c>
      <c r="AH295" s="30" t="str">
        <f t="shared" si="58"/>
        <v/>
      </c>
      <c r="AI295" s="60" t="str">
        <f>IF($A295="","",IF(AI$6="NÃO",0,IF($A295=0,DATEDIF(ESTRUTURA!$F$3,ESTRUTURA!$F$4,"m")*Tabela!$H$33,Tabela!$H$33)))</f>
        <v/>
      </c>
      <c r="AJ295" s="30" t="str">
        <f t="shared" si="50"/>
        <v/>
      </c>
    </row>
    <row r="296" spans="1:36" x14ac:dyDescent="0.2">
      <c r="A296" s="66" t="str">
        <f>ESTRUTURA!A296</f>
        <v/>
      </c>
      <c r="B296" s="58">
        <f t="shared" si="56"/>
        <v>0</v>
      </c>
      <c r="C296" s="60" t="str">
        <f t="shared" si="59"/>
        <v/>
      </c>
      <c r="D296" s="30" t="str">
        <f t="shared" si="59"/>
        <v/>
      </c>
      <c r="E296" s="60" t="str">
        <f t="shared" si="59"/>
        <v/>
      </c>
      <c r="F296" s="30" t="str">
        <f>IF($A296="","",IF(F$6="NÃO",0,Tabela!$H$34*ESTRUTURA!$I$4))</f>
        <v/>
      </c>
      <c r="G296" s="60" t="str">
        <f t="shared" si="59"/>
        <v/>
      </c>
      <c r="H296" s="30" t="str">
        <f>IF($A296="","",IF(H$6="NÃO",0,IF($A296=0,DATEDIF(ESTRUTURA!$F$3,ESTRUTURA!$F$4,"m")*Tabela!$H$6,Tabela!$H$6)))</f>
        <v/>
      </c>
      <c r="I296" s="60" t="str">
        <f t="shared" si="59"/>
        <v/>
      </c>
      <c r="J296" s="30" t="str">
        <f>IF($A296="","",IF(J$6="NÃO",0,IF($A296=0,DATEDIF(ESTRUTURA!$F$3,ESTRUTURA!$F$4,"m")*Tabela!$H$8,IF(J$6="NÃO",0,Tabela!$H$8))))</f>
        <v/>
      </c>
      <c r="K296" s="60" t="str">
        <f t="shared" si="59"/>
        <v/>
      </c>
      <c r="L296" s="30" t="str">
        <f t="shared" si="59"/>
        <v/>
      </c>
      <c r="M296" s="60" t="str">
        <f t="shared" si="59"/>
        <v/>
      </c>
      <c r="N296" s="30" t="str">
        <f t="shared" si="59"/>
        <v/>
      </c>
      <c r="O296" s="60" t="str">
        <f t="shared" si="59"/>
        <v/>
      </c>
      <c r="P296" s="30" t="str">
        <f t="shared" si="57"/>
        <v/>
      </c>
      <c r="Q296" s="60" t="str">
        <f t="shared" si="59"/>
        <v/>
      </c>
      <c r="R296" s="30" t="str">
        <f t="shared" si="59"/>
        <v/>
      </c>
      <c r="S296" s="60" t="str">
        <f>IF($A296="","",IF(S$6="NÃO",0,IF($A296=0,DATEDIF(ESTRUTURA!$F$3,ESTRUTURA!$F$4,"m")*Tabela!$H$17,Tabela!$H$17)))</f>
        <v/>
      </c>
      <c r="T296" s="30" t="str">
        <f>IF($A296="","",IF(T$6="NÃO",0,IF($A296=0,DATEDIF(ESTRUTURA!$F$3,ESTRUTURA!$F$4,"m")*Tabela!$H$18,Tabela!$H$18)))</f>
        <v/>
      </c>
      <c r="U296" s="60" t="str">
        <f t="shared" si="58"/>
        <v/>
      </c>
      <c r="V296" s="30" t="str">
        <f>IF($A296="","",IF(V$6="NÃO",0,IF($A296=0,DATEDIF(ESTRUTURA!$F$3,ESTRUTURA!$F$4,"m")*Tabela!$H$20,Tabela!$H$20)))</f>
        <v/>
      </c>
      <c r="W296" s="60" t="str">
        <f t="shared" si="58"/>
        <v/>
      </c>
      <c r="X296" s="30" t="str">
        <f t="shared" si="58"/>
        <v/>
      </c>
      <c r="Y296" s="60" t="str">
        <f>IF($A296="","",IF(Y$6="NÃO",0,IF(A296=0,Tabela!$H$23,IF(Y$7="mensal",Tabela!$H$23,IF(AND(MONTH(ESTRUTURA!C296)=MONTH(ESTRUTURA!$F$3),A296&gt;0),Tabela!$H$23,0)))))</f>
        <v/>
      </c>
      <c r="Z296" s="30" t="str">
        <f t="shared" si="58"/>
        <v/>
      </c>
      <c r="AA296" s="60" t="str">
        <f>IF($A296="","",IF(AA$6="NÃO",0,Tabela!$H$25*nm_séries))</f>
        <v/>
      </c>
      <c r="AB296" s="30" t="str">
        <f t="shared" si="58"/>
        <v/>
      </c>
      <c r="AC296" s="60" t="str">
        <f>IF($A296="","",IF(AC$6="NÃO",0,IF(A296=0,Tabela!$H$27,IF(MOD(A296,3)=0,Tabela!$H$27,0))))</f>
        <v/>
      </c>
      <c r="AD296" s="30" t="str">
        <f t="shared" si="58"/>
        <v/>
      </c>
      <c r="AE296" s="60" t="str">
        <f t="shared" si="58"/>
        <v/>
      </c>
      <c r="AF296" s="30" t="str">
        <f>IF($A296="","",IF(AF$6="NÃO",0,IF(AND(MONTH(ESTRUTURA!C296)=MONTH(ESTRUTURA!$F$3),A296&gt;0),Tabela!$H$30,0)))</f>
        <v/>
      </c>
      <c r="AG296" s="60" t="str">
        <f t="shared" si="58"/>
        <v/>
      </c>
      <c r="AH296" s="30" t="str">
        <f t="shared" si="58"/>
        <v/>
      </c>
      <c r="AI296" s="60" t="str">
        <f>IF($A296="","",IF(AI$6="NÃO",0,IF($A296=0,DATEDIF(ESTRUTURA!$F$3,ESTRUTURA!$F$4,"m")*Tabela!$H$33,Tabela!$H$33)))</f>
        <v/>
      </c>
      <c r="AJ296" s="30" t="str">
        <f t="shared" si="50"/>
        <v/>
      </c>
    </row>
    <row r="297" spans="1:36" x14ac:dyDescent="0.2">
      <c r="A297" s="66" t="str">
        <f>ESTRUTURA!A297</f>
        <v/>
      </c>
      <c r="B297" s="58">
        <f t="shared" si="56"/>
        <v>0</v>
      </c>
      <c r="C297" s="60" t="str">
        <f t="shared" si="59"/>
        <v/>
      </c>
      <c r="D297" s="30" t="str">
        <f t="shared" si="59"/>
        <v/>
      </c>
      <c r="E297" s="60" t="str">
        <f t="shared" si="59"/>
        <v/>
      </c>
      <c r="F297" s="30" t="str">
        <f>IF($A297="","",IF(F$6="NÃO",0,Tabela!$H$34*ESTRUTURA!$I$4))</f>
        <v/>
      </c>
      <c r="G297" s="60" t="str">
        <f t="shared" si="59"/>
        <v/>
      </c>
      <c r="H297" s="30" t="str">
        <f>IF($A297="","",IF(H$6="NÃO",0,IF($A297=0,DATEDIF(ESTRUTURA!$F$3,ESTRUTURA!$F$4,"m")*Tabela!$H$6,Tabela!$H$6)))</f>
        <v/>
      </c>
      <c r="I297" s="60" t="str">
        <f t="shared" si="59"/>
        <v/>
      </c>
      <c r="J297" s="30" t="str">
        <f>IF($A297="","",IF(J$6="NÃO",0,IF($A297=0,DATEDIF(ESTRUTURA!$F$3,ESTRUTURA!$F$4,"m")*Tabela!$H$8,IF(J$6="NÃO",0,Tabela!$H$8))))</f>
        <v/>
      </c>
      <c r="K297" s="60" t="str">
        <f t="shared" si="59"/>
        <v/>
      </c>
      <c r="L297" s="30" t="str">
        <f t="shared" si="59"/>
        <v/>
      </c>
      <c r="M297" s="60" t="str">
        <f t="shared" si="59"/>
        <v/>
      </c>
      <c r="N297" s="30" t="str">
        <f t="shared" si="59"/>
        <v/>
      </c>
      <c r="O297" s="60" t="str">
        <f t="shared" si="59"/>
        <v/>
      </c>
      <c r="P297" s="30" t="str">
        <f t="shared" si="57"/>
        <v/>
      </c>
      <c r="Q297" s="60" t="str">
        <f t="shared" si="59"/>
        <v/>
      </c>
      <c r="R297" s="30" t="str">
        <f t="shared" si="59"/>
        <v/>
      </c>
      <c r="S297" s="60" t="str">
        <f>IF($A297="","",IF(S$6="NÃO",0,IF($A297=0,DATEDIF(ESTRUTURA!$F$3,ESTRUTURA!$F$4,"m")*Tabela!$H$17,Tabela!$H$17)))</f>
        <v/>
      </c>
      <c r="T297" s="30" t="str">
        <f>IF($A297="","",IF(T$6="NÃO",0,IF($A297=0,DATEDIF(ESTRUTURA!$F$3,ESTRUTURA!$F$4,"m")*Tabela!$H$18,Tabela!$H$18)))</f>
        <v/>
      </c>
      <c r="U297" s="60" t="str">
        <f t="shared" si="58"/>
        <v/>
      </c>
      <c r="V297" s="30" t="str">
        <f>IF($A297="","",IF(V$6="NÃO",0,IF($A297=0,DATEDIF(ESTRUTURA!$F$3,ESTRUTURA!$F$4,"m")*Tabela!$H$20,Tabela!$H$20)))</f>
        <v/>
      </c>
      <c r="W297" s="60" t="str">
        <f t="shared" si="58"/>
        <v/>
      </c>
      <c r="X297" s="30" t="str">
        <f t="shared" si="58"/>
        <v/>
      </c>
      <c r="Y297" s="60" t="str">
        <f>IF($A297="","",IF(Y$6="NÃO",0,IF(A297=0,Tabela!$H$23,IF(Y$7="mensal",Tabela!$H$23,IF(AND(MONTH(ESTRUTURA!C297)=MONTH(ESTRUTURA!$F$3),A297&gt;0),Tabela!$H$23,0)))))</f>
        <v/>
      </c>
      <c r="Z297" s="30" t="str">
        <f t="shared" si="58"/>
        <v/>
      </c>
      <c r="AA297" s="60" t="str">
        <f>IF($A297="","",IF(AA$6="NÃO",0,Tabela!$H$25*nm_séries))</f>
        <v/>
      </c>
      <c r="AB297" s="30" t="str">
        <f t="shared" si="58"/>
        <v/>
      </c>
      <c r="AC297" s="60" t="str">
        <f>IF($A297="","",IF(AC$6="NÃO",0,IF(A297=0,Tabela!$H$27,IF(MOD(A297,3)=0,Tabela!$H$27,0))))</f>
        <v/>
      </c>
      <c r="AD297" s="30" t="str">
        <f t="shared" si="58"/>
        <v/>
      </c>
      <c r="AE297" s="60" t="str">
        <f t="shared" si="58"/>
        <v/>
      </c>
      <c r="AF297" s="30" t="str">
        <f>IF($A297="","",IF(AF$6="NÃO",0,IF(AND(MONTH(ESTRUTURA!C297)=MONTH(ESTRUTURA!$F$3),A297&gt;0),Tabela!$H$30,0)))</f>
        <v/>
      </c>
      <c r="AG297" s="60" t="str">
        <f t="shared" si="58"/>
        <v/>
      </c>
      <c r="AH297" s="30" t="str">
        <f t="shared" si="58"/>
        <v/>
      </c>
      <c r="AI297" s="60" t="str">
        <f>IF($A297="","",IF(AI$6="NÃO",0,IF($A297=0,DATEDIF(ESTRUTURA!$F$3,ESTRUTURA!$F$4,"m")*Tabela!$H$33,Tabela!$H$33)))</f>
        <v/>
      </c>
      <c r="AJ297" s="30" t="str">
        <f t="shared" si="50"/>
        <v/>
      </c>
    </row>
    <row r="298" spans="1:36" x14ac:dyDescent="0.2">
      <c r="A298" s="66" t="str">
        <f>ESTRUTURA!A298</f>
        <v/>
      </c>
      <c r="B298" s="58">
        <f t="shared" si="56"/>
        <v>0</v>
      </c>
      <c r="C298" s="60" t="str">
        <f t="shared" si="59"/>
        <v/>
      </c>
      <c r="D298" s="30" t="str">
        <f t="shared" si="59"/>
        <v/>
      </c>
      <c r="E298" s="60" t="str">
        <f t="shared" si="59"/>
        <v/>
      </c>
      <c r="F298" s="30" t="str">
        <f>IF($A298="","",IF(F$6="NÃO",0,Tabela!$H$34*ESTRUTURA!$I$4))</f>
        <v/>
      </c>
      <c r="G298" s="60" t="str">
        <f t="shared" si="59"/>
        <v/>
      </c>
      <c r="H298" s="30" t="str">
        <f>IF($A298="","",IF(H$6="NÃO",0,IF($A298=0,DATEDIF(ESTRUTURA!$F$3,ESTRUTURA!$F$4,"m")*Tabela!$H$6,Tabela!$H$6)))</f>
        <v/>
      </c>
      <c r="I298" s="60" t="str">
        <f t="shared" si="59"/>
        <v/>
      </c>
      <c r="J298" s="30" t="str">
        <f>IF($A298="","",IF(J$6="NÃO",0,IF($A298=0,DATEDIF(ESTRUTURA!$F$3,ESTRUTURA!$F$4,"m")*Tabela!$H$8,IF(J$6="NÃO",0,Tabela!$H$8))))</f>
        <v/>
      </c>
      <c r="K298" s="60" t="str">
        <f t="shared" si="59"/>
        <v/>
      </c>
      <c r="L298" s="30" t="str">
        <f t="shared" si="59"/>
        <v/>
      </c>
      <c r="M298" s="60" t="str">
        <f t="shared" si="59"/>
        <v/>
      </c>
      <c r="N298" s="30" t="str">
        <f t="shared" si="59"/>
        <v/>
      </c>
      <c r="O298" s="60" t="str">
        <f t="shared" si="59"/>
        <v/>
      </c>
      <c r="P298" s="30" t="str">
        <f t="shared" si="57"/>
        <v/>
      </c>
      <c r="Q298" s="60" t="str">
        <f t="shared" si="59"/>
        <v/>
      </c>
      <c r="R298" s="30" t="str">
        <f t="shared" si="59"/>
        <v/>
      </c>
      <c r="S298" s="60" t="str">
        <f>IF($A298="","",IF(S$6="NÃO",0,IF($A298=0,DATEDIF(ESTRUTURA!$F$3,ESTRUTURA!$F$4,"m")*Tabela!$H$17,Tabela!$H$17)))</f>
        <v/>
      </c>
      <c r="T298" s="30" t="str">
        <f>IF($A298="","",IF(T$6="NÃO",0,IF($A298=0,DATEDIF(ESTRUTURA!$F$3,ESTRUTURA!$F$4,"m")*Tabela!$H$18,Tabela!$H$18)))</f>
        <v/>
      </c>
      <c r="U298" s="60" t="str">
        <f t="shared" si="58"/>
        <v/>
      </c>
      <c r="V298" s="30" t="str">
        <f>IF($A298="","",IF(V$6="NÃO",0,IF($A298=0,DATEDIF(ESTRUTURA!$F$3,ESTRUTURA!$F$4,"m")*Tabela!$H$20,Tabela!$H$20)))</f>
        <v/>
      </c>
      <c r="W298" s="60" t="str">
        <f t="shared" si="58"/>
        <v/>
      </c>
      <c r="X298" s="30" t="str">
        <f t="shared" si="58"/>
        <v/>
      </c>
      <c r="Y298" s="60" t="str">
        <f>IF($A298="","",IF(Y$6="NÃO",0,IF(A298=0,Tabela!$H$23,IF(Y$7="mensal",Tabela!$H$23,IF(AND(MONTH(ESTRUTURA!C298)=MONTH(ESTRUTURA!$F$3),A298&gt;0),Tabela!$H$23,0)))))</f>
        <v/>
      </c>
      <c r="Z298" s="30" t="str">
        <f t="shared" si="58"/>
        <v/>
      </c>
      <c r="AA298" s="60" t="str">
        <f>IF($A298="","",IF(AA$6="NÃO",0,Tabela!$H$25*nm_séries))</f>
        <v/>
      </c>
      <c r="AB298" s="30" t="str">
        <f t="shared" si="58"/>
        <v/>
      </c>
      <c r="AC298" s="60" t="str">
        <f>IF($A298="","",IF(AC$6="NÃO",0,IF(A298=0,Tabela!$H$27,IF(MOD(A298,3)=0,Tabela!$H$27,0))))</f>
        <v/>
      </c>
      <c r="AD298" s="30" t="str">
        <f t="shared" si="58"/>
        <v/>
      </c>
      <c r="AE298" s="60" t="str">
        <f t="shared" si="58"/>
        <v/>
      </c>
      <c r="AF298" s="30" t="str">
        <f>IF($A298="","",IF(AF$6="NÃO",0,IF(AND(MONTH(ESTRUTURA!C298)=MONTH(ESTRUTURA!$F$3),A298&gt;0),Tabela!$H$30,0)))</f>
        <v/>
      </c>
      <c r="AG298" s="60" t="str">
        <f t="shared" si="58"/>
        <v/>
      </c>
      <c r="AH298" s="30" t="str">
        <f t="shared" si="58"/>
        <v/>
      </c>
      <c r="AI298" s="60" t="str">
        <f>IF($A298="","",IF(AI$6="NÃO",0,IF($A298=0,DATEDIF(ESTRUTURA!$F$3,ESTRUTURA!$F$4,"m")*Tabela!$H$33,Tabela!$H$33)))</f>
        <v/>
      </c>
      <c r="AJ298" s="30" t="str">
        <f t="shared" si="50"/>
        <v/>
      </c>
    </row>
    <row r="299" spans="1:36" x14ac:dyDescent="0.2">
      <c r="A299" s="66" t="str">
        <f>ESTRUTURA!A299</f>
        <v/>
      </c>
      <c r="B299" s="58">
        <f t="shared" si="56"/>
        <v>0</v>
      </c>
      <c r="C299" s="60" t="str">
        <f t="shared" si="59"/>
        <v/>
      </c>
      <c r="D299" s="30" t="str">
        <f t="shared" si="59"/>
        <v/>
      </c>
      <c r="E299" s="60" t="str">
        <f t="shared" si="59"/>
        <v/>
      </c>
      <c r="F299" s="30" t="str">
        <f>IF($A299="","",IF(F$6="NÃO",0,Tabela!$H$34*ESTRUTURA!$I$4))</f>
        <v/>
      </c>
      <c r="G299" s="60" t="str">
        <f t="shared" si="59"/>
        <v/>
      </c>
      <c r="H299" s="30" t="str">
        <f>IF($A299="","",IF(H$6="NÃO",0,IF($A299=0,DATEDIF(ESTRUTURA!$F$3,ESTRUTURA!$F$4,"m")*Tabela!$H$6,Tabela!$H$6)))</f>
        <v/>
      </c>
      <c r="I299" s="60" t="str">
        <f t="shared" si="59"/>
        <v/>
      </c>
      <c r="J299" s="30" t="str">
        <f>IF($A299="","",IF(J$6="NÃO",0,IF($A299=0,DATEDIF(ESTRUTURA!$F$3,ESTRUTURA!$F$4,"m")*Tabela!$H$8,IF(J$6="NÃO",0,Tabela!$H$8))))</f>
        <v/>
      </c>
      <c r="K299" s="60" t="str">
        <f t="shared" si="59"/>
        <v/>
      </c>
      <c r="L299" s="30" t="str">
        <f t="shared" si="59"/>
        <v/>
      </c>
      <c r="M299" s="60" t="str">
        <f t="shared" si="59"/>
        <v/>
      </c>
      <c r="N299" s="30" t="str">
        <f t="shared" si="59"/>
        <v/>
      </c>
      <c r="O299" s="60" t="str">
        <f t="shared" si="59"/>
        <v/>
      </c>
      <c r="P299" s="30" t="str">
        <f t="shared" si="57"/>
        <v/>
      </c>
      <c r="Q299" s="60" t="str">
        <f t="shared" si="59"/>
        <v/>
      </c>
      <c r="R299" s="30" t="str">
        <f t="shared" si="59"/>
        <v/>
      </c>
      <c r="S299" s="60" t="str">
        <f>IF($A299="","",IF(S$6="NÃO",0,IF($A299=0,DATEDIF(ESTRUTURA!$F$3,ESTRUTURA!$F$4,"m")*Tabela!$H$17,Tabela!$H$17)))</f>
        <v/>
      </c>
      <c r="T299" s="30" t="str">
        <f>IF($A299="","",IF(T$6="NÃO",0,IF($A299=0,DATEDIF(ESTRUTURA!$F$3,ESTRUTURA!$F$4,"m")*Tabela!$H$18,Tabela!$H$18)))</f>
        <v/>
      </c>
      <c r="U299" s="60" t="str">
        <f t="shared" ref="U299:AH314" si="60">IF($A299="","",IF(U$6="NÃO",0,0))</f>
        <v/>
      </c>
      <c r="V299" s="30" t="str">
        <f>IF($A299="","",IF(V$6="NÃO",0,IF($A299=0,DATEDIF(ESTRUTURA!$F$3,ESTRUTURA!$F$4,"m")*Tabela!$H$20,Tabela!$H$20)))</f>
        <v/>
      </c>
      <c r="W299" s="60" t="str">
        <f t="shared" si="60"/>
        <v/>
      </c>
      <c r="X299" s="30" t="str">
        <f t="shared" si="60"/>
        <v/>
      </c>
      <c r="Y299" s="60" t="str">
        <f>IF($A299="","",IF(Y$6="NÃO",0,IF(A299=0,Tabela!$H$23,IF(Y$7="mensal",Tabela!$H$23,IF(AND(MONTH(ESTRUTURA!C299)=MONTH(ESTRUTURA!$F$3),A299&gt;0),Tabela!$H$23,0)))))</f>
        <v/>
      </c>
      <c r="Z299" s="30" t="str">
        <f t="shared" si="60"/>
        <v/>
      </c>
      <c r="AA299" s="60" t="str">
        <f>IF($A299="","",IF(AA$6="NÃO",0,Tabela!$H$25*nm_séries))</f>
        <v/>
      </c>
      <c r="AB299" s="30" t="str">
        <f t="shared" si="60"/>
        <v/>
      </c>
      <c r="AC299" s="60" t="str">
        <f>IF($A299="","",IF(AC$6="NÃO",0,IF(A299=0,Tabela!$H$27,IF(MOD(A299,3)=0,Tabela!$H$27,0))))</f>
        <v/>
      </c>
      <c r="AD299" s="30" t="str">
        <f t="shared" si="60"/>
        <v/>
      </c>
      <c r="AE299" s="60" t="str">
        <f t="shared" si="60"/>
        <v/>
      </c>
      <c r="AF299" s="30" t="str">
        <f>IF($A299="","",IF(AF$6="NÃO",0,IF(AND(MONTH(ESTRUTURA!C299)=MONTH(ESTRUTURA!$F$3),A299&gt;0),Tabela!$H$30,0)))</f>
        <v/>
      </c>
      <c r="AG299" s="60" t="str">
        <f t="shared" si="60"/>
        <v/>
      </c>
      <c r="AH299" s="30" t="str">
        <f t="shared" si="60"/>
        <v/>
      </c>
      <c r="AI299" s="60" t="str">
        <f>IF($A299="","",IF(AI$6="NÃO",0,IF($A299=0,DATEDIF(ESTRUTURA!$F$3,ESTRUTURA!$F$4,"m")*Tabela!$H$33,Tabela!$H$33)))</f>
        <v/>
      </c>
      <c r="AJ299" s="30" t="str">
        <f t="shared" si="50"/>
        <v/>
      </c>
    </row>
    <row r="300" spans="1:36" x14ac:dyDescent="0.2">
      <c r="A300" s="66" t="str">
        <f>ESTRUTURA!A300</f>
        <v/>
      </c>
      <c r="B300" s="58">
        <f t="shared" si="56"/>
        <v>0</v>
      </c>
      <c r="C300" s="60" t="str">
        <f t="shared" ref="C300:R315" si="61">IF($A300="","",IF(C$6="NÃO",0,0))</f>
        <v/>
      </c>
      <c r="D300" s="30" t="str">
        <f t="shared" si="61"/>
        <v/>
      </c>
      <c r="E300" s="60" t="str">
        <f t="shared" si="61"/>
        <v/>
      </c>
      <c r="F300" s="30" t="str">
        <f>IF($A300="","",IF(F$6="NÃO",0,Tabela!$H$34*ESTRUTURA!$I$4))</f>
        <v/>
      </c>
      <c r="G300" s="60" t="str">
        <f t="shared" si="61"/>
        <v/>
      </c>
      <c r="H300" s="30" t="str">
        <f>IF($A300="","",IF(H$6="NÃO",0,IF($A300=0,DATEDIF(ESTRUTURA!$F$3,ESTRUTURA!$F$4,"m")*Tabela!$H$6,Tabela!$H$6)))</f>
        <v/>
      </c>
      <c r="I300" s="60" t="str">
        <f t="shared" si="61"/>
        <v/>
      </c>
      <c r="J300" s="30" t="str">
        <f>IF($A300="","",IF(J$6="NÃO",0,IF($A300=0,DATEDIF(ESTRUTURA!$F$3,ESTRUTURA!$F$4,"m")*Tabela!$H$8,IF(J$6="NÃO",0,Tabela!$H$8))))</f>
        <v/>
      </c>
      <c r="K300" s="60" t="str">
        <f t="shared" si="61"/>
        <v/>
      </c>
      <c r="L300" s="30" t="str">
        <f t="shared" si="61"/>
        <v/>
      </c>
      <c r="M300" s="60" t="str">
        <f t="shared" si="61"/>
        <v/>
      </c>
      <c r="N300" s="30" t="str">
        <f t="shared" si="61"/>
        <v/>
      </c>
      <c r="O300" s="60" t="str">
        <f t="shared" si="61"/>
        <v/>
      </c>
      <c r="P300" s="30" t="str">
        <f t="shared" si="61"/>
        <v/>
      </c>
      <c r="Q300" s="60" t="str">
        <f t="shared" si="61"/>
        <v/>
      </c>
      <c r="R300" s="30" t="str">
        <f t="shared" si="61"/>
        <v/>
      </c>
      <c r="S300" s="60" t="str">
        <f>IF($A300="","",IF(S$6="NÃO",0,IF($A300=0,DATEDIF(ESTRUTURA!$F$3,ESTRUTURA!$F$4,"m")*Tabela!$H$17,Tabela!$H$17)))</f>
        <v/>
      </c>
      <c r="T300" s="30" t="str">
        <f>IF($A300="","",IF(T$6="NÃO",0,IF($A300=0,DATEDIF(ESTRUTURA!$F$3,ESTRUTURA!$F$4,"m")*Tabela!$H$18,Tabela!$H$18)))</f>
        <v/>
      </c>
      <c r="U300" s="60" t="str">
        <f t="shared" si="60"/>
        <v/>
      </c>
      <c r="V300" s="30" t="str">
        <f>IF($A300="","",IF(V$6="NÃO",0,IF($A300=0,DATEDIF(ESTRUTURA!$F$3,ESTRUTURA!$F$4,"m")*Tabela!$H$20,Tabela!$H$20)))</f>
        <v/>
      </c>
      <c r="W300" s="60" t="str">
        <f t="shared" si="60"/>
        <v/>
      </c>
      <c r="X300" s="30" t="str">
        <f t="shared" si="60"/>
        <v/>
      </c>
      <c r="Y300" s="60" t="str">
        <f>IF($A300="","",IF(Y$6="NÃO",0,IF(A300=0,Tabela!$H$23,IF(Y$7="mensal",Tabela!$H$23,IF(AND(MONTH(ESTRUTURA!C300)=MONTH(ESTRUTURA!$F$3),A300&gt;0),Tabela!$H$23,0)))))</f>
        <v/>
      </c>
      <c r="Z300" s="30" t="str">
        <f t="shared" si="60"/>
        <v/>
      </c>
      <c r="AA300" s="60" t="str">
        <f>IF($A300="","",IF(AA$6="NÃO",0,Tabela!$H$25*nm_séries))</f>
        <v/>
      </c>
      <c r="AB300" s="30" t="str">
        <f t="shared" si="60"/>
        <v/>
      </c>
      <c r="AC300" s="60" t="str">
        <f>IF($A300="","",IF(AC$6="NÃO",0,IF(A300=0,Tabela!$H$27,IF(MOD(A300,3)=0,Tabela!$H$27,0))))</f>
        <v/>
      </c>
      <c r="AD300" s="30" t="str">
        <f t="shared" si="60"/>
        <v/>
      </c>
      <c r="AE300" s="60" t="str">
        <f t="shared" si="60"/>
        <v/>
      </c>
      <c r="AF300" s="30" t="str">
        <f>IF($A300="","",IF(AF$6="NÃO",0,IF(AND(MONTH(ESTRUTURA!C300)=MONTH(ESTRUTURA!$F$3),A300&gt;0),Tabela!$H$30,0)))</f>
        <v/>
      </c>
      <c r="AG300" s="60" t="str">
        <f t="shared" si="60"/>
        <v/>
      </c>
      <c r="AH300" s="30" t="str">
        <f t="shared" si="60"/>
        <v/>
      </c>
      <c r="AI300" s="60" t="str">
        <f>IF($A300="","",IF(AI$6="NÃO",0,IF($A300=0,DATEDIF(ESTRUTURA!$F$3,ESTRUTURA!$F$4,"m")*Tabela!$H$33,Tabela!$H$33)))</f>
        <v/>
      </c>
      <c r="AJ300" s="30" t="str">
        <f t="shared" si="50"/>
        <v/>
      </c>
    </row>
    <row r="301" spans="1:36" x14ac:dyDescent="0.2">
      <c r="A301" s="66" t="str">
        <f>ESTRUTURA!A301</f>
        <v/>
      </c>
      <c r="B301" s="58">
        <f t="shared" si="56"/>
        <v>0</v>
      </c>
      <c r="C301" s="60" t="str">
        <f t="shared" si="61"/>
        <v/>
      </c>
      <c r="D301" s="30" t="str">
        <f t="shared" si="61"/>
        <v/>
      </c>
      <c r="E301" s="60" t="str">
        <f t="shared" si="61"/>
        <v/>
      </c>
      <c r="F301" s="30" t="str">
        <f>IF($A301="","",IF(F$6="NÃO",0,Tabela!$H$34*ESTRUTURA!$I$4))</f>
        <v/>
      </c>
      <c r="G301" s="60" t="str">
        <f t="shared" si="61"/>
        <v/>
      </c>
      <c r="H301" s="30" t="str">
        <f>IF($A301="","",IF(H$6="NÃO",0,IF($A301=0,DATEDIF(ESTRUTURA!$F$3,ESTRUTURA!$F$4,"m")*Tabela!$H$6,Tabela!$H$6)))</f>
        <v/>
      </c>
      <c r="I301" s="60" t="str">
        <f t="shared" si="61"/>
        <v/>
      </c>
      <c r="J301" s="30" t="str">
        <f>IF($A301="","",IF(J$6="NÃO",0,IF($A301=0,DATEDIF(ESTRUTURA!$F$3,ESTRUTURA!$F$4,"m")*Tabela!$H$8,IF(J$6="NÃO",0,Tabela!$H$8))))</f>
        <v/>
      </c>
      <c r="K301" s="60" t="str">
        <f t="shared" si="61"/>
        <v/>
      </c>
      <c r="L301" s="30" t="str">
        <f t="shared" si="61"/>
        <v/>
      </c>
      <c r="M301" s="60" t="str">
        <f t="shared" si="61"/>
        <v/>
      </c>
      <c r="N301" s="30" t="str">
        <f t="shared" si="61"/>
        <v/>
      </c>
      <c r="O301" s="60" t="str">
        <f t="shared" si="61"/>
        <v/>
      </c>
      <c r="P301" s="30" t="str">
        <f t="shared" si="61"/>
        <v/>
      </c>
      <c r="Q301" s="60" t="str">
        <f t="shared" si="61"/>
        <v/>
      </c>
      <c r="R301" s="30" t="str">
        <f t="shared" si="61"/>
        <v/>
      </c>
      <c r="S301" s="60" t="str">
        <f>IF($A301="","",IF(S$6="NÃO",0,IF($A301=0,DATEDIF(ESTRUTURA!$F$3,ESTRUTURA!$F$4,"m")*Tabela!$H$17,Tabela!$H$17)))</f>
        <v/>
      </c>
      <c r="T301" s="30" t="str">
        <f>IF($A301="","",IF(T$6="NÃO",0,IF($A301=0,DATEDIF(ESTRUTURA!$F$3,ESTRUTURA!$F$4,"m")*Tabela!$H$18,Tabela!$H$18)))</f>
        <v/>
      </c>
      <c r="U301" s="60" t="str">
        <f t="shared" si="60"/>
        <v/>
      </c>
      <c r="V301" s="30" t="str">
        <f>IF($A301="","",IF(V$6="NÃO",0,IF($A301=0,DATEDIF(ESTRUTURA!$F$3,ESTRUTURA!$F$4,"m")*Tabela!$H$20,Tabela!$H$20)))</f>
        <v/>
      </c>
      <c r="W301" s="60" t="str">
        <f t="shared" si="60"/>
        <v/>
      </c>
      <c r="X301" s="30" t="str">
        <f t="shared" si="60"/>
        <v/>
      </c>
      <c r="Y301" s="60" t="str">
        <f>IF($A301="","",IF(Y$6="NÃO",0,IF(A301=0,Tabela!$H$23,IF(Y$7="mensal",Tabela!$H$23,IF(AND(MONTH(ESTRUTURA!C301)=MONTH(ESTRUTURA!$F$3),A301&gt;0),Tabela!$H$23,0)))))</f>
        <v/>
      </c>
      <c r="Z301" s="30" t="str">
        <f t="shared" si="60"/>
        <v/>
      </c>
      <c r="AA301" s="60" t="str">
        <f>IF($A301="","",IF(AA$6="NÃO",0,Tabela!$H$25*nm_séries))</f>
        <v/>
      </c>
      <c r="AB301" s="30" t="str">
        <f t="shared" si="60"/>
        <v/>
      </c>
      <c r="AC301" s="60" t="str">
        <f>IF($A301="","",IF(AC$6="NÃO",0,IF(A301=0,Tabela!$H$27,IF(MOD(A301,3)=0,Tabela!$H$27,0))))</f>
        <v/>
      </c>
      <c r="AD301" s="30" t="str">
        <f t="shared" si="60"/>
        <v/>
      </c>
      <c r="AE301" s="60" t="str">
        <f t="shared" si="60"/>
        <v/>
      </c>
      <c r="AF301" s="30" t="str">
        <f>IF($A301="","",IF(AF$6="NÃO",0,IF(AND(MONTH(ESTRUTURA!C301)=MONTH(ESTRUTURA!$F$3),A301&gt;0),Tabela!$H$30,0)))</f>
        <v/>
      </c>
      <c r="AG301" s="60" t="str">
        <f t="shared" si="60"/>
        <v/>
      </c>
      <c r="AH301" s="30" t="str">
        <f t="shared" si="60"/>
        <v/>
      </c>
      <c r="AI301" s="60" t="str">
        <f>IF($A301="","",IF(AI$6="NÃO",0,IF($A301=0,DATEDIF(ESTRUTURA!$F$3,ESTRUTURA!$F$4,"m")*Tabela!$H$33,Tabela!$H$33)))</f>
        <v/>
      </c>
      <c r="AJ301" s="30" t="str">
        <f t="shared" si="50"/>
        <v/>
      </c>
    </row>
    <row r="302" spans="1:36" x14ac:dyDescent="0.2">
      <c r="A302" s="66" t="str">
        <f>ESTRUTURA!A302</f>
        <v/>
      </c>
      <c r="B302" s="58">
        <f t="shared" si="56"/>
        <v>0</v>
      </c>
      <c r="C302" s="60" t="str">
        <f t="shared" si="61"/>
        <v/>
      </c>
      <c r="D302" s="30" t="str">
        <f t="shared" si="61"/>
        <v/>
      </c>
      <c r="E302" s="60" t="str">
        <f t="shared" si="61"/>
        <v/>
      </c>
      <c r="F302" s="30" t="str">
        <f>IF($A302="","",IF(F$6="NÃO",0,Tabela!$H$34*ESTRUTURA!$I$4))</f>
        <v/>
      </c>
      <c r="G302" s="60" t="str">
        <f t="shared" si="61"/>
        <v/>
      </c>
      <c r="H302" s="30" t="str">
        <f>IF($A302="","",IF(H$6="NÃO",0,IF($A302=0,DATEDIF(ESTRUTURA!$F$3,ESTRUTURA!$F$4,"m")*Tabela!$H$6,Tabela!$H$6)))</f>
        <v/>
      </c>
      <c r="I302" s="60" t="str">
        <f t="shared" si="61"/>
        <v/>
      </c>
      <c r="J302" s="30" t="str">
        <f>IF($A302="","",IF(J$6="NÃO",0,IF($A302=0,DATEDIF(ESTRUTURA!$F$3,ESTRUTURA!$F$4,"m")*Tabela!$H$8,IF(J$6="NÃO",0,Tabela!$H$8))))</f>
        <v/>
      </c>
      <c r="K302" s="60" t="str">
        <f t="shared" si="61"/>
        <v/>
      </c>
      <c r="L302" s="30" t="str">
        <f t="shared" si="61"/>
        <v/>
      </c>
      <c r="M302" s="60" t="str">
        <f t="shared" si="61"/>
        <v/>
      </c>
      <c r="N302" s="30" t="str">
        <f t="shared" si="61"/>
        <v/>
      </c>
      <c r="O302" s="60" t="str">
        <f t="shared" si="61"/>
        <v/>
      </c>
      <c r="P302" s="30" t="str">
        <f t="shared" si="61"/>
        <v/>
      </c>
      <c r="Q302" s="60" t="str">
        <f t="shared" si="61"/>
        <v/>
      </c>
      <c r="R302" s="30" t="str">
        <f t="shared" si="61"/>
        <v/>
      </c>
      <c r="S302" s="60" t="str">
        <f>IF($A302="","",IF(S$6="NÃO",0,IF($A302=0,DATEDIF(ESTRUTURA!$F$3,ESTRUTURA!$F$4,"m")*Tabela!$H$17,Tabela!$H$17)))</f>
        <v/>
      </c>
      <c r="T302" s="30" t="str">
        <f>IF($A302="","",IF(T$6="NÃO",0,IF($A302=0,DATEDIF(ESTRUTURA!$F$3,ESTRUTURA!$F$4,"m")*Tabela!$H$18,Tabela!$H$18)))</f>
        <v/>
      </c>
      <c r="U302" s="60" t="str">
        <f t="shared" si="60"/>
        <v/>
      </c>
      <c r="V302" s="30" t="str">
        <f>IF($A302="","",IF(V$6="NÃO",0,IF($A302=0,DATEDIF(ESTRUTURA!$F$3,ESTRUTURA!$F$4,"m")*Tabela!$H$20,Tabela!$H$20)))</f>
        <v/>
      </c>
      <c r="W302" s="60" t="str">
        <f t="shared" si="60"/>
        <v/>
      </c>
      <c r="X302" s="30" t="str">
        <f t="shared" si="60"/>
        <v/>
      </c>
      <c r="Y302" s="60" t="str">
        <f>IF($A302="","",IF(Y$6="NÃO",0,IF(A302=0,Tabela!$H$23,IF(Y$7="mensal",Tabela!$H$23,IF(AND(MONTH(ESTRUTURA!C302)=MONTH(ESTRUTURA!$F$3),A302&gt;0),Tabela!$H$23,0)))))</f>
        <v/>
      </c>
      <c r="Z302" s="30" t="str">
        <f t="shared" si="60"/>
        <v/>
      </c>
      <c r="AA302" s="60" t="str">
        <f>IF($A302="","",IF(AA$6="NÃO",0,Tabela!$H$25*nm_séries))</f>
        <v/>
      </c>
      <c r="AB302" s="30" t="str">
        <f t="shared" si="60"/>
        <v/>
      </c>
      <c r="AC302" s="60" t="str">
        <f>IF($A302="","",IF(AC$6="NÃO",0,IF(A302=0,Tabela!$H$27,IF(MOD(A302,3)=0,Tabela!$H$27,0))))</f>
        <v/>
      </c>
      <c r="AD302" s="30" t="str">
        <f t="shared" si="60"/>
        <v/>
      </c>
      <c r="AE302" s="60" t="str">
        <f t="shared" si="60"/>
        <v/>
      </c>
      <c r="AF302" s="30" t="str">
        <f>IF($A302="","",IF(AF$6="NÃO",0,IF(AND(MONTH(ESTRUTURA!C302)=MONTH(ESTRUTURA!$F$3),A302&gt;0),Tabela!$H$30,0)))</f>
        <v/>
      </c>
      <c r="AG302" s="60" t="str">
        <f t="shared" si="60"/>
        <v/>
      </c>
      <c r="AH302" s="30" t="str">
        <f t="shared" si="60"/>
        <v/>
      </c>
      <c r="AI302" s="60" t="str">
        <f>IF($A302="","",IF(AI$6="NÃO",0,IF($A302=0,DATEDIF(ESTRUTURA!$F$3,ESTRUTURA!$F$4,"m")*Tabela!$H$33,Tabela!$H$33)))</f>
        <v/>
      </c>
      <c r="AJ302" s="30" t="str">
        <f t="shared" si="50"/>
        <v/>
      </c>
    </row>
    <row r="303" spans="1:36" x14ac:dyDescent="0.2">
      <c r="A303" s="66" t="str">
        <f>ESTRUTURA!A303</f>
        <v/>
      </c>
      <c r="B303" s="58">
        <f t="shared" si="56"/>
        <v>0</v>
      </c>
      <c r="C303" s="60" t="str">
        <f t="shared" si="61"/>
        <v/>
      </c>
      <c r="D303" s="30" t="str">
        <f t="shared" si="61"/>
        <v/>
      </c>
      <c r="E303" s="60" t="str">
        <f t="shared" si="61"/>
        <v/>
      </c>
      <c r="F303" s="30" t="str">
        <f>IF($A303="","",IF(F$6="NÃO",0,Tabela!$H$34*ESTRUTURA!$I$4))</f>
        <v/>
      </c>
      <c r="G303" s="60" t="str">
        <f t="shared" si="61"/>
        <v/>
      </c>
      <c r="H303" s="30" t="str">
        <f>IF($A303="","",IF(H$6="NÃO",0,IF($A303=0,DATEDIF(ESTRUTURA!$F$3,ESTRUTURA!$F$4,"m")*Tabela!$H$6,Tabela!$H$6)))</f>
        <v/>
      </c>
      <c r="I303" s="60" t="str">
        <f t="shared" si="61"/>
        <v/>
      </c>
      <c r="J303" s="30" t="str">
        <f>IF($A303="","",IF(J$6="NÃO",0,IF($A303=0,DATEDIF(ESTRUTURA!$F$3,ESTRUTURA!$F$4,"m")*Tabela!$H$8,IF(J$6="NÃO",0,Tabela!$H$8))))</f>
        <v/>
      </c>
      <c r="K303" s="60" t="str">
        <f t="shared" si="61"/>
        <v/>
      </c>
      <c r="L303" s="30" t="str">
        <f t="shared" si="61"/>
        <v/>
      </c>
      <c r="M303" s="60" t="str">
        <f t="shared" si="61"/>
        <v/>
      </c>
      <c r="N303" s="30" t="str">
        <f t="shared" si="61"/>
        <v/>
      </c>
      <c r="O303" s="60" t="str">
        <f t="shared" si="61"/>
        <v/>
      </c>
      <c r="P303" s="30" t="str">
        <f t="shared" si="61"/>
        <v/>
      </c>
      <c r="Q303" s="60" t="str">
        <f t="shared" si="61"/>
        <v/>
      </c>
      <c r="R303" s="30" t="str">
        <f t="shared" si="61"/>
        <v/>
      </c>
      <c r="S303" s="60" t="str">
        <f>IF($A303="","",IF(S$6="NÃO",0,IF($A303=0,DATEDIF(ESTRUTURA!$F$3,ESTRUTURA!$F$4,"m")*Tabela!$H$17,Tabela!$H$17)))</f>
        <v/>
      </c>
      <c r="T303" s="30" t="str">
        <f>IF($A303="","",IF(T$6="NÃO",0,IF($A303=0,DATEDIF(ESTRUTURA!$F$3,ESTRUTURA!$F$4,"m")*Tabela!$H$18,Tabela!$H$18)))</f>
        <v/>
      </c>
      <c r="U303" s="60" t="str">
        <f t="shared" si="60"/>
        <v/>
      </c>
      <c r="V303" s="30" t="str">
        <f>IF($A303="","",IF(V$6="NÃO",0,IF($A303=0,DATEDIF(ESTRUTURA!$F$3,ESTRUTURA!$F$4,"m")*Tabela!$H$20,Tabela!$H$20)))</f>
        <v/>
      </c>
      <c r="W303" s="60" t="str">
        <f t="shared" si="60"/>
        <v/>
      </c>
      <c r="X303" s="30" t="str">
        <f t="shared" si="60"/>
        <v/>
      </c>
      <c r="Y303" s="60" t="str">
        <f>IF($A303="","",IF(Y$6="NÃO",0,IF(A303=0,Tabela!$H$23,IF(Y$7="mensal",Tabela!$H$23,IF(AND(MONTH(ESTRUTURA!C303)=MONTH(ESTRUTURA!$F$3),A303&gt;0),Tabela!$H$23,0)))))</f>
        <v/>
      </c>
      <c r="Z303" s="30" t="str">
        <f t="shared" si="60"/>
        <v/>
      </c>
      <c r="AA303" s="60" t="str">
        <f>IF($A303="","",IF(AA$6="NÃO",0,Tabela!$H$25*nm_séries))</f>
        <v/>
      </c>
      <c r="AB303" s="30" t="str">
        <f t="shared" si="60"/>
        <v/>
      </c>
      <c r="AC303" s="60" t="str">
        <f>IF($A303="","",IF(AC$6="NÃO",0,IF(A303=0,Tabela!$H$27,IF(MOD(A303,3)=0,Tabela!$H$27,0))))</f>
        <v/>
      </c>
      <c r="AD303" s="30" t="str">
        <f t="shared" si="60"/>
        <v/>
      </c>
      <c r="AE303" s="60" t="str">
        <f t="shared" si="60"/>
        <v/>
      </c>
      <c r="AF303" s="30" t="str">
        <f>IF($A303="","",IF(AF$6="NÃO",0,IF(AND(MONTH(ESTRUTURA!C303)=MONTH(ESTRUTURA!$F$3),A303&gt;0),Tabela!$H$30,0)))</f>
        <v/>
      </c>
      <c r="AG303" s="60" t="str">
        <f t="shared" si="60"/>
        <v/>
      </c>
      <c r="AH303" s="30" t="str">
        <f t="shared" si="60"/>
        <v/>
      </c>
      <c r="AI303" s="60" t="str">
        <f>IF($A303="","",IF(AI$6="NÃO",0,IF($A303=0,DATEDIF(ESTRUTURA!$F$3,ESTRUTURA!$F$4,"m")*Tabela!$H$33,Tabela!$H$33)))</f>
        <v/>
      </c>
      <c r="AJ303" s="30" t="str">
        <f t="shared" si="50"/>
        <v/>
      </c>
    </row>
    <row r="304" spans="1:36" x14ac:dyDescent="0.2">
      <c r="A304" s="66" t="str">
        <f>ESTRUTURA!A304</f>
        <v/>
      </c>
      <c r="B304" s="58">
        <f t="shared" si="56"/>
        <v>0</v>
      </c>
      <c r="C304" s="60" t="str">
        <f t="shared" si="61"/>
        <v/>
      </c>
      <c r="D304" s="30" t="str">
        <f t="shared" si="61"/>
        <v/>
      </c>
      <c r="E304" s="60" t="str">
        <f t="shared" si="61"/>
        <v/>
      </c>
      <c r="F304" s="30" t="str">
        <f>IF($A304="","",IF(F$6="NÃO",0,Tabela!$H$34*ESTRUTURA!$I$4))</f>
        <v/>
      </c>
      <c r="G304" s="60" t="str">
        <f t="shared" si="61"/>
        <v/>
      </c>
      <c r="H304" s="30" t="str">
        <f>IF($A304="","",IF(H$6="NÃO",0,IF($A304=0,DATEDIF(ESTRUTURA!$F$3,ESTRUTURA!$F$4,"m")*Tabela!$H$6,Tabela!$H$6)))</f>
        <v/>
      </c>
      <c r="I304" s="60" t="str">
        <f t="shared" si="61"/>
        <v/>
      </c>
      <c r="J304" s="30" t="str">
        <f>IF($A304="","",IF(J$6="NÃO",0,IF($A304=0,DATEDIF(ESTRUTURA!$F$3,ESTRUTURA!$F$4,"m")*Tabela!$H$8,IF(J$6="NÃO",0,Tabela!$H$8))))</f>
        <v/>
      </c>
      <c r="K304" s="60" t="str">
        <f t="shared" si="61"/>
        <v/>
      </c>
      <c r="L304" s="30" t="str">
        <f t="shared" si="61"/>
        <v/>
      </c>
      <c r="M304" s="60" t="str">
        <f t="shared" si="61"/>
        <v/>
      </c>
      <c r="N304" s="30" t="str">
        <f t="shared" si="61"/>
        <v/>
      </c>
      <c r="O304" s="60" t="str">
        <f t="shared" si="61"/>
        <v/>
      </c>
      <c r="P304" s="30" t="str">
        <f t="shared" si="61"/>
        <v/>
      </c>
      <c r="Q304" s="60" t="str">
        <f t="shared" si="61"/>
        <v/>
      </c>
      <c r="R304" s="30" t="str">
        <f t="shared" si="61"/>
        <v/>
      </c>
      <c r="S304" s="60" t="str">
        <f>IF($A304="","",IF(S$6="NÃO",0,IF($A304=0,DATEDIF(ESTRUTURA!$F$3,ESTRUTURA!$F$4,"m")*Tabela!$H$17,Tabela!$H$17)))</f>
        <v/>
      </c>
      <c r="T304" s="30" t="str">
        <f>IF($A304="","",IF(T$6="NÃO",0,IF($A304=0,DATEDIF(ESTRUTURA!$F$3,ESTRUTURA!$F$4,"m")*Tabela!$H$18,Tabela!$H$18)))</f>
        <v/>
      </c>
      <c r="U304" s="60" t="str">
        <f t="shared" si="60"/>
        <v/>
      </c>
      <c r="V304" s="30" t="str">
        <f>IF($A304="","",IF(V$6="NÃO",0,IF($A304=0,DATEDIF(ESTRUTURA!$F$3,ESTRUTURA!$F$4,"m")*Tabela!$H$20,Tabela!$H$20)))</f>
        <v/>
      </c>
      <c r="W304" s="60" t="str">
        <f t="shared" si="60"/>
        <v/>
      </c>
      <c r="X304" s="30" t="str">
        <f t="shared" si="60"/>
        <v/>
      </c>
      <c r="Y304" s="60" t="str">
        <f>IF($A304="","",IF(Y$6="NÃO",0,IF(A304=0,Tabela!$H$23,IF(Y$7="mensal",Tabela!$H$23,IF(AND(MONTH(ESTRUTURA!C304)=MONTH(ESTRUTURA!$F$3),A304&gt;0),Tabela!$H$23,0)))))</f>
        <v/>
      </c>
      <c r="Z304" s="30" t="str">
        <f t="shared" si="60"/>
        <v/>
      </c>
      <c r="AA304" s="60" t="str">
        <f>IF($A304="","",IF(AA$6="NÃO",0,Tabela!$H$25*nm_séries))</f>
        <v/>
      </c>
      <c r="AB304" s="30" t="str">
        <f t="shared" si="60"/>
        <v/>
      </c>
      <c r="AC304" s="60" t="str">
        <f>IF($A304="","",IF(AC$6="NÃO",0,IF(A304=0,Tabela!$H$27,IF(MOD(A304,3)=0,Tabela!$H$27,0))))</f>
        <v/>
      </c>
      <c r="AD304" s="30" t="str">
        <f t="shared" si="60"/>
        <v/>
      </c>
      <c r="AE304" s="60" t="str">
        <f t="shared" si="60"/>
        <v/>
      </c>
      <c r="AF304" s="30" t="str">
        <f>IF($A304="","",IF(AF$6="NÃO",0,IF(AND(MONTH(ESTRUTURA!C304)=MONTH(ESTRUTURA!$F$3),A304&gt;0),Tabela!$H$30,0)))</f>
        <v/>
      </c>
      <c r="AG304" s="60" t="str">
        <f t="shared" si="60"/>
        <v/>
      </c>
      <c r="AH304" s="30" t="str">
        <f t="shared" si="60"/>
        <v/>
      </c>
      <c r="AI304" s="60" t="str">
        <f>IF($A304="","",IF(AI$6="NÃO",0,IF($A304=0,DATEDIF(ESTRUTURA!$F$3,ESTRUTURA!$F$4,"m")*Tabela!$H$33,Tabela!$H$33)))</f>
        <v/>
      </c>
      <c r="AJ304" s="30" t="str">
        <f t="shared" si="50"/>
        <v/>
      </c>
    </row>
    <row r="305" spans="1:36" x14ac:dyDescent="0.2">
      <c r="A305" s="66" t="str">
        <f>ESTRUTURA!A305</f>
        <v/>
      </c>
      <c r="B305" s="58">
        <f t="shared" si="56"/>
        <v>0</v>
      </c>
      <c r="C305" s="60" t="str">
        <f t="shared" si="61"/>
        <v/>
      </c>
      <c r="D305" s="30" t="str">
        <f t="shared" si="61"/>
        <v/>
      </c>
      <c r="E305" s="60" t="str">
        <f t="shared" si="61"/>
        <v/>
      </c>
      <c r="F305" s="30" t="str">
        <f>IF($A305="","",IF(F$6="NÃO",0,Tabela!$H$34*ESTRUTURA!$I$4))</f>
        <v/>
      </c>
      <c r="G305" s="60" t="str">
        <f t="shared" si="61"/>
        <v/>
      </c>
      <c r="H305" s="30" t="str">
        <f>IF($A305="","",IF(H$6="NÃO",0,IF($A305=0,DATEDIF(ESTRUTURA!$F$3,ESTRUTURA!$F$4,"m")*Tabela!$H$6,Tabela!$H$6)))</f>
        <v/>
      </c>
      <c r="I305" s="60" t="str">
        <f t="shared" si="61"/>
        <v/>
      </c>
      <c r="J305" s="30" t="str">
        <f>IF($A305="","",IF(J$6="NÃO",0,IF($A305=0,DATEDIF(ESTRUTURA!$F$3,ESTRUTURA!$F$4,"m")*Tabela!$H$8,IF(J$6="NÃO",0,Tabela!$H$8))))</f>
        <v/>
      </c>
      <c r="K305" s="60" t="str">
        <f t="shared" si="61"/>
        <v/>
      </c>
      <c r="L305" s="30" t="str">
        <f t="shared" si="61"/>
        <v/>
      </c>
      <c r="M305" s="60" t="str">
        <f t="shared" si="61"/>
        <v/>
      </c>
      <c r="N305" s="30" t="str">
        <f t="shared" si="61"/>
        <v/>
      </c>
      <c r="O305" s="60" t="str">
        <f t="shared" si="61"/>
        <v/>
      </c>
      <c r="P305" s="30" t="str">
        <f t="shared" si="61"/>
        <v/>
      </c>
      <c r="Q305" s="60" t="str">
        <f t="shared" si="61"/>
        <v/>
      </c>
      <c r="R305" s="30" t="str">
        <f t="shared" si="61"/>
        <v/>
      </c>
      <c r="S305" s="60" t="str">
        <f>IF($A305="","",IF(S$6="NÃO",0,IF($A305=0,DATEDIF(ESTRUTURA!$F$3,ESTRUTURA!$F$4,"m")*Tabela!$H$17,Tabela!$H$17)))</f>
        <v/>
      </c>
      <c r="T305" s="30" t="str">
        <f>IF($A305="","",IF(T$6="NÃO",0,IF($A305=0,DATEDIF(ESTRUTURA!$F$3,ESTRUTURA!$F$4,"m")*Tabela!$H$18,Tabela!$H$18)))</f>
        <v/>
      </c>
      <c r="U305" s="60" t="str">
        <f t="shared" si="60"/>
        <v/>
      </c>
      <c r="V305" s="30" t="str">
        <f>IF($A305="","",IF(V$6="NÃO",0,IF($A305=0,DATEDIF(ESTRUTURA!$F$3,ESTRUTURA!$F$4,"m")*Tabela!$H$20,Tabela!$H$20)))</f>
        <v/>
      </c>
      <c r="W305" s="60" t="str">
        <f t="shared" si="60"/>
        <v/>
      </c>
      <c r="X305" s="30" t="str">
        <f t="shared" si="60"/>
        <v/>
      </c>
      <c r="Y305" s="60" t="str">
        <f>IF($A305="","",IF(Y$6="NÃO",0,IF(A305=0,Tabela!$H$23,IF(Y$7="mensal",Tabela!$H$23,IF(AND(MONTH(ESTRUTURA!C305)=MONTH(ESTRUTURA!$F$3),A305&gt;0),Tabela!$H$23,0)))))</f>
        <v/>
      </c>
      <c r="Z305" s="30" t="str">
        <f t="shared" si="60"/>
        <v/>
      </c>
      <c r="AA305" s="60" t="str">
        <f>IF($A305="","",IF(AA$6="NÃO",0,Tabela!$H$25*nm_séries))</f>
        <v/>
      </c>
      <c r="AB305" s="30" t="str">
        <f t="shared" si="60"/>
        <v/>
      </c>
      <c r="AC305" s="60" t="str">
        <f>IF($A305="","",IF(AC$6="NÃO",0,IF(A305=0,Tabela!$H$27,IF(MOD(A305,3)=0,Tabela!$H$27,0))))</f>
        <v/>
      </c>
      <c r="AD305" s="30" t="str">
        <f t="shared" si="60"/>
        <v/>
      </c>
      <c r="AE305" s="60" t="str">
        <f t="shared" si="60"/>
        <v/>
      </c>
      <c r="AF305" s="30" t="str">
        <f>IF($A305="","",IF(AF$6="NÃO",0,IF(AND(MONTH(ESTRUTURA!C305)=MONTH(ESTRUTURA!$F$3),A305&gt;0),Tabela!$H$30,0)))</f>
        <v/>
      </c>
      <c r="AG305" s="60" t="str">
        <f t="shared" si="60"/>
        <v/>
      </c>
      <c r="AH305" s="30" t="str">
        <f t="shared" si="60"/>
        <v/>
      </c>
      <c r="AI305" s="60" t="str">
        <f>IF($A305="","",IF(AI$6="NÃO",0,IF($A305=0,DATEDIF(ESTRUTURA!$F$3,ESTRUTURA!$F$4,"m")*Tabela!$H$33,Tabela!$H$33)))</f>
        <v/>
      </c>
      <c r="AJ305" s="30" t="str">
        <f t="shared" si="50"/>
        <v/>
      </c>
    </row>
    <row r="306" spans="1:36" x14ac:dyDescent="0.2">
      <c r="A306" s="66" t="str">
        <f>ESTRUTURA!A306</f>
        <v/>
      </c>
      <c r="B306" s="58">
        <f t="shared" si="56"/>
        <v>0</v>
      </c>
      <c r="C306" s="60" t="str">
        <f t="shared" si="61"/>
        <v/>
      </c>
      <c r="D306" s="30" t="str">
        <f t="shared" si="61"/>
        <v/>
      </c>
      <c r="E306" s="60" t="str">
        <f t="shared" si="61"/>
        <v/>
      </c>
      <c r="F306" s="30" t="str">
        <f>IF($A306="","",IF(F$6="NÃO",0,Tabela!$H$34*ESTRUTURA!$I$4))</f>
        <v/>
      </c>
      <c r="G306" s="60" t="str">
        <f t="shared" si="61"/>
        <v/>
      </c>
      <c r="H306" s="30" t="str">
        <f>IF($A306="","",IF(H$6="NÃO",0,IF($A306=0,DATEDIF(ESTRUTURA!$F$3,ESTRUTURA!$F$4,"m")*Tabela!$H$6,Tabela!$H$6)))</f>
        <v/>
      </c>
      <c r="I306" s="60" t="str">
        <f t="shared" si="61"/>
        <v/>
      </c>
      <c r="J306" s="30" t="str">
        <f>IF($A306="","",IF(J$6="NÃO",0,IF($A306=0,DATEDIF(ESTRUTURA!$F$3,ESTRUTURA!$F$4,"m")*Tabela!$H$8,IF(J$6="NÃO",0,Tabela!$H$8))))</f>
        <v/>
      </c>
      <c r="K306" s="60" t="str">
        <f t="shared" si="61"/>
        <v/>
      </c>
      <c r="L306" s="30" t="str">
        <f t="shared" si="61"/>
        <v/>
      </c>
      <c r="M306" s="60" t="str">
        <f t="shared" si="61"/>
        <v/>
      </c>
      <c r="N306" s="30" t="str">
        <f t="shared" si="61"/>
        <v/>
      </c>
      <c r="O306" s="60" t="str">
        <f t="shared" si="61"/>
        <v/>
      </c>
      <c r="P306" s="30" t="str">
        <f t="shared" si="61"/>
        <v/>
      </c>
      <c r="Q306" s="60" t="str">
        <f t="shared" si="61"/>
        <v/>
      </c>
      <c r="R306" s="30" t="str">
        <f t="shared" si="61"/>
        <v/>
      </c>
      <c r="S306" s="60" t="str">
        <f>IF($A306="","",IF(S$6="NÃO",0,IF($A306=0,DATEDIF(ESTRUTURA!$F$3,ESTRUTURA!$F$4,"m")*Tabela!$H$17,Tabela!$H$17)))</f>
        <v/>
      </c>
      <c r="T306" s="30" t="str">
        <f>IF($A306="","",IF(T$6="NÃO",0,IF($A306=0,DATEDIF(ESTRUTURA!$F$3,ESTRUTURA!$F$4,"m")*Tabela!$H$18,Tabela!$H$18)))</f>
        <v/>
      </c>
      <c r="U306" s="60" t="str">
        <f t="shared" si="60"/>
        <v/>
      </c>
      <c r="V306" s="30" t="str">
        <f>IF($A306="","",IF(V$6="NÃO",0,IF($A306=0,DATEDIF(ESTRUTURA!$F$3,ESTRUTURA!$F$4,"m")*Tabela!$H$20,Tabela!$H$20)))</f>
        <v/>
      </c>
      <c r="W306" s="60" t="str">
        <f t="shared" si="60"/>
        <v/>
      </c>
      <c r="X306" s="30" t="str">
        <f t="shared" si="60"/>
        <v/>
      </c>
      <c r="Y306" s="60" t="str">
        <f>IF($A306="","",IF(Y$6="NÃO",0,IF(A306=0,Tabela!$H$23,IF(Y$7="mensal",Tabela!$H$23,IF(AND(MONTH(ESTRUTURA!C306)=MONTH(ESTRUTURA!$F$3),A306&gt;0),Tabela!$H$23,0)))))</f>
        <v/>
      </c>
      <c r="Z306" s="30" t="str">
        <f t="shared" si="60"/>
        <v/>
      </c>
      <c r="AA306" s="60" t="str">
        <f>IF($A306="","",IF(AA$6="NÃO",0,Tabela!$H$25*nm_séries))</f>
        <v/>
      </c>
      <c r="AB306" s="30" t="str">
        <f t="shared" si="60"/>
        <v/>
      </c>
      <c r="AC306" s="60" t="str">
        <f>IF($A306="","",IF(AC$6="NÃO",0,IF(A306=0,Tabela!$H$27,IF(MOD(A306,3)=0,Tabela!$H$27,0))))</f>
        <v/>
      </c>
      <c r="AD306" s="30" t="str">
        <f t="shared" si="60"/>
        <v/>
      </c>
      <c r="AE306" s="60" t="str">
        <f t="shared" si="60"/>
        <v/>
      </c>
      <c r="AF306" s="30" t="str">
        <f>IF($A306="","",IF(AF$6="NÃO",0,IF(AND(MONTH(ESTRUTURA!C306)=MONTH(ESTRUTURA!$F$3),A306&gt;0),Tabela!$H$30,0)))</f>
        <v/>
      </c>
      <c r="AG306" s="60" t="str">
        <f t="shared" si="60"/>
        <v/>
      </c>
      <c r="AH306" s="30" t="str">
        <f t="shared" si="60"/>
        <v/>
      </c>
      <c r="AI306" s="60" t="str">
        <f>IF($A306="","",IF(AI$6="NÃO",0,IF($A306=0,DATEDIF(ESTRUTURA!$F$3,ESTRUTURA!$F$4,"m")*Tabela!$H$33,Tabela!$H$33)))</f>
        <v/>
      </c>
      <c r="AJ306" s="30" t="str">
        <f t="shared" si="50"/>
        <v/>
      </c>
    </row>
    <row r="307" spans="1:36" x14ac:dyDescent="0.2">
      <c r="A307" s="66" t="str">
        <f>ESTRUTURA!A307</f>
        <v/>
      </c>
      <c r="B307" s="58">
        <f t="shared" si="56"/>
        <v>0</v>
      </c>
      <c r="C307" s="60" t="str">
        <f t="shared" si="61"/>
        <v/>
      </c>
      <c r="D307" s="30" t="str">
        <f t="shared" si="61"/>
        <v/>
      </c>
      <c r="E307" s="60" t="str">
        <f t="shared" si="61"/>
        <v/>
      </c>
      <c r="F307" s="30" t="str">
        <f>IF($A307="","",IF(F$6="NÃO",0,Tabela!$H$34*ESTRUTURA!$I$4))</f>
        <v/>
      </c>
      <c r="G307" s="60" t="str">
        <f t="shared" si="61"/>
        <v/>
      </c>
      <c r="H307" s="30" t="str">
        <f>IF($A307="","",IF(H$6="NÃO",0,IF($A307=0,DATEDIF(ESTRUTURA!$F$3,ESTRUTURA!$F$4,"m")*Tabela!$H$6,Tabela!$H$6)))</f>
        <v/>
      </c>
      <c r="I307" s="60" t="str">
        <f t="shared" si="61"/>
        <v/>
      </c>
      <c r="J307" s="30" t="str">
        <f>IF($A307="","",IF(J$6="NÃO",0,IF($A307=0,DATEDIF(ESTRUTURA!$F$3,ESTRUTURA!$F$4,"m")*Tabela!$H$8,IF(J$6="NÃO",0,Tabela!$H$8))))</f>
        <v/>
      </c>
      <c r="K307" s="60" t="str">
        <f t="shared" si="61"/>
        <v/>
      </c>
      <c r="L307" s="30" t="str">
        <f t="shared" si="61"/>
        <v/>
      </c>
      <c r="M307" s="60" t="str">
        <f t="shared" si="61"/>
        <v/>
      </c>
      <c r="N307" s="30" t="str">
        <f t="shared" si="61"/>
        <v/>
      </c>
      <c r="O307" s="60" t="str">
        <f t="shared" si="61"/>
        <v/>
      </c>
      <c r="P307" s="30" t="str">
        <f t="shared" si="61"/>
        <v/>
      </c>
      <c r="Q307" s="60" t="str">
        <f t="shared" si="61"/>
        <v/>
      </c>
      <c r="R307" s="30" t="str">
        <f t="shared" si="61"/>
        <v/>
      </c>
      <c r="S307" s="60" t="str">
        <f>IF($A307="","",IF(S$6="NÃO",0,IF($A307=0,DATEDIF(ESTRUTURA!$F$3,ESTRUTURA!$F$4,"m")*Tabela!$H$17,Tabela!$H$17)))</f>
        <v/>
      </c>
      <c r="T307" s="30" t="str">
        <f>IF($A307="","",IF(T$6="NÃO",0,IF($A307=0,DATEDIF(ESTRUTURA!$F$3,ESTRUTURA!$F$4,"m")*Tabela!$H$18,Tabela!$H$18)))</f>
        <v/>
      </c>
      <c r="U307" s="60" t="str">
        <f t="shared" si="60"/>
        <v/>
      </c>
      <c r="V307" s="30" t="str">
        <f>IF($A307="","",IF(V$6="NÃO",0,IF($A307=0,DATEDIF(ESTRUTURA!$F$3,ESTRUTURA!$F$4,"m")*Tabela!$H$20,Tabela!$H$20)))</f>
        <v/>
      </c>
      <c r="W307" s="60" t="str">
        <f t="shared" si="60"/>
        <v/>
      </c>
      <c r="X307" s="30" t="str">
        <f t="shared" si="60"/>
        <v/>
      </c>
      <c r="Y307" s="60" t="str">
        <f>IF($A307="","",IF(Y$6="NÃO",0,IF(A307=0,Tabela!$H$23,IF(Y$7="mensal",Tabela!$H$23,IF(AND(MONTH(ESTRUTURA!C307)=MONTH(ESTRUTURA!$F$3),A307&gt;0),Tabela!$H$23,0)))))</f>
        <v/>
      </c>
      <c r="Z307" s="30" t="str">
        <f t="shared" si="60"/>
        <v/>
      </c>
      <c r="AA307" s="60" t="str">
        <f>IF($A307="","",IF(AA$6="NÃO",0,Tabela!$H$25*nm_séries))</f>
        <v/>
      </c>
      <c r="AB307" s="30" t="str">
        <f t="shared" si="60"/>
        <v/>
      </c>
      <c r="AC307" s="60" t="str">
        <f>IF($A307="","",IF(AC$6="NÃO",0,IF(A307=0,Tabela!$H$27,IF(MOD(A307,3)=0,Tabela!$H$27,0))))</f>
        <v/>
      </c>
      <c r="AD307" s="30" t="str">
        <f t="shared" si="60"/>
        <v/>
      </c>
      <c r="AE307" s="60" t="str">
        <f t="shared" si="60"/>
        <v/>
      </c>
      <c r="AF307" s="30" t="str">
        <f>IF($A307="","",IF(AF$6="NÃO",0,IF(AND(MONTH(ESTRUTURA!C307)=MONTH(ESTRUTURA!$F$3),A307&gt;0),Tabela!$H$30,0)))</f>
        <v/>
      </c>
      <c r="AG307" s="60" t="str">
        <f t="shared" si="60"/>
        <v/>
      </c>
      <c r="AH307" s="30" t="str">
        <f t="shared" si="60"/>
        <v/>
      </c>
      <c r="AI307" s="60" t="str">
        <f>IF($A307="","",IF(AI$6="NÃO",0,IF($A307=0,DATEDIF(ESTRUTURA!$F$3,ESTRUTURA!$F$4,"m")*Tabela!$H$33,Tabela!$H$33)))</f>
        <v/>
      </c>
      <c r="AJ307" s="30" t="str">
        <f t="shared" si="50"/>
        <v/>
      </c>
    </row>
    <row r="308" spans="1:36" x14ac:dyDescent="0.2">
      <c r="A308" s="66" t="str">
        <f>ESTRUTURA!A308</f>
        <v/>
      </c>
      <c r="B308" s="58">
        <f t="shared" si="56"/>
        <v>0</v>
      </c>
      <c r="C308" s="60" t="str">
        <f t="shared" si="61"/>
        <v/>
      </c>
      <c r="D308" s="30" t="str">
        <f t="shared" si="61"/>
        <v/>
      </c>
      <c r="E308" s="60" t="str">
        <f t="shared" si="61"/>
        <v/>
      </c>
      <c r="F308" s="30" t="str">
        <f>IF($A308="","",IF(F$6="NÃO",0,Tabela!$H$34*ESTRUTURA!$I$4))</f>
        <v/>
      </c>
      <c r="G308" s="60" t="str">
        <f t="shared" si="61"/>
        <v/>
      </c>
      <c r="H308" s="30" t="str">
        <f>IF($A308="","",IF(H$6="NÃO",0,IF($A308=0,DATEDIF(ESTRUTURA!$F$3,ESTRUTURA!$F$4,"m")*Tabela!$H$6,Tabela!$H$6)))</f>
        <v/>
      </c>
      <c r="I308" s="60" t="str">
        <f t="shared" si="61"/>
        <v/>
      </c>
      <c r="J308" s="30" t="str">
        <f>IF($A308="","",IF(J$6="NÃO",0,IF($A308=0,DATEDIF(ESTRUTURA!$F$3,ESTRUTURA!$F$4,"m")*Tabela!$H$8,IF(J$6="NÃO",0,Tabela!$H$8))))</f>
        <v/>
      </c>
      <c r="K308" s="60" t="str">
        <f t="shared" si="61"/>
        <v/>
      </c>
      <c r="L308" s="30" t="str">
        <f t="shared" si="61"/>
        <v/>
      </c>
      <c r="M308" s="60" t="str">
        <f t="shared" si="61"/>
        <v/>
      </c>
      <c r="N308" s="30" t="str">
        <f t="shared" si="61"/>
        <v/>
      </c>
      <c r="O308" s="60" t="str">
        <f t="shared" si="61"/>
        <v/>
      </c>
      <c r="P308" s="30" t="str">
        <f t="shared" si="61"/>
        <v/>
      </c>
      <c r="Q308" s="60" t="str">
        <f t="shared" si="61"/>
        <v/>
      </c>
      <c r="R308" s="30" t="str">
        <f t="shared" si="61"/>
        <v/>
      </c>
      <c r="S308" s="60" t="str">
        <f>IF($A308="","",IF(S$6="NÃO",0,IF($A308=0,DATEDIF(ESTRUTURA!$F$3,ESTRUTURA!$F$4,"m")*Tabela!$H$17,Tabela!$H$17)))</f>
        <v/>
      </c>
      <c r="T308" s="30" t="str">
        <f>IF($A308="","",IF(T$6="NÃO",0,IF($A308=0,DATEDIF(ESTRUTURA!$F$3,ESTRUTURA!$F$4,"m")*Tabela!$H$18,Tabela!$H$18)))</f>
        <v/>
      </c>
      <c r="U308" s="60" t="str">
        <f t="shared" si="60"/>
        <v/>
      </c>
      <c r="V308" s="30" t="str">
        <f>IF($A308="","",IF(V$6="NÃO",0,IF($A308=0,DATEDIF(ESTRUTURA!$F$3,ESTRUTURA!$F$4,"m")*Tabela!$H$20,Tabela!$H$20)))</f>
        <v/>
      </c>
      <c r="W308" s="60" t="str">
        <f t="shared" si="60"/>
        <v/>
      </c>
      <c r="X308" s="30" t="str">
        <f t="shared" si="60"/>
        <v/>
      </c>
      <c r="Y308" s="60" t="str">
        <f>IF($A308="","",IF(Y$6="NÃO",0,IF(A308=0,Tabela!$H$23,IF(Y$7="mensal",Tabela!$H$23,IF(AND(MONTH(ESTRUTURA!C308)=MONTH(ESTRUTURA!$F$3),A308&gt;0),Tabela!$H$23,0)))))</f>
        <v/>
      </c>
      <c r="Z308" s="30" t="str">
        <f t="shared" si="60"/>
        <v/>
      </c>
      <c r="AA308" s="60" t="str">
        <f>IF($A308="","",IF(AA$6="NÃO",0,Tabela!$H$25*nm_séries))</f>
        <v/>
      </c>
      <c r="AB308" s="30" t="str">
        <f t="shared" si="60"/>
        <v/>
      </c>
      <c r="AC308" s="60" t="str">
        <f>IF($A308="","",IF(AC$6="NÃO",0,IF(A308=0,Tabela!$H$27,IF(MOD(A308,3)=0,Tabela!$H$27,0))))</f>
        <v/>
      </c>
      <c r="AD308" s="30" t="str">
        <f t="shared" si="60"/>
        <v/>
      </c>
      <c r="AE308" s="60" t="str">
        <f t="shared" si="60"/>
        <v/>
      </c>
      <c r="AF308" s="30" t="str">
        <f>IF($A308="","",IF(AF$6="NÃO",0,IF(AND(MONTH(ESTRUTURA!C308)=MONTH(ESTRUTURA!$F$3),A308&gt;0),Tabela!$H$30,0)))</f>
        <v/>
      </c>
      <c r="AG308" s="60" t="str">
        <f t="shared" si="60"/>
        <v/>
      </c>
      <c r="AH308" s="30" t="str">
        <f t="shared" si="60"/>
        <v/>
      </c>
      <c r="AI308" s="60" t="str">
        <f>IF($A308="","",IF(AI$6="NÃO",0,IF($A308=0,DATEDIF(ESTRUTURA!$F$3,ESTRUTURA!$F$4,"m")*Tabela!$H$33,Tabela!$H$33)))</f>
        <v/>
      </c>
      <c r="AJ308" s="30" t="str">
        <f t="shared" si="50"/>
        <v/>
      </c>
    </row>
    <row r="309" spans="1:36" x14ac:dyDescent="0.2">
      <c r="A309" s="66" t="str">
        <f>ESTRUTURA!A309</f>
        <v/>
      </c>
      <c r="B309" s="58">
        <f t="shared" si="56"/>
        <v>0</v>
      </c>
      <c r="C309" s="60" t="str">
        <f t="shared" si="61"/>
        <v/>
      </c>
      <c r="D309" s="30" t="str">
        <f t="shared" si="61"/>
        <v/>
      </c>
      <c r="E309" s="60" t="str">
        <f t="shared" si="61"/>
        <v/>
      </c>
      <c r="F309" s="30" t="str">
        <f>IF($A309="","",IF(F$6="NÃO",0,Tabela!$H$34*ESTRUTURA!$I$4))</f>
        <v/>
      </c>
      <c r="G309" s="60" t="str">
        <f t="shared" si="61"/>
        <v/>
      </c>
      <c r="H309" s="30" t="str">
        <f>IF($A309="","",IF(H$6="NÃO",0,IF($A309=0,DATEDIF(ESTRUTURA!$F$3,ESTRUTURA!$F$4,"m")*Tabela!$H$6,Tabela!$H$6)))</f>
        <v/>
      </c>
      <c r="I309" s="60" t="str">
        <f t="shared" si="61"/>
        <v/>
      </c>
      <c r="J309" s="30" t="str">
        <f>IF($A309="","",IF(J$6="NÃO",0,IF($A309=0,DATEDIF(ESTRUTURA!$F$3,ESTRUTURA!$F$4,"m")*Tabela!$H$8,IF(J$6="NÃO",0,Tabela!$H$8))))</f>
        <v/>
      </c>
      <c r="K309" s="60" t="str">
        <f t="shared" si="61"/>
        <v/>
      </c>
      <c r="L309" s="30" t="str">
        <f t="shared" si="61"/>
        <v/>
      </c>
      <c r="M309" s="60" t="str">
        <f t="shared" si="61"/>
        <v/>
      </c>
      <c r="N309" s="30" t="str">
        <f t="shared" si="61"/>
        <v/>
      </c>
      <c r="O309" s="60" t="str">
        <f t="shared" si="61"/>
        <v/>
      </c>
      <c r="P309" s="30" t="str">
        <f t="shared" si="61"/>
        <v/>
      </c>
      <c r="Q309" s="60" t="str">
        <f t="shared" si="61"/>
        <v/>
      </c>
      <c r="R309" s="30" t="str">
        <f t="shared" si="61"/>
        <v/>
      </c>
      <c r="S309" s="60" t="str">
        <f>IF($A309="","",IF(S$6="NÃO",0,IF($A309=0,DATEDIF(ESTRUTURA!$F$3,ESTRUTURA!$F$4,"m")*Tabela!$H$17,Tabela!$H$17)))</f>
        <v/>
      </c>
      <c r="T309" s="30" t="str">
        <f>IF($A309="","",IF(T$6="NÃO",0,IF($A309=0,DATEDIF(ESTRUTURA!$F$3,ESTRUTURA!$F$4,"m")*Tabela!$H$18,Tabela!$H$18)))</f>
        <v/>
      </c>
      <c r="U309" s="60" t="str">
        <f t="shared" si="60"/>
        <v/>
      </c>
      <c r="V309" s="30" t="str">
        <f>IF($A309="","",IF(V$6="NÃO",0,IF($A309=0,DATEDIF(ESTRUTURA!$F$3,ESTRUTURA!$F$4,"m")*Tabela!$H$20,Tabela!$H$20)))</f>
        <v/>
      </c>
      <c r="W309" s="60" t="str">
        <f t="shared" si="60"/>
        <v/>
      </c>
      <c r="X309" s="30" t="str">
        <f t="shared" si="60"/>
        <v/>
      </c>
      <c r="Y309" s="60" t="str">
        <f>IF($A309="","",IF(Y$6="NÃO",0,IF(A309=0,Tabela!$H$23,IF(Y$7="mensal",Tabela!$H$23,IF(AND(MONTH(ESTRUTURA!C309)=MONTH(ESTRUTURA!$F$3),A309&gt;0),Tabela!$H$23,0)))))</f>
        <v/>
      </c>
      <c r="Z309" s="30" t="str">
        <f t="shared" si="60"/>
        <v/>
      </c>
      <c r="AA309" s="60" t="str">
        <f>IF($A309="","",IF(AA$6="NÃO",0,Tabela!$H$25*nm_séries))</f>
        <v/>
      </c>
      <c r="AB309" s="30" t="str">
        <f t="shared" si="60"/>
        <v/>
      </c>
      <c r="AC309" s="60" t="str">
        <f>IF($A309="","",IF(AC$6="NÃO",0,IF(A309=0,Tabela!$H$27,IF(MOD(A309,3)=0,Tabela!$H$27,0))))</f>
        <v/>
      </c>
      <c r="AD309" s="30" t="str">
        <f t="shared" si="60"/>
        <v/>
      </c>
      <c r="AE309" s="60" t="str">
        <f t="shared" si="60"/>
        <v/>
      </c>
      <c r="AF309" s="30" t="str">
        <f>IF($A309="","",IF(AF$6="NÃO",0,IF(AND(MONTH(ESTRUTURA!C309)=MONTH(ESTRUTURA!$F$3),A309&gt;0),Tabela!$H$30,0)))</f>
        <v/>
      </c>
      <c r="AG309" s="60" t="str">
        <f t="shared" si="60"/>
        <v/>
      </c>
      <c r="AH309" s="30" t="str">
        <f t="shared" si="60"/>
        <v/>
      </c>
      <c r="AI309" s="60" t="str">
        <f>IF($A309="","",IF(AI$6="NÃO",0,IF($A309=0,DATEDIF(ESTRUTURA!$F$3,ESTRUTURA!$F$4,"m")*Tabela!$H$33,Tabela!$H$33)))</f>
        <v/>
      </c>
      <c r="AJ309" s="30" t="str">
        <f t="shared" si="50"/>
        <v/>
      </c>
    </row>
    <row r="310" spans="1:36" x14ac:dyDescent="0.2">
      <c r="A310" s="66" t="str">
        <f>ESTRUTURA!A310</f>
        <v/>
      </c>
      <c r="B310" s="58">
        <f t="shared" si="56"/>
        <v>0</v>
      </c>
      <c r="C310" s="60" t="str">
        <f t="shared" si="61"/>
        <v/>
      </c>
      <c r="D310" s="30" t="str">
        <f t="shared" si="61"/>
        <v/>
      </c>
      <c r="E310" s="60" t="str">
        <f t="shared" si="61"/>
        <v/>
      </c>
      <c r="F310" s="30" t="str">
        <f>IF($A310="","",IF(F$6="NÃO",0,Tabela!$H$34*ESTRUTURA!$I$4))</f>
        <v/>
      </c>
      <c r="G310" s="60" t="str">
        <f t="shared" si="61"/>
        <v/>
      </c>
      <c r="H310" s="30" t="str">
        <f>IF($A310="","",IF(H$6="NÃO",0,IF($A310=0,DATEDIF(ESTRUTURA!$F$3,ESTRUTURA!$F$4,"m")*Tabela!$H$6,Tabela!$H$6)))</f>
        <v/>
      </c>
      <c r="I310" s="60" t="str">
        <f t="shared" si="61"/>
        <v/>
      </c>
      <c r="J310" s="30" t="str">
        <f>IF($A310="","",IF(J$6="NÃO",0,IF($A310=0,DATEDIF(ESTRUTURA!$F$3,ESTRUTURA!$F$4,"m")*Tabela!$H$8,IF(J$6="NÃO",0,Tabela!$H$8))))</f>
        <v/>
      </c>
      <c r="K310" s="60" t="str">
        <f t="shared" si="61"/>
        <v/>
      </c>
      <c r="L310" s="30" t="str">
        <f t="shared" si="61"/>
        <v/>
      </c>
      <c r="M310" s="60" t="str">
        <f t="shared" si="61"/>
        <v/>
      </c>
      <c r="N310" s="30" t="str">
        <f t="shared" si="61"/>
        <v/>
      </c>
      <c r="O310" s="60" t="str">
        <f t="shared" si="61"/>
        <v/>
      </c>
      <c r="P310" s="30" t="str">
        <f t="shared" si="61"/>
        <v/>
      </c>
      <c r="Q310" s="60" t="str">
        <f t="shared" si="61"/>
        <v/>
      </c>
      <c r="R310" s="30" t="str">
        <f t="shared" si="61"/>
        <v/>
      </c>
      <c r="S310" s="60" t="str">
        <f>IF($A310="","",IF(S$6="NÃO",0,IF($A310=0,DATEDIF(ESTRUTURA!$F$3,ESTRUTURA!$F$4,"m")*Tabela!$H$17,Tabela!$H$17)))</f>
        <v/>
      </c>
      <c r="T310" s="30" t="str">
        <f>IF($A310="","",IF(T$6="NÃO",0,IF($A310=0,DATEDIF(ESTRUTURA!$F$3,ESTRUTURA!$F$4,"m")*Tabela!$H$18,Tabela!$H$18)))</f>
        <v/>
      </c>
      <c r="U310" s="60" t="str">
        <f t="shared" si="60"/>
        <v/>
      </c>
      <c r="V310" s="30" t="str">
        <f>IF($A310="","",IF(V$6="NÃO",0,IF($A310=0,DATEDIF(ESTRUTURA!$F$3,ESTRUTURA!$F$4,"m")*Tabela!$H$20,Tabela!$H$20)))</f>
        <v/>
      </c>
      <c r="W310" s="60" t="str">
        <f t="shared" si="60"/>
        <v/>
      </c>
      <c r="X310" s="30" t="str">
        <f t="shared" si="60"/>
        <v/>
      </c>
      <c r="Y310" s="60" t="str">
        <f>IF($A310="","",IF(Y$6="NÃO",0,IF(A310=0,Tabela!$H$23,IF(Y$7="mensal",Tabela!$H$23,IF(AND(MONTH(ESTRUTURA!C310)=MONTH(ESTRUTURA!$F$3),A310&gt;0),Tabela!$H$23,0)))))</f>
        <v/>
      </c>
      <c r="Z310" s="30" t="str">
        <f t="shared" si="60"/>
        <v/>
      </c>
      <c r="AA310" s="60" t="str">
        <f>IF($A310="","",IF(AA$6="NÃO",0,Tabela!$H$25*nm_séries))</f>
        <v/>
      </c>
      <c r="AB310" s="30" t="str">
        <f t="shared" si="60"/>
        <v/>
      </c>
      <c r="AC310" s="60" t="str">
        <f>IF($A310="","",IF(AC$6="NÃO",0,IF(A310=0,Tabela!$H$27,IF(MOD(A310,3)=0,Tabela!$H$27,0))))</f>
        <v/>
      </c>
      <c r="AD310" s="30" t="str">
        <f t="shared" si="60"/>
        <v/>
      </c>
      <c r="AE310" s="60" t="str">
        <f t="shared" si="60"/>
        <v/>
      </c>
      <c r="AF310" s="30" t="str">
        <f>IF($A310="","",IF(AF$6="NÃO",0,IF(AND(MONTH(ESTRUTURA!C310)=MONTH(ESTRUTURA!$F$3),A310&gt;0),Tabela!$H$30,0)))</f>
        <v/>
      </c>
      <c r="AG310" s="60" t="str">
        <f t="shared" si="60"/>
        <v/>
      </c>
      <c r="AH310" s="30" t="str">
        <f t="shared" si="60"/>
        <v/>
      </c>
      <c r="AI310" s="60" t="str">
        <f>IF($A310="","",IF(AI$6="NÃO",0,IF($A310=0,DATEDIF(ESTRUTURA!$F$3,ESTRUTURA!$F$4,"m")*Tabela!$H$33,Tabela!$H$33)))</f>
        <v/>
      </c>
      <c r="AJ310" s="30" t="str">
        <f t="shared" si="50"/>
        <v/>
      </c>
    </row>
    <row r="311" spans="1:36" x14ac:dyDescent="0.2">
      <c r="A311" s="66" t="str">
        <f>ESTRUTURA!A311</f>
        <v/>
      </c>
      <c r="B311" s="58">
        <f t="shared" si="56"/>
        <v>0</v>
      </c>
      <c r="C311" s="60" t="str">
        <f t="shared" si="61"/>
        <v/>
      </c>
      <c r="D311" s="30" t="str">
        <f t="shared" si="61"/>
        <v/>
      </c>
      <c r="E311" s="60" t="str">
        <f t="shared" si="61"/>
        <v/>
      </c>
      <c r="F311" s="30" t="str">
        <f>IF($A311="","",IF(F$6="NÃO",0,Tabela!$H$34*ESTRUTURA!$I$4))</f>
        <v/>
      </c>
      <c r="G311" s="60" t="str">
        <f t="shared" si="61"/>
        <v/>
      </c>
      <c r="H311" s="30" t="str">
        <f>IF($A311="","",IF(H$6="NÃO",0,IF($A311=0,DATEDIF(ESTRUTURA!$F$3,ESTRUTURA!$F$4,"m")*Tabela!$H$6,Tabela!$H$6)))</f>
        <v/>
      </c>
      <c r="I311" s="60" t="str">
        <f t="shared" si="61"/>
        <v/>
      </c>
      <c r="J311" s="30" t="str">
        <f>IF($A311="","",IF(J$6="NÃO",0,IF($A311=0,DATEDIF(ESTRUTURA!$F$3,ESTRUTURA!$F$4,"m")*Tabela!$H$8,IF(J$6="NÃO",0,Tabela!$H$8))))</f>
        <v/>
      </c>
      <c r="K311" s="60" t="str">
        <f t="shared" si="61"/>
        <v/>
      </c>
      <c r="L311" s="30" t="str">
        <f t="shared" si="61"/>
        <v/>
      </c>
      <c r="M311" s="60" t="str">
        <f t="shared" si="61"/>
        <v/>
      </c>
      <c r="N311" s="30" t="str">
        <f t="shared" si="61"/>
        <v/>
      </c>
      <c r="O311" s="60" t="str">
        <f t="shared" si="61"/>
        <v/>
      </c>
      <c r="P311" s="30" t="str">
        <f t="shared" si="61"/>
        <v/>
      </c>
      <c r="Q311" s="60" t="str">
        <f t="shared" si="61"/>
        <v/>
      </c>
      <c r="R311" s="30" t="str">
        <f t="shared" si="61"/>
        <v/>
      </c>
      <c r="S311" s="60" t="str">
        <f>IF($A311="","",IF(S$6="NÃO",0,IF($A311=0,DATEDIF(ESTRUTURA!$F$3,ESTRUTURA!$F$4,"m")*Tabela!$H$17,Tabela!$H$17)))</f>
        <v/>
      </c>
      <c r="T311" s="30" t="str">
        <f>IF($A311="","",IF(T$6="NÃO",0,IF($A311=0,DATEDIF(ESTRUTURA!$F$3,ESTRUTURA!$F$4,"m")*Tabela!$H$18,Tabela!$H$18)))</f>
        <v/>
      </c>
      <c r="U311" s="60" t="str">
        <f t="shared" si="60"/>
        <v/>
      </c>
      <c r="V311" s="30" t="str">
        <f>IF($A311="","",IF(V$6="NÃO",0,IF($A311=0,DATEDIF(ESTRUTURA!$F$3,ESTRUTURA!$F$4,"m")*Tabela!$H$20,Tabela!$H$20)))</f>
        <v/>
      </c>
      <c r="W311" s="60" t="str">
        <f t="shared" si="60"/>
        <v/>
      </c>
      <c r="X311" s="30" t="str">
        <f t="shared" si="60"/>
        <v/>
      </c>
      <c r="Y311" s="60" t="str">
        <f>IF($A311="","",IF(Y$6="NÃO",0,IF(A311=0,Tabela!$H$23,IF(Y$7="mensal",Tabela!$H$23,IF(AND(MONTH(ESTRUTURA!C311)=MONTH(ESTRUTURA!$F$3),A311&gt;0),Tabela!$H$23,0)))))</f>
        <v/>
      </c>
      <c r="Z311" s="30" t="str">
        <f t="shared" si="60"/>
        <v/>
      </c>
      <c r="AA311" s="60" t="str">
        <f>IF($A311="","",IF(AA$6="NÃO",0,Tabela!$H$25*nm_séries))</f>
        <v/>
      </c>
      <c r="AB311" s="30" t="str">
        <f t="shared" si="60"/>
        <v/>
      </c>
      <c r="AC311" s="60" t="str">
        <f>IF($A311="","",IF(AC$6="NÃO",0,IF(A311=0,Tabela!$H$27,IF(MOD(A311,3)=0,Tabela!$H$27,0))))</f>
        <v/>
      </c>
      <c r="AD311" s="30" t="str">
        <f t="shared" si="60"/>
        <v/>
      </c>
      <c r="AE311" s="60" t="str">
        <f t="shared" si="60"/>
        <v/>
      </c>
      <c r="AF311" s="30" t="str">
        <f>IF($A311="","",IF(AF$6="NÃO",0,IF(AND(MONTH(ESTRUTURA!C311)=MONTH(ESTRUTURA!$F$3),A311&gt;0),Tabela!$H$30,0)))</f>
        <v/>
      </c>
      <c r="AG311" s="60" t="str">
        <f t="shared" si="60"/>
        <v/>
      </c>
      <c r="AH311" s="30" t="str">
        <f t="shared" si="60"/>
        <v/>
      </c>
      <c r="AI311" s="60" t="str">
        <f>IF($A311="","",IF(AI$6="NÃO",0,IF($A311=0,DATEDIF(ESTRUTURA!$F$3,ESTRUTURA!$F$4,"m")*Tabela!$H$33,Tabela!$H$33)))</f>
        <v/>
      </c>
      <c r="AJ311" s="30" t="str">
        <f t="shared" si="50"/>
        <v/>
      </c>
    </row>
    <row r="312" spans="1:36" x14ac:dyDescent="0.2">
      <c r="A312" s="66" t="str">
        <f>ESTRUTURA!A312</f>
        <v/>
      </c>
      <c r="B312" s="58">
        <f t="shared" si="56"/>
        <v>0</v>
      </c>
      <c r="C312" s="60" t="str">
        <f t="shared" si="61"/>
        <v/>
      </c>
      <c r="D312" s="30" t="str">
        <f t="shared" si="61"/>
        <v/>
      </c>
      <c r="E312" s="60" t="str">
        <f t="shared" si="61"/>
        <v/>
      </c>
      <c r="F312" s="30" t="str">
        <f>IF($A312="","",IF(F$6="NÃO",0,Tabela!$H$34*ESTRUTURA!$I$4))</f>
        <v/>
      </c>
      <c r="G312" s="60" t="str">
        <f t="shared" si="61"/>
        <v/>
      </c>
      <c r="H312" s="30" t="str">
        <f>IF($A312="","",IF(H$6="NÃO",0,IF($A312=0,DATEDIF(ESTRUTURA!$F$3,ESTRUTURA!$F$4,"m")*Tabela!$H$6,Tabela!$H$6)))</f>
        <v/>
      </c>
      <c r="I312" s="60" t="str">
        <f t="shared" si="61"/>
        <v/>
      </c>
      <c r="J312" s="30" t="str">
        <f>IF($A312="","",IF(J$6="NÃO",0,IF($A312=0,DATEDIF(ESTRUTURA!$F$3,ESTRUTURA!$F$4,"m")*Tabela!$H$8,IF(J$6="NÃO",0,Tabela!$H$8))))</f>
        <v/>
      </c>
      <c r="K312" s="60" t="str">
        <f t="shared" si="61"/>
        <v/>
      </c>
      <c r="L312" s="30" t="str">
        <f t="shared" si="61"/>
        <v/>
      </c>
      <c r="M312" s="60" t="str">
        <f t="shared" si="61"/>
        <v/>
      </c>
      <c r="N312" s="30" t="str">
        <f t="shared" si="61"/>
        <v/>
      </c>
      <c r="O312" s="60" t="str">
        <f t="shared" si="61"/>
        <v/>
      </c>
      <c r="P312" s="30" t="str">
        <f t="shared" si="61"/>
        <v/>
      </c>
      <c r="Q312" s="60" t="str">
        <f t="shared" si="61"/>
        <v/>
      </c>
      <c r="R312" s="30" t="str">
        <f t="shared" si="61"/>
        <v/>
      </c>
      <c r="S312" s="60" t="str">
        <f>IF($A312="","",IF(S$6="NÃO",0,IF($A312=0,DATEDIF(ESTRUTURA!$F$3,ESTRUTURA!$F$4,"m")*Tabela!$H$17,Tabela!$H$17)))</f>
        <v/>
      </c>
      <c r="T312" s="30" t="str">
        <f>IF($A312="","",IF(T$6="NÃO",0,IF($A312=0,DATEDIF(ESTRUTURA!$F$3,ESTRUTURA!$F$4,"m")*Tabela!$H$18,Tabela!$H$18)))</f>
        <v/>
      </c>
      <c r="U312" s="60" t="str">
        <f t="shared" si="60"/>
        <v/>
      </c>
      <c r="V312" s="30" t="str">
        <f>IF($A312="","",IF(V$6="NÃO",0,IF($A312=0,DATEDIF(ESTRUTURA!$F$3,ESTRUTURA!$F$4,"m")*Tabela!$H$20,Tabela!$H$20)))</f>
        <v/>
      </c>
      <c r="W312" s="60" t="str">
        <f t="shared" si="60"/>
        <v/>
      </c>
      <c r="X312" s="30" t="str">
        <f t="shared" si="60"/>
        <v/>
      </c>
      <c r="Y312" s="60" t="str">
        <f>IF($A312="","",IF(Y$6="NÃO",0,IF(A312=0,Tabela!$H$23,IF(Y$7="mensal",Tabela!$H$23,IF(AND(MONTH(ESTRUTURA!C312)=MONTH(ESTRUTURA!$F$3),A312&gt;0),Tabela!$H$23,0)))))</f>
        <v/>
      </c>
      <c r="Z312" s="30" t="str">
        <f t="shared" si="60"/>
        <v/>
      </c>
      <c r="AA312" s="60" t="str">
        <f>IF($A312="","",IF(AA$6="NÃO",0,Tabela!$H$25*nm_séries))</f>
        <v/>
      </c>
      <c r="AB312" s="30" t="str">
        <f t="shared" si="60"/>
        <v/>
      </c>
      <c r="AC312" s="60" t="str">
        <f>IF($A312="","",IF(AC$6="NÃO",0,IF(A312=0,Tabela!$H$27,IF(MOD(A312,3)=0,Tabela!$H$27,0))))</f>
        <v/>
      </c>
      <c r="AD312" s="30" t="str">
        <f t="shared" si="60"/>
        <v/>
      </c>
      <c r="AE312" s="60" t="str">
        <f t="shared" si="60"/>
        <v/>
      </c>
      <c r="AF312" s="30" t="str">
        <f>IF($A312="","",IF(AF$6="NÃO",0,IF(AND(MONTH(ESTRUTURA!C312)=MONTH(ESTRUTURA!$F$3),A312&gt;0),Tabela!$H$30,0)))</f>
        <v/>
      </c>
      <c r="AG312" s="60" t="str">
        <f t="shared" si="60"/>
        <v/>
      </c>
      <c r="AH312" s="30" t="str">
        <f t="shared" si="60"/>
        <v/>
      </c>
      <c r="AI312" s="60" t="str">
        <f>IF($A312="","",IF(AI$6="NÃO",0,IF($A312=0,DATEDIF(ESTRUTURA!$F$3,ESTRUTURA!$F$4,"m")*Tabela!$H$33,Tabela!$H$33)))</f>
        <v/>
      </c>
      <c r="AJ312" s="30" t="str">
        <f t="shared" si="50"/>
        <v/>
      </c>
    </row>
    <row r="313" spans="1:36" x14ac:dyDescent="0.2">
      <c r="A313" s="66" t="str">
        <f>ESTRUTURA!A313</f>
        <v/>
      </c>
      <c r="B313" s="58">
        <f t="shared" si="56"/>
        <v>0</v>
      </c>
      <c r="C313" s="60" t="str">
        <f t="shared" si="61"/>
        <v/>
      </c>
      <c r="D313" s="30" t="str">
        <f t="shared" si="61"/>
        <v/>
      </c>
      <c r="E313" s="60" t="str">
        <f t="shared" si="61"/>
        <v/>
      </c>
      <c r="F313" s="30" t="str">
        <f>IF($A313="","",IF(F$6="NÃO",0,Tabela!$H$34*ESTRUTURA!$I$4))</f>
        <v/>
      </c>
      <c r="G313" s="60" t="str">
        <f t="shared" si="61"/>
        <v/>
      </c>
      <c r="H313" s="30" t="str">
        <f>IF($A313="","",IF(H$6="NÃO",0,IF($A313=0,DATEDIF(ESTRUTURA!$F$3,ESTRUTURA!$F$4,"m")*Tabela!$H$6,Tabela!$H$6)))</f>
        <v/>
      </c>
      <c r="I313" s="60" t="str">
        <f t="shared" si="61"/>
        <v/>
      </c>
      <c r="J313" s="30" t="str">
        <f>IF($A313="","",IF(J$6="NÃO",0,IF($A313=0,DATEDIF(ESTRUTURA!$F$3,ESTRUTURA!$F$4,"m")*Tabela!$H$8,IF(J$6="NÃO",0,Tabela!$H$8))))</f>
        <v/>
      </c>
      <c r="K313" s="60" t="str">
        <f t="shared" si="61"/>
        <v/>
      </c>
      <c r="L313" s="30" t="str">
        <f t="shared" si="61"/>
        <v/>
      </c>
      <c r="M313" s="60" t="str">
        <f t="shared" si="61"/>
        <v/>
      </c>
      <c r="N313" s="30" t="str">
        <f t="shared" si="61"/>
        <v/>
      </c>
      <c r="O313" s="60" t="str">
        <f t="shared" si="61"/>
        <v/>
      </c>
      <c r="P313" s="30" t="str">
        <f t="shared" si="61"/>
        <v/>
      </c>
      <c r="Q313" s="60" t="str">
        <f t="shared" si="61"/>
        <v/>
      </c>
      <c r="R313" s="30" t="str">
        <f t="shared" si="61"/>
        <v/>
      </c>
      <c r="S313" s="60" t="str">
        <f>IF($A313="","",IF(S$6="NÃO",0,IF($A313=0,DATEDIF(ESTRUTURA!$F$3,ESTRUTURA!$F$4,"m")*Tabela!$H$17,Tabela!$H$17)))</f>
        <v/>
      </c>
      <c r="T313" s="30" t="str">
        <f>IF($A313="","",IF(T$6="NÃO",0,IF($A313=0,DATEDIF(ESTRUTURA!$F$3,ESTRUTURA!$F$4,"m")*Tabela!$H$18,Tabela!$H$18)))</f>
        <v/>
      </c>
      <c r="U313" s="60" t="str">
        <f t="shared" si="60"/>
        <v/>
      </c>
      <c r="V313" s="30" t="str">
        <f>IF($A313="","",IF(V$6="NÃO",0,IF($A313=0,DATEDIF(ESTRUTURA!$F$3,ESTRUTURA!$F$4,"m")*Tabela!$H$20,Tabela!$H$20)))</f>
        <v/>
      </c>
      <c r="W313" s="60" t="str">
        <f t="shared" si="60"/>
        <v/>
      </c>
      <c r="X313" s="30" t="str">
        <f t="shared" si="60"/>
        <v/>
      </c>
      <c r="Y313" s="60" t="str">
        <f>IF($A313="","",IF(Y$6="NÃO",0,IF(A313=0,Tabela!$H$23,IF(Y$7="mensal",Tabela!$H$23,IF(AND(MONTH(ESTRUTURA!C313)=MONTH(ESTRUTURA!$F$3),A313&gt;0),Tabela!$H$23,0)))))</f>
        <v/>
      </c>
      <c r="Z313" s="30" t="str">
        <f t="shared" si="60"/>
        <v/>
      </c>
      <c r="AA313" s="60" t="str">
        <f>IF($A313="","",IF(AA$6="NÃO",0,Tabela!$H$25*nm_séries))</f>
        <v/>
      </c>
      <c r="AB313" s="30" t="str">
        <f t="shared" si="60"/>
        <v/>
      </c>
      <c r="AC313" s="60" t="str">
        <f>IF($A313="","",IF(AC$6="NÃO",0,IF(A313=0,Tabela!$H$27,IF(MOD(A313,3)=0,Tabela!$H$27,0))))</f>
        <v/>
      </c>
      <c r="AD313" s="30" t="str">
        <f t="shared" si="60"/>
        <v/>
      </c>
      <c r="AE313" s="60" t="str">
        <f t="shared" si="60"/>
        <v/>
      </c>
      <c r="AF313" s="30" t="str">
        <f>IF($A313="","",IF(AF$6="NÃO",0,IF(AND(MONTH(ESTRUTURA!C313)=MONTH(ESTRUTURA!$F$3),A313&gt;0),Tabela!$H$30,0)))</f>
        <v/>
      </c>
      <c r="AG313" s="60" t="str">
        <f t="shared" si="60"/>
        <v/>
      </c>
      <c r="AH313" s="30" t="str">
        <f t="shared" si="60"/>
        <v/>
      </c>
      <c r="AI313" s="60" t="str">
        <f>IF($A313="","",IF(AI$6="NÃO",0,IF($A313=0,DATEDIF(ESTRUTURA!$F$3,ESTRUTURA!$F$4,"m")*Tabela!$H$33,Tabela!$H$33)))</f>
        <v/>
      </c>
      <c r="AJ313" s="30" t="str">
        <f t="shared" ref="AJ313:AJ371" si="62">IF($A313="","",IF(AJ$6="NÃO",0,0))</f>
        <v/>
      </c>
    </row>
    <row r="314" spans="1:36" x14ac:dyDescent="0.2">
      <c r="A314" s="66" t="str">
        <f>ESTRUTURA!A314</f>
        <v/>
      </c>
      <c r="B314" s="58">
        <f t="shared" si="56"/>
        <v>0</v>
      </c>
      <c r="C314" s="60" t="str">
        <f t="shared" si="61"/>
        <v/>
      </c>
      <c r="D314" s="30" t="str">
        <f t="shared" si="61"/>
        <v/>
      </c>
      <c r="E314" s="60" t="str">
        <f t="shared" si="61"/>
        <v/>
      </c>
      <c r="F314" s="30" t="str">
        <f>IF($A314="","",IF(F$6="NÃO",0,Tabela!$H$34*ESTRUTURA!$I$4))</f>
        <v/>
      </c>
      <c r="G314" s="60" t="str">
        <f t="shared" si="61"/>
        <v/>
      </c>
      <c r="H314" s="30" t="str">
        <f>IF($A314="","",IF(H$6="NÃO",0,IF($A314=0,DATEDIF(ESTRUTURA!$F$3,ESTRUTURA!$F$4,"m")*Tabela!$H$6,Tabela!$H$6)))</f>
        <v/>
      </c>
      <c r="I314" s="60" t="str">
        <f t="shared" si="61"/>
        <v/>
      </c>
      <c r="J314" s="30" t="str">
        <f>IF($A314="","",IF(J$6="NÃO",0,IF($A314=0,DATEDIF(ESTRUTURA!$F$3,ESTRUTURA!$F$4,"m")*Tabela!$H$8,IF(J$6="NÃO",0,Tabela!$H$8))))</f>
        <v/>
      </c>
      <c r="K314" s="60" t="str">
        <f t="shared" si="61"/>
        <v/>
      </c>
      <c r="L314" s="30" t="str">
        <f t="shared" si="61"/>
        <v/>
      </c>
      <c r="M314" s="60" t="str">
        <f t="shared" si="61"/>
        <v/>
      </c>
      <c r="N314" s="30" t="str">
        <f t="shared" si="61"/>
        <v/>
      </c>
      <c r="O314" s="60" t="str">
        <f t="shared" si="61"/>
        <v/>
      </c>
      <c r="P314" s="30" t="str">
        <f t="shared" ref="P314:P331" si="63">IF($A314="","",IF(P$6="NÃO",0,0))</f>
        <v/>
      </c>
      <c r="Q314" s="60" t="str">
        <f t="shared" si="61"/>
        <v/>
      </c>
      <c r="R314" s="30" t="str">
        <f t="shared" si="61"/>
        <v/>
      </c>
      <c r="S314" s="60" t="str">
        <f>IF($A314="","",IF(S$6="NÃO",0,IF($A314=0,DATEDIF(ESTRUTURA!$F$3,ESTRUTURA!$F$4,"m")*Tabela!$H$17,Tabela!$H$17)))</f>
        <v/>
      </c>
      <c r="T314" s="30" t="str">
        <f>IF($A314="","",IF(T$6="NÃO",0,IF($A314=0,DATEDIF(ESTRUTURA!$F$3,ESTRUTURA!$F$4,"m")*Tabela!$H$18,Tabela!$H$18)))</f>
        <v/>
      </c>
      <c r="U314" s="60" t="str">
        <f t="shared" si="60"/>
        <v/>
      </c>
      <c r="V314" s="30" t="str">
        <f>IF($A314="","",IF(V$6="NÃO",0,IF($A314=0,DATEDIF(ESTRUTURA!$F$3,ESTRUTURA!$F$4,"m")*Tabela!$H$20,Tabela!$H$20)))</f>
        <v/>
      </c>
      <c r="W314" s="60" t="str">
        <f t="shared" si="60"/>
        <v/>
      </c>
      <c r="X314" s="30" t="str">
        <f t="shared" si="60"/>
        <v/>
      </c>
      <c r="Y314" s="60" t="str">
        <f>IF($A314="","",IF(Y$6="NÃO",0,IF(A314=0,Tabela!$H$23,IF(Y$7="mensal",Tabela!$H$23,IF(AND(MONTH(ESTRUTURA!C314)=MONTH(ESTRUTURA!$F$3),A314&gt;0),Tabela!$H$23,0)))))</f>
        <v/>
      </c>
      <c r="Z314" s="30" t="str">
        <f t="shared" si="60"/>
        <v/>
      </c>
      <c r="AA314" s="60" t="str">
        <f>IF($A314="","",IF(AA$6="NÃO",0,Tabela!$H$25*nm_séries))</f>
        <v/>
      </c>
      <c r="AB314" s="30" t="str">
        <f t="shared" si="60"/>
        <v/>
      </c>
      <c r="AC314" s="60" t="str">
        <f>IF($A314="","",IF(AC$6="NÃO",0,IF(A314=0,Tabela!$H$27,IF(MOD(A314,3)=0,Tabela!$H$27,0))))</f>
        <v/>
      </c>
      <c r="AD314" s="30" t="str">
        <f t="shared" si="60"/>
        <v/>
      </c>
      <c r="AE314" s="60" t="str">
        <f t="shared" si="60"/>
        <v/>
      </c>
      <c r="AF314" s="30" t="str">
        <f>IF($A314="","",IF(AF$6="NÃO",0,IF(AND(MONTH(ESTRUTURA!C314)=MONTH(ESTRUTURA!$F$3),A314&gt;0),Tabela!$H$30,0)))</f>
        <v/>
      </c>
      <c r="AG314" s="60" t="str">
        <f t="shared" si="60"/>
        <v/>
      </c>
      <c r="AH314" s="30" t="str">
        <f t="shared" si="60"/>
        <v/>
      </c>
      <c r="AI314" s="60" t="str">
        <f>IF($A314="","",IF(AI$6="NÃO",0,IF($A314=0,DATEDIF(ESTRUTURA!$F$3,ESTRUTURA!$F$4,"m")*Tabela!$H$33,Tabela!$H$33)))</f>
        <v/>
      </c>
      <c r="AJ314" s="30" t="str">
        <f t="shared" si="62"/>
        <v/>
      </c>
    </row>
    <row r="315" spans="1:36" x14ac:dyDescent="0.2">
      <c r="A315" s="66" t="str">
        <f>ESTRUTURA!A315</f>
        <v/>
      </c>
      <c r="B315" s="58">
        <f t="shared" si="56"/>
        <v>0</v>
      </c>
      <c r="C315" s="60" t="str">
        <f t="shared" si="61"/>
        <v/>
      </c>
      <c r="D315" s="30" t="str">
        <f t="shared" si="61"/>
        <v/>
      </c>
      <c r="E315" s="60" t="str">
        <f t="shared" si="61"/>
        <v/>
      </c>
      <c r="F315" s="30" t="str">
        <f>IF($A315="","",IF(F$6="NÃO",0,Tabela!$H$34*ESTRUTURA!$I$4))</f>
        <v/>
      </c>
      <c r="G315" s="60" t="str">
        <f t="shared" si="61"/>
        <v/>
      </c>
      <c r="H315" s="30" t="str">
        <f>IF($A315="","",IF(H$6="NÃO",0,IF($A315=0,DATEDIF(ESTRUTURA!$F$3,ESTRUTURA!$F$4,"m")*Tabela!$H$6,Tabela!$H$6)))</f>
        <v/>
      </c>
      <c r="I315" s="60" t="str">
        <f t="shared" si="61"/>
        <v/>
      </c>
      <c r="J315" s="30" t="str">
        <f>IF($A315="","",IF(J$6="NÃO",0,IF($A315=0,DATEDIF(ESTRUTURA!$F$3,ESTRUTURA!$F$4,"m")*Tabela!$H$8,IF(J$6="NÃO",0,Tabela!$H$8))))</f>
        <v/>
      </c>
      <c r="K315" s="60" t="str">
        <f t="shared" si="61"/>
        <v/>
      </c>
      <c r="L315" s="30" t="str">
        <f t="shared" si="61"/>
        <v/>
      </c>
      <c r="M315" s="60" t="str">
        <f t="shared" si="61"/>
        <v/>
      </c>
      <c r="N315" s="30" t="str">
        <f t="shared" si="61"/>
        <v/>
      </c>
      <c r="O315" s="60" t="str">
        <f t="shared" si="61"/>
        <v/>
      </c>
      <c r="P315" s="30" t="str">
        <f t="shared" si="63"/>
        <v/>
      </c>
      <c r="Q315" s="60" t="str">
        <f t="shared" si="61"/>
        <v/>
      </c>
      <c r="R315" s="30" t="str">
        <f t="shared" si="61"/>
        <v/>
      </c>
      <c r="S315" s="60" t="str">
        <f>IF($A315="","",IF(S$6="NÃO",0,IF($A315=0,DATEDIF(ESTRUTURA!$F$3,ESTRUTURA!$F$4,"m")*Tabela!$H$17,Tabela!$H$17)))</f>
        <v/>
      </c>
      <c r="T315" s="30" t="str">
        <f>IF($A315="","",IF(T$6="NÃO",0,IF($A315=0,DATEDIF(ESTRUTURA!$F$3,ESTRUTURA!$F$4,"m")*Tabela!$H$18,Tabela!$H$18)))</f>
        <v/>
      </c>
      <c r="U315" s="60" t="str">
        <f t="shared" ref="U315:AH330" si="64">IF($A315="","",IF(U$6="NÃO",0,0))</f>
        <v/>
      </c>
      <c r="V315" s="30" t="str">
        <f>IF($A315="","",IF(V$6="NÃO",0,IF($A315=0,DATEDIF(ESTRUTURA!$F$3,ESTRUTURA!$F$4,"m")*Tabela!$H$20,Tabela!$H$20)))</f>
        <v/>
      </c>
      <c r="W315" s="60" t="str">
        <f t="shared" si="64"/>
        <v/>
      </c>
      <c r="X315" s="30" t="str">
        <f t="shared" si="64"/>
        <v/>
      </c>
      <c r="Y315" s="60" t="str">
        <f>IF($A315="","",IF(Y$6="NÃO",0,IF(A315=0,Tabela!$H$23,IF(Y$7="mensal",Tabela!$H$23,IF(AND(MONTH(ESTRUTURA!C315)=MONTH(ESTRUTURA!$F$3),A315&gt;0),Tabela!$H$23,0)))))</f>
        <v/>
      </c>
      <c r="Z315" s="30" t="str">
        <f t="shared" si="64"/>
        <v/>
      </c>
      <c r="AA315" s="60" t="str">
        <f>IF($A315="","",IF(AA$6="NÃO",0,Tabela!$H$25*nm_séries))</f>
        <v/>
      </c>
      <c r="AB315" s="30" t="str">
        <f t="shared" si="64"/>
        <v/>
      </c>
      <c r="AC315" s="60" t="str">
        <f>IF($A315="","",IF(AC$6="NÃO",0,IF(A315=0,Tabela!$H$27,IF(MOD(A315,3)=0,Tabela!$H$27,0))))</f>
        <v/>
      </c>
      <c r="AD315" s="30" t="str">
        <f t="shared" si="64"/>
        <v/>
      </c>
      <c r="AE315" s="60" t="str">
        <f t="shared" si="64"/>
        <v/>
      </c>
      <c r="AF315" s="30" t="str">
        <f>IF($A315="","",IF(AF$6="NÃO",0,IF(AND(MONTH(ESTRUTURA!C315)=MONTH(ESTRUTURA!$F$3),A315&gt;0),Tabela!$H$30,0)))</f>
        <v/>
      </c>
      <c r="AG315" s="60" t="str">
        <f t="shared" si="64"/>
        <v/>
      </c>
      <c r="AH315" s="30" t="str">
        <f t="shared" si="64"/>
        <v/>
      </c>
      <c r="AI315" s="60" t="str">
        <f>IF($A315="","",IF(AI$6="NÃO",0,IF($A315=0,DATEDIF(ESTRUTURA!$F$3,ESTRUTURA!$F$4,"m")*Tabela!$H$33,Tabela!$H$33)))</f>
        <v/>
      </c>
      <c r="AJ315" s="30" t="str">
        <f t="shared" si="62"/>
        <v/>
      </c>
    </row>
    <row r="316" spans="1:36" x14ac:dyDescent="0.2">
      <c r="A316" s="66" t="str">
        <f>ESTRUTURA!A316</f>
        <v/>
      </c>
      <c r="B316" s="58">
        <f t="shared" si="56"/>
        <v>0</v>
      </c>
      <c r="C316" s="60" t="str">
        <f t="shared" ref="C316:R331" si="65">IF($A316="","",IF(C$6="NÃO",0,0))</f>
        <v/>
      </c>
      <c r="D316" s="30" t="str">
        <f t="shared" si="65"/>
        <v/>
      </c>
      <c r="E316" s="60" t="str">
        <f t="shared" si="65"/>
        <v/>
      </c>
      <c r="F316" s="30" t="str">
        <f>IF($A316="","",IF(F$6="NÃO",0,Tabela!$H$34*ESTRUTURA!$I$4))</f>
        <v/>
      </c>
      <c r="G316" s="60" t="str">
        <f t="shared" si="65"/>
        <v/>
      </c>
      <c r="H316" s="30" t="str">
        <f>IF($A316="","",IF(H$6="NÃO",0,IF($A316=0,DATEDIF(ESTRUTURA!$F$3,ESTRUTURA!$F$4,"m")*Tabela!$H$6,Tabela!$H$6)))</f>
        <v/>
      </c>
      <c r="I316" s="60" t="str">
        <f t="shared" si="65"/>
        <v/>
      </c>
      <c r="J316" s="30" t="str">
        <f>IF($A316="","",IF(J$6="NÃO",0,IF($A316=0,DATEDIF(ESTRUTURA!$F$3,ESTRUTURA!$F$4,"m")*Tabela!$H$8,IF(J$6="NÃO",0,Tabela!$H$8))))</f>
        <v/>
      </c>
      <c r="K316" s="60" t="str">
        <f t="shared" si="65"/>
        <v/>
      </c>
      <c r="L316" s="30" t="str">
        <f t="shared" si="65"/>
        <v/>
      </c>
      <c r="M316" s="60" t="str">
        <f t="shared" si="65"/>
        <v/>
      </c>
      <c r="N316" s="30" t="str">
        <f t="shared" si="65"/>
        <v/>
      </c>
      <c r="O316" s="60" t="str">
        <f t="shared" si="65"/>
        <v/>
      </c>
      <c r="P316" s="30" t="str">
        <f t="shared" si="63"/>
        <v/>
      </c>
      <c r="Q316" s="60" t="str">
        <f t="shared" si="65"/>
        <v/>
      </c>
      <c r="R316" s="30" t="str">
        <f t="shared" si="65"/>
        <v/>
      </c>
      <c r="S316" s="60" t="str">
        <f>IF($A316="","",IF(S$6="NÃO",0,IF($A316=0,DATEDIF(ESTRUTURA!$F$3,ESTRUTURA!$F$4,"m")*Tabela!$H$17,Tabela!$H$17)))</f>
        <v/>
      </c>
      <c r="T316" s="30" t="str">
        <f>IF($A316="","",IF(T$6="NÃO",0,IF($A316=0,DATEDIF(ESTRUTURA!$F$3,ESTRUTURA!$F$4,"m")*Tabela!$H$18,Tabela!$H$18)))</f>
        <v/>
      </c>
      <c r="U316" s="60" t="str">
        <f t="shared" si="64"/>
        <v/>
      </c>
      <c r="V316" s="30" t="str">
        <f>IF($A316="","",IF(V$6="NÃO",0,IF($A316=0,DATEDIF(ESTRUTURA!$F$3,ESTRUTURA!$F$4,"m")*Tabela!$H$20,Tabela!$H$20)))</f>
        <v/>
      </c>
      <c r="W316" s="60" t="str">
        <f t="shared" si="64"/>
        <v/>
      </c>
      <c r="X316" s="30" t="str">
        <f t="shared" si="64"/>
        <v/>
      </c>
      <c r="Y316" s="60" t="str">
        <f>IF($A316="","",IF(Y$6="NÃO",0,IF(A316=0,Tabela!$H$23,IF(Y$7="mensal",Tabela!$H$23,IF(AND(MONTH(ESTRUTURA!C316)=MONTH(ESTRUTURA!$F$3),A316&gt;0),Tabela!$H$23,0)))))</f>
        <v/>
      </c>
      <c r="Z316" s="30" t="str">
        <f t="shared" si="64"/>
        <v/>
      </c>
      <c r="AA316" s="60" t="str">
        <f>IF($A316="","",IF(AA$6="NÃO",0,Tabela!$H$25*nm_séries))</f>
        <v/>
      </c>
      <c r="AB316" s="30" t="str">
        <f t="shared" si="64"/>
        <v/>
      </c>
      <c r="AC316" s="60" t="str">
        <f>IF($A316="","",IF(AC$6="NÃO",0,IF(A316=0,Tabela!$H$27,IF(MOD(A316,3)=0,Tabela!$H$27,0))))</f>
        <v/>
      </c>
      <c r="AD316" s="30" t="str">
        <f t="shared" si="64"/>
        <v/>
      </c>
      <c r="AE316" s="60" t="str">
        <f t="shared" si="64"/>
        <v/>
      </c>
      <c r="AF316" s="30" t="str">
        <f>IF($A316="","",IF(AF$6="NÃO",0,IF(AND(MONTH(ESTRUTURA!C316)=MONTH(ESTRUTURA!$F$3),A316&gt;0),Tabela!$H$30,0)))</f>
        <v/>
      </c>
      <c r="AG316" s="60" t="str">
        <f t="shared" si="64"/>
        <v/>
      </c>
      <c r="AH316" s="30" t="str">
        <f t="shared" si="64"/>
        <v/>
      </c>
      <c r="AI316" s="60" t="str">
        <f>IF($A316="","",IF(AI$6="NÃO",0,IF($A316=0,DATEDIF(ESTRUTURA!$F$3,ESTRUTURA!$F$4,"m")*Tabela!$H$33,Tabela!$H$33)))</f>
        <v/>
      </c>
      <c r="AJ316" s="30" t="str">
        <f t="shared" si="62"/>
        <v/>
      </c>
    </row>
    <row r="317" spans="1:36" x14ac:dyDescent="0.2">
      <c r="A317" s="66" t="str">
        <f>ESTRUTURA!A317</f>
        <v/>
      </c>
      <c r="B317" s="58">
        <f t="shared" si="56"/>
        <v>0</v>
      </c>
      <c r="C317" s="60" t="str">
        <f t="shared" si="65"/>
        <v/>
      </c>
      <c r="D317" s="30" t="str">
        <f t="shared" si="65"/>
        <v/>
      </c>
      <c r="E317" s="60" t="str">
        <f t="shared" si="65"/>
        <v/>
      </c>
      <c r="F317" s="30" t="str">
        <f>IF($A317="","",IF(F$6="NÃO",0,Tabela!$H$34*ESTRUTURA!$I$4))</f>
        <v/>
      </c>
      <c r="G317" s="60" t="str">
        <f t="shared" si="65"/>
        <v/>
      </c>
      <c r="H317" s="30" t="str">
        <f>IF($A317="","",IF(H$6="NÃO",0,IF($A317=0,DATEDIF(ESTRUTURA!$F$3,ESTRUTURA!$F$4,"m")*Tabela!$H$6,Tabela!$H$6)))</f>
        <v/>
      </c>
      <c r="I317" s="60" t="str">
        <f t="shared" si="65"/>
        <v/>
      </c>
      <c r="J317" s="30" t="str">
        <f>IF($A317="","",IF(J$6="NÃO",0,IF($A317=0,DATEDIF(ESTRUTURA!$F$3,ESTRUTURA!$F$4,"m")*Tabela!$H$8,IF(J$6="NÃO",0,Tabela!$H$8))))</f>
        <v/>
      </c>
      <c r="K317" s="60" t="str">
        <f t="shared" si="65"/>
        <v/>
      </c>
      <c r="L317" s="30" t="str">
        <f t="shared" si="65"/>
        <v/>
      </c>
      <c r="M317" s="60" t="str">
        <f t="shared" si="65"/>
        <v/>
      </c>
      <c r="N317" s="30" t="str">
        <f t="shared" si="65"/>
        <v/>
      </c>
      <c r="O317" s="60" t="str">
        <f t="shared" si="65"/>
        <v/>
      </c>
      <c r="P317" s="30" t="str">
        <f t="shared" si="63"/>
        <v/>
      </c>
      <c r="Q317" s="60" t="str">
        <f t="shared" si="65"/>
        <v/>
      </c>
      <c r="R317" s="30" t="str">
        <f t="shared" si="65"/>
        <v/>
      </c>
      <c r="S317" s="60" t="str">
        <f>IF($A317="","",IF(S$6="NÃO",0,IF($A317=0,DATEDIF(ESTRUTURA!$F$3,ESTRUTURA!$F$4,"m")*Tabela!$H$17,Tabela!$H$17)))</f>
        <v/>
      </c>
      <c r="T317" s="30" t="str">
        <f>IF($A317="","",IF(T$6="NÃO",0,IF($A317=0,DATEDIF(ESTRUTURA!$F$3,ESTRUTURA!$F$4,"m")*Tabela!$H$18,Tabela!$H$18)))</f>
        <v/>
      </c>
      <c r="U317" s="60" t="str">
        <f t="shared" si="64"/>
        <v/>
      </c>
      <c r="V317" s="30" t="str">
        <f>IF($A317="","",IF(V$6="NÃO",0,IF($A317=0,DATEDIF(ESTRUTURA!$F$3,ESTRUTURA!$F$4,"m")*Tabela!$H$20,Tabela!$H$20)))</f>
        <v/>
      </c>
      <c r="W317" s="60" t="str">
        <f t="shared" si="64"/>
        <v/>
      </c>
      <c r="X317" s="30" t="str">
        <f t="shared" si="64"/>
        <v/>
      </c>
      <c r="Y317" s="60" t="str">
        <f>IF($A317="","",IF(Y$6="NÃO",0,IF(A317=0,Tabela!$H$23,IF(Y$7="mensal",Tabela!$H$23,IF(AND(MONTH(ESTRUTURA!C317)=MONTH(ESTRUTURA!$F$3),A317&gt;0),Tabela!$H$23,0)))))</f>
        <v/>
      </c>
      <c r="Z317" s="30" t="str">
        <f t="shared" si="64"/>
        <v/>
      </c>
      <c r="AA317" s="60" t="str">
        <f>IF($A317="","",IF(AA$6="NÃO",0,Tabela!$H$25*nm_séries))</f>
        <v/>
      </c>
      <c r="AB317" s="30" t="str">
        <f t="shared" si="64"/>
        <v/>
      </c>
      <c r="AC317" s="60" t="str">
        <f>IF($A317="","",IF(AC$6="NÃO",0,IF(A317=0,Tabela!$H$27,IF(MOD(A317,3)=0,Tabela!$H$27,0))))</f>
        <v/>
      </c>
      <c r="AD317" s="30" t="str">
        <f t="shared" si="64"/>
        <v/>
      </c>
      <c r="AE317" s="60" t="str">
        <f t="shared" si="64"/>
        <v/>
      </c>
      <c r="AF317" s="30" t="str">
        <f>IF($A317="","",IF(AF$6="NÃO",0,IF(AND(MONTH(ESTRUTURA!C317)=MONTH(ESTRUTURA!$F$3),A317&gt;0),Tabela!$H$30,0)))</f>
        <v/>
      </c>
      <c r="AG317" s="60" t="str">
        <f t="shared" si="64"/>
        <v/>
      </c>
      <c r="AH317" s="30" t="str">
        <f t="shared" si="64"/>
        <v/>
      </c>
      <c r="AI317" s="60" t="str">
        <f>IF($A317="","",IF(AI$6="NÃO",0,IF($A317=0,DATEDIF(ESTRUTURA!$F$3,ESTRUTURA!$F$4,"m")*Tabela!$H$33,Tabela!$H$33)))</f>
        <v/>
      </c>
      <c r="AJ317" s="30" t="str">
        <f t="shared" si="62"/>
        <v/>
      </c>
    </row>
    <row r="318" spans="1:36" x14ac:dyDescent="0.2">
      <c r="A318" s="66" t="str">
        <f>ESTRUTURA!A318</f>
        <v/>
      </c>
      <c r="B318" s="58">
        <f t="shared" si="56"/>
        <v>0</v>
      </c>
      <c r="C318" s="60" t="str">
        <f t="shared" si="65"/>
        <v/>
      </c>
      <c r="D318" s="30" t="str">
        <f t="shared" si="65"/>
        <v/>
      </c>
      <c r="E318" s="60" t="str">
        <f t="shared" si="65"/>
        <v/>
      </c>
      <c r="F318" s="30" t="str">
        <f>IF($A318="","",IF(F$6="NÃO",0,Tabela!$H$34*ESTRUTURA!$I$4))</f>
        <v/>
      </c>
      <c r="G318" s="60" t="str">
        <f t="shared" si="65"/>
        <v/>
      </c>
      <c r="H318" s="30" t="str">
        <f>IF($A318="","",IF(H$6="NÃO",0,IF($A318=0,DATEDIF(ESTRUTURA!$F$3,ESTRUTURA!$F$4,"m")*Tabela!$H$6,Tabela!$H$6)))</f>
        <v/>
      </c>
      <c r="I318" s="60" t="str">
        <f t="shared" si="65"/>
        <v/>
      </c>
      <c r="J318" s="30" t="str">
        <f>IF($A318="","",IF(J$6="NÃO",0,IF($A318=0,DATEDIF(ESTRUTURA!$F$3,ESTRUTURA!$F$4,"m")*Tabela!$H$8,IF(J$6="NÃO",0,Tabela!$H$8))))</f>
        <v/>
      </c>
      <c r="K318" s="60" t="str">
        <f t="shared" si="65"/>
        <v/>
      </c>
      <c r="L318" s="30" t="str">
        <f t="shared" si="65"/>
        <v/>
      </c>
      <c r="M318" s="60" t="str">
        <f t="shared" si="65"/>
        <v/>
      </c>
      <c r="N318" s="30" t="str">
        <f t="shared" si="65"/>
        <v/>
      </c>
      <c r="O318" s="60" t="str">
        <f t="shared" si="65"/>
        <v/>
      </c>
      <c r="P318" s="30" t="str">
        <f t="shared" si="63"/>
        <v/>
      </c>
      <c r="Q318" s="60" t="str">
        <f t="shared" si="65"/>
        <v/>
      </c>
      <c r="R318" s="30" t="str">
        <f t="shared" si="65"/>
        <v/>
      </c>
      <c r="S318" s="60" t="str">
        <f>IF($A318="","",IF(S$6="NÃO",0,IF($A318=0,DATEDIF(ESTRUTURA!$F$3,ESTRUTURA!$F$4,"m")*Tabela!$H$17,Tabela!$H$17)))</f>
        <v/>
      </c>
      <c r="T318" s="30" t="str">
        <f>IF($A318="","",IF(T$6="NÃO",0,IF($A318=0,DATEDIF(ESTRUTURA!$F$3,ESTRUTURA!$F$4,"m")*Tabela!$H$18,Tabela!$H$18)))</f>
        <v/>
      </c>
      <c r="U318" s="60" t="str">
        <f t="shared" si="64"/>
        <v/>
      </c>
      <c r="V318" s="30" t="str">
        <f>IF($A318="","",IF(V$6="NÃO",0,IF($A318=0,DATEDIF(ESTRUTURA!$F$3,ESTRUTURA!$F$4,"m")*Tabela!$H$20,Tabela!$H$20)))</f>
        <v/>
      </c>
      <c r="W318" s="60" t="str">
        <f t="shared" si="64"/>
        <v/>
      </c>
      <c r="X318" s="30" t="str">
        <f t="shared" si="64"/>
        <v/>
      </c>
      <c r="Y318" s="60" t="str">
        <f>IF($A318="","",IF(Y$6="NÃO",0,IF(A318=0,Tabela!$H$23,IF(Y$7="mensal",Tabela!$H$23,IF(AND(MONTH(ESTRUTURA!C318)=MONTH(ESTRUTURA!$F$3),A318&gt;0),Tabela!$H$23,0)))))</f>
        <v/>
      </c>
      <c r="Z318" s="30" t="str">
        <f t="shared" si="64"/>
        <v/>
      </c>
      <c r="AA318" s="60" t="str">
        <f>IF($A318="","",IF(AA$6="NÃO",0,Tabela!$H$25*nm_séries))</f>
        <v/>
      </c>
      <c r="AB318" s="30" t="str">
        <f t="shared" si="64"/>
        <v/>
      </c>
      <c r="AC318" s="60" t="str">
        <f>IF($A318="","",IF(AC$6="NÃO",0,IF(A318=0,Tabela!$H$27,IF(MOD(A318,3)=0,Tabela!$H$27,0))))</f>
        <v/>
      </c>
      <c r="AD318" s="30" t="str">
        <f t="shared" si="64"/>
        <v/>
      </c>
      <c r="AE318" s="60" t="str">
        <f t="shared" si="64"/>
        <v/>
      </c>
      <c r="AF318" s="30" t="str">
        <f>IF($A318="","",IF(AF$6="NÃO",0,IF(AND(MONTH(ESTRUTURA!C318)=MONTH(ESTRUTURA!$F$3),A318&gt;0),Tabela!$H$30,0)))</f>
        <v/>
      </c>
      <c r="AG318" s="60" t="str">
        <f t="shared" si="64"/>
        <v/>
      </c>
      <c r="AH318" s="30" t="str">
        <f t="shared" si="64"/>
        <v/>
      </c>
      <c r="AI318" s="60" t="str">
        <f>IF($A318="","",IF(AI$6="NÃO",0,IF($A318=0,DATEDIF(ESTRUTURA!$F$3,ESTRUTURA!$F$4,"m")*Tabela!$H$33,Tabela!$H$33)))</f>
        <v/>
      </c>
      <c r="AJ318" s="30" t="str">
        <f t="shared" si="62"/>
        <v/>
      </c>
    </row>
    <row r="319" spans="1:36" x14ac:dyDescent="0.2">
      <c r="A319" s="66" t="str">
        <f>ESTRUTURA!A319</f>
        <v/>
      </c>
      <c r="B319" s="58">
        <f t="shared" si="56"/>
        <v>0</v>
      </c>
      <c r="C319" s="60" t="str">
        <f t="shared" si="65"/>
        <v/>
      </c>
      <c r="D319" s="30" t="str">
        <f t="shared" si="65"/>
        <v/>
      </c>
      <c r="E319" s="60" t="str">
        <f t="shared" si="65"/>
        <v/>
      </c>
      <c r="F319" s="30" t="str">
        <f>IF($A319="","",IF(F$6="NÃO",0,Tabela!$H$34*ESTRUTURA!$I$4))</f>
        <v/>
      </c>
      <c r="G319" s="60" t="str">
        <f t="shared" si="65"/>
        <v/>
      </c>
      <c r="H319" s="30" t="str">
        <f>IF($A319="","",IF(H$6="NÃO",0,IF($A319=0,DATEDIF(ESTRUTURA!$F$3,ESTRUTURA!$F$4,"m")*Tabela!$H$6,Tabela!$H$6)))</f>
        <v/>
      </c>
      <c r="I319" s="60" t="str">
        <f t="shared" si="65"/>
        <v/>
      </c>
      <c r="J319" s="30" t="str">
        <f>IF($A319="","",IF(J$6="NÃO",0,IF($A319=0,DATEDIF(ESTRUTURA!$F$3,ESTRUTURA!$F$4,"m")*Tabela!$H$8,IF(J$6="NÃO",0,Tabela!$H$8))))</f>
        <v/>
      </c>
      <c r="K319" s="60" t="str">
        <f t="shared" si="65"/>
        <v/>
      </c>
      <c r="L319" s="30" t="str">
        <f t="shared" si="65"/>
        <v/>
      </c>
      <c r="M319" s="60" t="str">
        <f t="shared" si="65"/>
        <v/>
      </c>
      <c r="N319" s="30" t="str">
        <f t="shared" si="65"/>
        <v/>
      </c>
      <c r="O319" s="60" t="str">
        <f t="shared" si="65"/>
        <v/>
      </c>
      <c r="P319" s="30" t="str">
        <f t="shared" si="63"/>
        <v/>
      </c>
      <c r="Q319" s="60" t="str">
        <f t="shared" si="65"/>
        <v/>
      </c>
      <c r="R319" s="30" t="str">
        <f t="shared" si="65"/>
        <v/>
      </c>
      <c r="S319" s="60" t="str">
        <f>IF($A319="","",IF(S$6="NÃO",0,IF($A319=0,DATEDIF(ESTRUTURA!$F$3,ESTRUTURA!$F$4,"m")*Tabela!$H$17,Tabela!$H$17)))</f>
        <v/>
      </c>
      <c r="T319" s="30" t="str">
        <f>IF($A319="","",IF(T$6="NÃO",0,IF($A319=0,DATEDIF(ESTRUTURA!$F$3,ESTRUTURA!$F$4,"m")*Tabela!$H$18,Tabela!$H$18)))</f>
        <v/>
      </c>
      <c r="U319" s="60" t="str">
        <f t="shared" si="64"/>
        <v/>
      </c>
      <c r="V319" s="30" t="str">
        <f>IF($A319="","",IF(V$6="NÃO",0,IF($A319=0,DATEDIF(ESTRUTURA!$F$3,ESTRUTURA!$F$4,"m")*Tabela!$H$20,Tabela!$H$20)))</f>
        <v/>
      </c>
      <c r="W319" s="60" t="str">
        <f t="shared" si="64"/>
        <v/>
      </c>
      <c r="X319" s="30" t="str">
        <f t="shared" si="64"/>
        <v/>
      </c>
      <c r="Y319" s="60" t="str">
        <f>IF($A319="","",IF(Y$6="NÃO",0,IF(A319=0,Tabela!$H$23,IF(Y$7="mensal",Tabela!$H$23,IF(AND(MONTH(ESTRUTURA!C319)=MONTH(ESTRUTURA!$F$3),A319&gt;0),Tabela!$H$23,0)))))</f>
        <v/>
      </c>
      <c r="Z319" s="30" t="str">
        <f t="shared" si="64"/>
        <v/>
      </c>
      <c r="AA319" s="60" t="str">
        <f>IF($A319="","",IF(AA$6="NÃO",0,Tabela!$H$25*nm_séries))</f>
        <v/>
      </c>
      <c r="AB319" s="30" t="str">
        <f t="shared" si="64"/>
        <v/>
      </c>
      <c r="AC319" s="60" t="str">
        <f>IF($A319="","",IF(AC$6="NÃO",0,IF(A319=0,Tabela!$H$27,IF(MOD(A319,3)=0,Tabela!$H$27,0))))</f>
        <v/>
      </c>
      <c r="AD319" s="30" t="str">
        <f t="shared" si="64"/>
        <v/>
      </c>
      <c r="AE319" s="60" t="str">
        <f t="shared" si="64"/>
        <v/>
      </c>
      <c r="AF319" s="30" t="str">
        <f>IF($A319="","",IF(AF$6="NÃO",0,IF(AND(MONTH(ESTRUTURA!C319)=MONTH(ESTRUTURA!$F$3),A319&gt;0),Tabela!$H$30,0)))</f>
        <v/>
      </c>
      <c r="AG319" s="60" t="str">
        <f t="shared" si="64"/>
        <v/>
      </c>
      <c r="AH319" s="30" t="str">
        <f t="shared" si="64"/>
        <v/>
      </c>
      <c r="AI319" s="60" t="str">
        <f>IF($A319="","",IF(AI$6="NÃO",0,IF($A319=0,DATEDIF(ESTRUTURA!$F$3,ESTRUTURA!$F$4,"m")*Tabela!$H$33,Tabela!$H$33)))</f>
        <v/>
      </c>
      <c r="AJ319" s="30" t="str">
        <f t="shared" si="62"/>
        <v/>
      </c>
    </row>
    <row r="320" spans="1:36" x14ac:dyDescent="0.2">
      <c r="A320" s="66" t="str">
        <f>ESTRUTURA!A320</f>
        <v/>
      </c>
      <c r="B320" s="58">
        <f t="shared" si="56"/>
        <v>0</v>
      </c>
      <c r="C320" s="60" t="str">
        <f t="shared" si="65"/>
        <v/>
      </c>
      <c r="D320" s="30" t="str">
        <f t="shared" si="65"/>
        <v/>
      </c>
      <c r="E320" s="60" t="str">
        <f t="shared" si="65"/>
        <v/>
      </c>
      <c r="F320" s="30" t="str">
        <f>IF($A320="","",IF(F$6="NÃO",0,Tabela!$H$34*ESTRUTURA!$I$4))</f>
        <v/>
      </c>
      <c r="G320" s="60" t="str">
        <f t="shared" si="65"/>
        <v/>
      </c>
      <c r="H320" s="30" t="str">
        <f>IF($A320="","",IF(H$6="NÃO",0,IF($A320=0,DATEDIF(ESTRUTURA!$F$3,ESTRUTURA!$F$4,"m")*Tabela!$H$6,Tabela!$H$6)))</f>
        <v/>
      </c>
      <c r="I320" s="60" t="str">
        <f t="shared" si="65"/>
        <v/>
      </c>
      <c r="J320" s="30" t="str">
        <f>IF($A320="","",IF(J$6="NÃO",0,IF($A320=0,DATEDIF(ESTRUTURA!$F$3,ESTRUTURA!$F$4,"m")*Tabela!$H$8,IF(J$6="NÃO",0,Tabela!$H$8))))</f>
        <v/>
      </c>
      <c r="K320" s="60" t="str">
        <f t="shared" si="65"/>
        <v/>
      </c>
      <c r="L320" s="30" t="str">
        <f t="shared" si="65"/>
        <v/>
      </c>
      <c r="M320" s="60" t="str">
        <f t="shared" si="65"/>
        <v/>
      </c>
      <c r="N320" s="30" t="str">
        <f t="shared" si="65"/>
        <v/>
      </c>
      <c r="O320" s="60" t="str">
        <f t="shared" si="65"/>
        <v/>
      </c>
      <c r="P320" s="30" t="str">
        <f t="shared" si="63"/>
        <v/>
      </c>
      <c r="Q320" s="60" t="str">
        <f t="shared" si="65"/>
        <v/>
      </c>
      <c r="R320" s="30" t="str">
        <f t="shared" si="65"/>
        <v/>
      </c>
      <c r="S320" s="60" t="str">
        <f>IF($A320="","",IF(S$6="NÃO",0,IF($A320=0,DATEDIF(ESTRUTURA!$F$3,ESTRUTURA!$F$4,"m")*Tabela!$H$17,Tabela!$H$17)))</f>
        <v/>
      </c>
      <c r="T320" s="30" t="str">
        <f>IF($A320="","",IF(T$6="NÃO",0,IF($A320=0,DATEDIF(ESTRUTURA!$F$3,ESTRUTURA!$F$4,"m")*Tabela!$H$18,Tabela!$H$18)))</f>
        <v/>
      </c>
      <c r="U320" s="60" t="str">
        <f t="shared" si="64"/>
        <v/>
      </c>
      <c r="V320" s="30" t="str">
        <f>IF($A320="","",IF(V$6="NÃO",0,IF($A320=0,DATEDIF(ESTRUTURA!$F$3,ESTRUTURA!$F$4,"m")*Tabela!$H$20,Tabela!$H$20)))</f>
        <v/>
      </c>
      <c r="W320" s="60" t="str">
        <f t="shared" si="64"/>
        <v/>
      </c>
      <c r="X320" s="30" t="str">
        <f t="shared" si="64"/>
        <v/>
      </c>
      <c r="Y320" s="60" t="str">
        <f>IF($A320="","",IF(Y$6="NÃO",0,IF(A320=0,Tabela!$H$23,IF(Y$7="mensal",Tabela!$H$23,IF(AND(MONTH(ESTRUTURA!C320)=MONTH(ESTRUTURA!$F$3),A320&gt;0),Tabela!$H$23,0)))))</f>
        <v/>
      </c>
      <c r="Z320" s="30" t="str">
        <f t="shared" si="64"/>
        <v/>
      </c>
      <c r="AA320" s="60" t="str">
        <f>IF($A320="","",IF(AA$6="NÃO",0,Tabela!$H$25*nm_séries))</f>
        <v/>
      </c>
      <c r="AB320" s="30" t="str">
        <f t="shared" si="64"/>
        <v/>
      </c>
      <c r="AC320" s="60" t="str">
        <f>IF($A320="","",IF(AC$6="NÃO",0,IF(A320=0,Tabela!$H$27,IF(MOD(A320,3)=0,Tabela!$H$27,0))))</f>
        <v/>
      </c>
      <c r="AD320" s="30" t="str">
        <f t="shared" si="64"/>
        <v/>
      </c>
      <c r="AE320" s="60" t="str">
        <f t="shared" si="64"/>
        <v/>
      </c>
      <c r="AF320" s="30" t="str">
        <f>IF($A320="","",IF(AF$6="NÃO",0,IF(AND(MONTH(ESTRUTURA!C320)=MONTH(ESTRUTURA!$F$3),A320&gt;0),Tabela!$H$30,0)))</f>
        <v/>
      </c>
      <c r="AG320" s="60" t="str">
        <f t="shared" si="64"/>
        <v/>
      </c>
      <c r="AH320" s="30" t="str">
        <f t="shared" si="64"/>
        <v/>
      </c>
      <c r="AI320" s="60" t="str">
        <f>IF($A320="","",IF(AI$6="NÃO",0,IF($A320=0,DATEDIF(ESTRUTURA!$F$3,ESTRUTURA!$F$4,"m")*Tabela!$H$33,Tabela!$H$33)))</f>
        <v/>
      </c>
      <c r="AJ320" s="30" t="str">
        <f t="shared" si="62"/>
        <v/>
      </c>
    </row>
    <row r="321" spans="1:36" x14ac:dyDescent="0.2">
      <c r="A321" s="66" t="str">
        <f>ESTRUTURA!A321</f>
        <v/>
      </c>
      <c r="B321" s="58">
        <f t="shared" si="56"/>
        <v>0</v>
      </c>
      <c r="C321" s="60" t="str">
        <f t="shared" si="65"/>
        <v/>
      </c>
      <c r="D321" s="30" t="str">
        <f t="shared" si="65"/>
        <v/>
      </c>
      <c r="E321" s="60" t="str">
        <f t="shared" si="65"/>
        <v/>
      </c>
      <c r="F321" s="30" t="str">
        <f>IF($A321="","",IF(F$6="NÃO",0,Tabela!$H$34*ESTRUTURA!$I$4))</f>
        <v/>
      </c>
      <c r="G321" s="60" t="str">
        <f t="shared" si="65"/>
        <v/>
      </c>
      <c r="H321" s="30" t="str">
        <f>IF($A321="","",IF(H$6="NÃO",0,IF($A321=0,DATEDIF(ESTRUTURA!$F$3,ESTRUTURA!$F$4,"m")*Tabela!$H$6,Tabela!$H$6)))</f>
        <v/>
      </c>
      <c r="I321" s="60" t="str">
        <f t="shared" si="65"/>
        <v/>
      </c>
      <c r="J321" s="30" t="str">
        <f>IF($A321="","",IF(J$6="NÃO",0,IF($A321=0,DATEDIF(ESTRUTURA!$F$3,ESTRUTURA!$F$4,"m")*Tabela!$H$8,IF(J$6="NÃO",0,Tabela!$H$8))))</f>
        <v/>
      </c>
      <c r="K321" s="60" t="str">
        <f t="shared" si="65"/>
        <v/>
      </c>
      <c r="L321" s="30" t="str">
        <f t="shared" si="65"/>
        <v/>
      </c>
      <c r="M321" s="60" t="str">
        <f t="shared" si="65"/>
        <v/>
      </c>
      <c r="N321" s="30" t="str">
        <f t="shared" si="65"/>
        <v/>
      </c>
      <c r="O321" s="60" t="str">
        <f t="shared" si="65"/>
        <v/>
      </c>
      <c r="P321" s="30" t="str">
        <f t="shared" si="63"/>
        <v/>
      </c>
      <c r="Q321" s="60" t="str">
        <f t="shared" si="65"/>
        <v/>
      </c>
      <c r="R321" s="30" t="str">
        <f t="shared" si="65"/>
        <v/>
      </c>
      <c r="S321" s="60" t="str">
        <f>IF($A321="","",IF(S$6="NÃO",0,IF($A321=0,DATEDIF(ESTRUTURA!$F$3,ESTRUTURA!$F$4,"m")*Tabela!$H$17,Tabela!$H$17)))</f>
        <v/>
      </c>
      <c r="T321" s="30" t="str">
        <f>IF($A321="","",IF(T$6="NÃO",0,IF($A321=0,DATEDIF(ESTRUTURA!$F$3,ESTRUTURA!$F$4,"m")*Tabela!$H$18,Tabela!$H$18)))</f>
        <v/>
      </c>
      <c r="U321" s="60" t="str">
        <f t="shared" si="64"/>
        <v/>
      </c>
      <c r="V321" s="30" t="str">
        <f>IF($A321="","",IF(V$6="NÃO",0,IF($A321=0,DATEDIF(ESTRUTURA!$F$3,ESTRUTURA!$F$4,"m")*Tabela!$H$20,Tabela!$H$20)))</f>
        <v/>
      </c>
      <c r="W321" s="60" t="str">
        <f t="shared" si="64"/>
        <v/>
      </c>
      <c r="X321" s="30" t="str">
        <f t="shared" si="64"/>
        <v/>
      </c>
      <c r="Y321" s="60" t="str">
        <f>IF($A321="","",IF(Y$6="NÃO",0,IF(A321=0,Tabela!$H$23,IF(Y$7="mensal",Tabela!$H$23,IF(AND(MONTH(ESTRUTURA!C321)=MONTH(ESTRUTURA!$F$3),A321&gt;0),Tabela!$H$23,0)))))</f>
        <v/>
      </c>
      <c r="Z321" s="30" t="str">
        <f t="shared" si="64"/>
        <v/>
      </c>
      <c r="AA321" s="60" t="str">
        <f>IF($A321="","",IF(AA$6="NÃO",0,Tabela!$H$25*nm_séries))</f>
        <v/>
      </c>
      <c r="AB321" s="30" t="str">
        <f t="shared" si="64"/>
        <v/>
      </c>
      <c r="AC321" s="60" t="str">
        <f>IF($A321="","",IF(AC$6="NÃO",0,IF(A321=0,Tabela!$H$27,IF(MOD(A321,3)=0,Tabela!$H$27,0))))</f>
        <v/>
      </c>
      <c r="AD321" s="30" t="str">
        <f t="shared" si="64"/>
        <v/>
      </c>
      <c r="AE321" s="60" t="str">
        <f t="shared" si="64"/>
        <v/>
      </c>
      <c r="AF321" s="30" t="str">
        <f>IF($A321="","",IF(AF$6="NÃO",0,IF(AND(MONTH(ESTRUTURA!C321)=MONTH(ESTRUTURA!$F$3),A321&gt;0),Tabela!$H$30,0)))</f>
        <v/>
      </c>
      <c r="AG321" s="60" t="str">
        <f t="shared" si="64"/>
        <v/>
      </c>
      <c r="AH321" s="30" t="str">
        <f t="shared" si="64"/>
        <v/>
      </c>
      <c r="AI321" s="60" t="str">
        <f>IF($A321="","",IF(AI$6="NÃO",0,IF($A321=0,DATEDIF(ESTRUTURA!$F$3,ESTRUTURA!$F$4,"m")*Tabela!$H$33,Tabela!$H$33)))</f>
        <v/>
      </c>
      <c r="AJ321" s="30" t="str">
        <f t="shared" si="62"/>
        <v/>
      </c>
    </row>
    <row r="322" spans="1:36" x14ac:dyDescent="0.2">
      <c r="A322" s="66" t="str">
        <f>ESTRUTURA!A322</f>
        <v/>
      </c>
      <c r="B322" s="58">
        <f t="shared" si="56"/>
        <v>0</v>
      </c>
      <c r="C322" s="60" t="str">
        <f t="shared" si="65"/>
        <v/>
      </c>
      <c r="D322" s="30" t="str">
        <f t="shared" si="65"/>
        <v/>
      </c>
      <c r="E322" s="60" t="str">
        <f t="shared" si="65"/>
        <v/>
      </c>
      <c r="F322" s="30" t="str">
        <f>IF($A322="","",IF(F$6="NÃO",0,Tabela!$H$34*ESTRUTURA!$I$4))</f>
        <v/>
      </c>
      <c r="G322" s="60" t="str">
        <f t="shared" si="65"/>
        <v/>
      </c>
      <c r="H322" s="30" t="str">
        <f>IF($A322="","",IF(H$6="NÃO",0,IF($A322=0,DATEDIF(ESTRUTURA!$F$3,ESTRUTURA!$F$4,"m")*Tabela!$H$6,Tabela!$H$6)))</f>
        <v/>
      </c>
      <c r="I322" s="60" t="str">
        <f t="shared" si="65"/>
        <v/>
      </c>
      <c r="J322" s="30" t="str">
        <f>IF($A322="","",IF(J$6="NÃO",0,IF($A322=0,DATEDIF(ESTRUTURA!$F$3,ESTRUTURA!$F$4,"m")*Tabela!$H$8,IF(J$6="NÃO",0,Tabela!$H$8))))</f>
        <v/>
      </c>
      <c r="K322" s="60" t="str">
        <f t="shared" si="65"/>
        <v/>
      </c>
      <c r="L322" s="30" t="str">
        <f t="shared" si="65"/>
        <v/>
      </c>
      <c r="M322" s="60" t="str">
        <f t="shared" si="65"/>
        <v/>
      </c>
      <c r="N322" s="30" t="str">
        <f t="shared" si="65"/>
        <v/>
      </c>
      <c r="O322" s="60" t="str">
        <f t="shared" si="65"/>
        <v/>
      </c>
      <c r="P322" s="30" t="str">
        <f t="shared" si="63"/>
        <v/>
      </c>
      <c r="Q322" s="60" t="str">
        <f t="shared" si="65"/>
        <v/>
      </c>
      <c r="R322" s="30" t="str">
        <f t="shared" si="65"/>
        <v/>
      </c>
      <c r="S322" s="60" t="str">
        <f>IF($A322="","",IF(S$6="NÃO",0,IF($A322=0,DATEDIF(ESTRUTURA!$F$3,ESTRUTURA!$F$4,"m")*Tabela!$H$17,Tabela!$H$17)))</f>
        <v/>
      </c>
      <c r="T322" s="30" t="str">
        <f>IF($A322="","",IF(T$6="NÃO",0,IF($A322=0,DATEDIF(ESTRUTURA!$F$3,ESTRUTURA!$F$4,"m")*Tabela!$H$18,Tabela!$H$18)))</f>
        <v/>
      </c>
      <c r="U322" s="60" t="str">
        <f t="shared" si="64"/>
        <v/>
      </c>
      <c r="V322" s="30" t="str">
        <f>IF($A322="","",IF(V$6="NÃO",0,IF($A322=0,DATEDIF(ESTRUTURA!$F$3,ESTRUTURA!$F$4,"m")*Tabela!$H$20,Tabela!$H$20)))</f>
        <v/>
      </c>
      <c r="W322" s="60" t="str">
        <f t="shared" si="64"/>
        <v/>
      </c>
      <c r="X322" s="30" t="str">
        <f t="shared" si="64"/>
        <v/>
      </c>
      <c r="Y322" s="60" t="str">
        <f>IF($A322="","",IF(Y$6="NÃO",0,IF(A322=0,Tabela!$H$23,IF(Y$7="mensal",Tabela!$H$23,IF(AND(MONTH(ESTRUTURA!C322)=MONTH(ESTRUTURA!$F$3),A322&gt;0),Tabela!$H$23,0)))))</f>
        <v/>
      </c>
      <c r="Z322" s="30" t="str">
        <f t="shared" si="64"/>
        <v/>
      </c>
      <c r="AA322" s="60" t="str">
        <f>IF($A322="","",IF(AA$6="NÃO",0,Tabela!$H$25*nm_séries))</f>
        <v/>
      </c>
      <c r="AB322" s="30" t="str">
        <f t="shared" si="64"/>
        <v/>
      </c>
      <c r="AC322" s="60" t="str">
        <f>IF($A322="","",IF(AC$6="NÃO",0,IF(A322=0,Tabela!$H$27,IF(MOD(A322,3)=0,Tabela!$H$27,0))))</f>
        <v/>
      </c>
      <c r="AD322" s="30" t="str">
        <f t="shared" si="64"/>
        <v/>
      </c>
      <c r="AE322" s="60" t="str">
        <f t="shared" si="64"/>
        <v/>
      </c>
      <c r="AF322" s="30" t="str">
        <f>IF($A322="","",IF(AF$6="NÃO",0,IF(AND(MONTH(ESTRUTURA!C322)=MONTH(ESTRUTURA!$F$3),A322&gt;0),Tabela!$H$30,0)))</f>
        <v/>
      </c>
      <c r="AG322" s="60" t="str">
        <f t="shared" si="64"/>
        <v/>
      </c>
      <c r="AH322" s="30" t="str">
        <f t="shared" si="64"/>
        <v/>
      </c>
      <c r="AI322" s="60" t="str">
        <f>IF($A322="","",IF(AI$6="NÃO",0,IF($A322=0,DATEDIF(ESTRUTURA!$F$3,ESTRUTURA!$F$4,"m")*Tabela!$H$33,Tabela!$H$33)))</f>
        <v/>
      </c>
      <c r="AJ322" s="30" t="str">
        <f t="shared" si="62"/>
        <v/>
      </c>
    </row>
    <row r="323" spans="1:36" x14ac:dyDescent="0.2">
      <c r="A323" s="66" t="str">
        <f>ESTRUTURA!A323</f>
        <v/>
      </c>
      <c r="B323" s="58">
        <f t="shared" si="56"/>
        <v>0</v>
      </c>
      <c r="C323" s="60" t="str">
        <f t="shared" si="65"/>
        <v/>
      </c>
      <c r="D323" s="30" t="str">
        <f t="shared" si="65"/>
        <v/>
      </c>
      <c r="E323" s="60" t="str">
        <f t="shared" si="65"/>
        <v/>
      </c>
      <c r="F323" s="30" t="str">
        <f>IF($A323="","",IF(F$6="NÃO",0,Tabela!$H$34*ESTRUTURA!$I$4))</f>
        <v/>
      </c>
      <c r="G323" s="60" t="str">
        <f t="shared" si="65"/>
        <v/>
      </c>
      <c r="H323" s="30" t="str">
        <f>IF($A323="","",IF(H$6="NÃO",0,IF($A323=0,DATEDIF(ESTRUTURA!$F$3,ESTRUTURA!$F$4,"m")*Tabela!$H$6,Tabela!$H$6)))</f>
        <v/>
      </c>
      <c r="I323" s="60" t="str">
        <f t="shared" si="65"/>
        <v/>
      </c>
      <c r="J323" s="30" t="str">
        <f>IF($A323="","",IF(J$6="NÃO",0,IF($A323=0,DATEDIF(ESTRUTURA!$F$3,ESTRUTURA!$F$4,"m")*Tabela!$H$8,IF(J$6="NÃO",0,Tabela!$H$8))))</f>
        <v/>
      </c>
      <c r="K323" s="60" t="str">
        <f t="shared" si="65"/>
        <v/>
      </c>
      <c r="L323" s="30" t="str">
        <f t="shared" si="65"/>
        <v/>
      </c>
      <c r="M323" s="60" t="str">
        <f t="shared" si="65"/>
        <v/>
      </c>
      <c r="N323" s="30" t="str">
        <f t="shared" si="65"/>
        <v/>
      </c>
      <c r="O323" s="60" t="str">
        <f t="shared" si="65"/>
        <v/>
      </c>
      <c r="P323" s="30" t="str">
        <f t="shared" si="63"/>
        <v/>
      </c>
      <c r="Q323" s="60" t="str">
        <f t="shared" si="65"/>
        <v/>
      </c>
      <c r="R323" s="30" t="str">
        <f t="shared" si="65"/>
        <v/>
      </c>
      <c r="S323" s="60" t="str">
        <f>IF($A323="","",IF(S$6="NÃO",0,IF($A323=0,DATEDIF(ESTRUTURA!$F$3,ESTRUTURA!$F$4,"m")*Tabela!$H$17,Tabela!$H$17)))</f>
        <v/>
      </c>
      <c r="T323" s="30" t="str">
        <f>IF($A323="","",IF(T$6="NÃO",0,IF($A323=0,DATEDIF(ESTRUTURA!$F$3,ESTRUTURA!$F$4,"m")*Tabela!$H$18,Tabela!$H$18)))</f>
        <v/>
      </c>
      <c r="U323" s="60" t="str">
        <f t="shared" si="64"/>
        <v/>
      </c>
      <c r="V323" s="30" t="str">
        <f>IF($A323="","",IF(V$6="NÃO",0,IF($A323=0,DATEDIF(ESTRUTURA!$F$3,ESTRUTURA!$F$4,"m")*Tabela!$H$20,Tabela!$H$20)))</f>
        <v/>
      </c>
      <c r="W323" s="60" t="str">
        <f t="shared" si="64"/>
        <v/>
      </c>
      <c r="X323" s="30" t="str">
        <f t="shared" si="64"/>
        <v/>
      </c>
      <c r="Y323" s="60" t="str">
        <f>IF($A323="","",IF(Y$6="NÃO",0,IF(A323=0,Tabela!$H$23,IF(Y$7="mensal",Tabela!$H$23,IF(AND(MONTH(ESTRUTURA!C323)=MONTH(ESTRUTURA!$F$3),A323&gt;0),Tabela!$H$23,0)))))</f>
        <v/>
      </c>
      <c r="Z323" s="30" t="str">
        <f t="shared" si="64"/>
        <v/>
      </c>
      <c r="AA323" s="60" t="str">
        <f>IF($A323="","",IF(AA$6="NÃO",0,Tabela!$H$25*nm_séries))</f>
        <v/>
      </c>
      <c r="AB323" s="30" t="str">
        <f t="shared" si="64"/>
        <v/>
      </c>
      <c r="AC323" s="60" t="str">
        <f>IF($A323="","",IF(AC$6="NÃO",0,IF(A323=0,Tabela!$H$27,IF(MOD(A323,3)=0,Tabela!$H$27,0))))</f>
        <v/>
      </c>
      <c r="AD323" s="30" t="str">
        <f t="shared" si="64"/>
        <v/>
      </c>
      <c r="AE323" s="60" t="str">
        <f t="shared" si="64"/>
        <v/>
      </c>
      <c r="AF323" s="30" t="str">
        <f>IF($A323="","",IF(AF$6="NÃO",0,IF(AND(MONTH(ESTRUTURA!C323)=MONTH(ESTRUTURA!$F$3),A323&gt;0),Tabela!$H$30,0)))</f>
        <v/>
      </c>
      <c r="AG323" s="60" t="str">
        <f t="shared" si="64"/>
        <v/>
      </c>
      <c r="AH323" s="30" t="str">
        <f t="shared" si="64"/>
        <v/>
      </c>
      <c r="AI323" s="60" t="str">
        <f>IF($A323="","",IF(AI$6="NÃO",0,IF($A323=0,DATEDIF(ESTRUTURA!$F$3,ESTRUTURA!$F$4,"m")*Tabela!$H$33,Tabela!$H$33)))</f>
        <v/>
      </c>
      <c r="AJ323" s="30" t="str">
        <f t="shared" si="62"/>
        <v/>
      </c>
    </row>
    <row r="324" spans="1:36" x14ac:dyDescent="0.2">
      <c r="A324" s="66" t="str">
        <f>ESTRUTURA!A324</f>
        <v/>
      </c>
      <c r="B324" s="58">
        <f t="shared" si="56"/>
        <v>0</v>
      </c>
      <c r="C324" s="60" t="str">
        <f t="shared" si="65"/>
        <v/>
      </c>
      <c r="D324" s="30" t="str">
        <f t="shared" si="65"/>
        <v/>
      </c>
      <c r="E324" s="60" t="str">
        <f t="shared" si="65"/>
        <v/>
      </c>
      <c r="F324" s="30" t="str">
        <f>IF($A324="","",IF(F$6="NÃO",0,Tabela!$H$34*ESTRUTURA!$I$4))</f>
        <v/>
      </c>
      <c r="G324" s="60" t="str">
        <f t="shared" si="65"/>
        <v/>
      </c>
      <c r="H324" s="30" t="str">
        <f>IF($A324="","",IF(H$6="NÃO",0,IF($A324=0,DATEDIF(ESTRUTURA!$F$3,ESTRUTURA!$F$4,"m")*Tabela!$H$6,Tabela!$H$6)))</f>
        <v/>
      </c>
      <c r="I324" s="60" t="str">
        <f t="shared" si="65"/>
        <v/>
      </c>
      <c r="J324" s="30" t="str">
        <f>IF($A324="","",IF(J$6="NÃO",0,IF($A324=0,DATEDIF(ESTRUTURA!$F$3,ESTRUTURA!$F$4,"m")*Tabela!$H$8,IF(J$6="NÃO",0,Tabela!$H$8))))</f>
        <v/>
      </c>
      <c r="K324" s="60" t="str">
        <f t="shared" si="65"/>
        <v/>
      </c>
      <c r="L324" s="30" t="str">
        <f t="shared" si="65"/>
        <v/>
      </c>
      <c r="M324" s="60" t="str">
        <f t="shared" si="65"/>
        <v/>
      </c>
      <c r="N324" s="30" t="str">
        <f t="shared" si="65"/>
        <v/>
      </c>
      <c r="O324" s="60" t="str">
        <f t="shared" si="65"/>
        <v/>
      </c>
      <c r="P324" s="30" t="str">
        <f t="shared" si="63"/>
        <v/>
      </c>
      <c r="Q324" s="60" t="str">
        <f t="shared" si="65"/>
        <v/>
      </c>
      <c r="R324" s="30" t="str">
        <f t="shared" si="65"/>
        <v/>
      </c>
      <c r="S324" s="60" t="str">
        <f>IF($A324="","",IF(S$6="NÃO",0,IF($A324=0,DATEDIF(ESTRUTURA!$F$3,ESTRUTURA!$F$4,"m")*Tabela!$H$17,Tabela!$H$17)))</f>
        <v/>
      </c>
      <c r="T324" s="30" t="str">
        <f>IF($A324="","",IF(T$6="NÃO",0,IF($A324=0,DATEDIF(ESTRUTURA!$F$3,ESTRUTURA!$F$4,"m")*Tabela!$H$18,Tabela!$H$18)))</f>
        <v/>
      </c>
      <c r="U324" s="60" t="str">
        <f t="shared" si="64"/>
        <v/>
      </c>
      <c r="V324" s="30" t="str">
        <f>IF($A324="","",IF(V$6="NÃO",0,IF($A324=0,DATEDIF(ESTRUTURA!$F$3,ESTRUTURA!$F$4,"m")*Tabela!$H$20,Tabela!$H$20)))</f>
        <v/>
      </c>
      <c r="W324" s="60" t="str">
        <f t="shared" si="64"/>
        <v/>
      </c>
      <c r="X324" s="30" t="str">
        <f t="shared" si="64"/>
        <v/>
      </c>
      <c r="Y324" s="60" t="str">
        <f>IF($A324="","",IF(Y$6="NÃO",0,IF(A324=0,Tabela!$H$23,IF(Y$7="mensal",Tabela!$H$23,IF(AND(MONTH(ESTRUTURA!C324)=MONTH(ESTRUTURA!$F$3),A324&gt;0),Tabela!$H$23,0)))))</f>
        <v/>
      </c>
      <c r="Z324" s="30" t="str">
        <f t="shared" si="64"/>
        <v/>
      </c>
      <c r="AA324" s="60" t="str">
        <f>IF($A324="","",IF(AA$6="NÃO",0,Tabela!$H$25*nm_séries))</f>
        <v/>
      </c>
      <c r="AB324" s="30" t="str">
        <f t="shared" si="64"/>
        <v/>
      </c>
      <c r="AC324" s="60" t="str">
        <f>IF($A324="","",IF(AC$6="NÃO",0,IF(A324=0,Tabela!$H$27,IF(MOD(A324,3)=0,Tabela!$H$27,0))))</f>
        <v/>
      </c>
      <c r="AD324" s="30" t="str">
        <f t="shared" si="64"/>
        <v/>
      </c>
      <c r="AE324" s="60" t="str">
        <f t="shared" si="64"/>
        <v/>
      </c>
      <c r="AF324" s="30" t="str">
        <f>IF($A324="","",IF(AF$6="NÃO",0,IF(AND(MONTH(ESTRUTURA!C324)=MONTH(ESTRUTURA!$F$3),A324&gt;0),Tabela!$H$30,0)))</f>
        <v/>
      </c>
      <c r="AG324" s="60" t="str">
        <f t="shared" si="64"/>
        <v/>
      </c>
      <c r="AH324" s="30" t="str">
        <f t="shared" si="64"/>
        <v/>
      </c>
      <c r="AI324" s="60" t="str">
        <f>IF($A324="","",IF(AI$6="NÃO",0,IF($A324=0,DATEDIF(ESTRUTURA!$F$3,ESTRUTURA!$F$4,"m")*Tabela!$H$33,Tabela!$H$33)))</f>
        <v/>
      </c>
      <c r="AJ324" s="30" t="str">
        <f t="shared" si="62"/>
        <v/>
      </c>
    </row>
    <row r="325" spans="1:36" x14ac:dyDescent="0.2">
      <c r="A325" s="66" t="str">
        <f>ESTRUTURA!A325</f>
        <v/>
      </c>
      <c r="B325" s="58">
        <f t="shared" si="56"/>
        <v>0</v>
      </c>
      <c r="C325" s="60" t="str">
        <f t="shared" si="65"/>
        <v/>
      </c>
      <c r="D325" s="30" t="str">
        <f t="shared" si="65"/>
        <v/>
      </c>
      <c r="E325" s="60" t="str">
        <f t="shared" si="65"/>
        <v/>
      </c>
      <c r="F325" s="30" t="str">
        <f>IF($A325="","",IF(F$6="NÃO",0,Tabela!$H$34*ESTRUTURA!$I$4))</f>
        <v/>
      </c>
      <c r="G325" s="60" t="str">
        <f t="shared" si="65"/>
        <v/>
      </c>
      <c r="H325" s="30" t="str">
        <f>IF($A325="","",IF(H$6="NÃO",0,IF($A325=0,DATEDIF(ESTRUTURA!$F$3,ESTRUTURA!$F$4,"m")*Tabela!$H$6,Tabela!$H$6)))</f>
        <v/>
      </c>
      <c r="I325" s="60" t="str">
        <f t="shared" si="65"/>
        <v/>
      </c>
      <c r="J325" s="30" t="str">
        <f>IF($A325="","",IF(J$6="NÃO",0,IF($A325=0,DATEDIF(ESTRUTURA!$F$3,ESTRUTURA!$F$4,"m")*Tabela!$H$8,IF(J$6="NÃO",0,Tabela!$H$8))))</f>
        <v/>
      </c>
      <c r="K325" s="60" t="str">
        <f t="shared" si="65"/>
        <v/>
      </c>
      <c r="L325" s="30" t="str">
        <f t="shared" si="65"/>
        <v/>
      </c>
      <c r="M325" s="60" t="str">
        <f t="shared" si="65"/>
        <v/>
      </c>
      <c r="N325" s="30" t="str">
        <f t="shared" si="65"/>
        <v/>
      </c>
      <c r="O325" s="60" t="str">
        <f t="shared" si="65"/>
        <v/>
      </c>
      <c r="P325" s="30" t="str">
        <f t="shared" si="63"/>
        <v/>
      </c>
      <c r="Q325" s="60" t="str">
        <f t="shared" si="65"/>
        <v/>
      </c>
      <c r="R325" s="30" t="str">
        <f t="shared" si="65"/>
        <v/>
      </c>
      <c r="S325" s="60" t="str">
        <f>IF($A325="","",IF(S$6="NÃO",0,IF($A325=0,DATEDIF(ESTRUTURA!$F$3,ESTRUTURA!$F$4,"m")*Tabela!$H$17,Tabela!$H$17)))</f>
        <v/>
      </c>
      <c r="T325" s="30" t="str">
        <f>IF($A325="","",IF(T$6="NÃO",0,IF($A325=0,DATEDIF(ESTRUTURA!$F$3,ESTRUTURA!$F$4,"m")*Tabela!$H$18,Tabela!$H$18)))</f>
        <v/>
      </c>
      <c r="U325" s="60" t="str">
        <f t="shared" si="64"/>
        <v/>
      </c>
      <c r="V325" s="30" t="str">
        <f>IF($A325="","",IF(V$6="NÃO",0,IF($A325=0,DATEDIF(ESTRUTURA!$F$3,ESTRUTURA!$F$4,"m")*Tabela!$H$20,Tabela!$H$20)))</f>
        <v/>
      </c>
      <c r="W325" s="60" t="str">
        <f t="shared" si="64"/>
        <v/>
      </c>
      <c r="X325" s="30" t="str">
        <f t="shared" si="64"/>
        <v/>
      </c>
      <c r="Y325" s="60" t="str">
        <f>IF($A325="","",IF(Y$6="NÃO",0,IF(A325=0,Tabela!$H$23,IF(Y$7="mensal",Tabela!$H$23,IF(AND(MONTH(ESTRUTURA!C325)=MONTH(ESTRUTURA!$F$3),A325&gt;0),Tabela!$H$23,0)))))</f>
        <v/>
      </c>
      <c r="Z325" s="30" t="str">
        <f t="shared" si="64"/>
        <v/>
      </c>
      <c r="AA325" s="60" t="str">
        <f>IF($A325="","",IF(AA$6="NÃO",0,Tabela!$H$25*nm_séries))</f>
        <v/>
      </c>
      <c r="AB325" s="30" t="str">
        <f t="shared" si="64"/>
        <v/>
      </c>
      <c r="AC325" s="60" t="str">
        <f>IF($A325="","",IF(AC$6="NÃO",0,IF(A325=0,Tabela!$H$27,IF(MOD(A325,3)=0,Tabela!$H$27,0))))</f>
        <v/>
      </c>
      <c r="AD325" s="30" t="str">
        <f t="shared" si="64"/>
        <v/>
      </c>
      <c r="AE325" s="60" t="str">
        <f t="shared" si="64"/>
        <v/>
      </c>
      <c r="AF325" s="30" t="str">
        <f>IF($A325="","",IF(AF$6="NÃO",0,IF(AND(MONTH(ESTRUTURA!C325)=MONTH(ESTRUTURA!$F$3),A325&gt;0),Tabela!$H$30,0)))</f>
        <v/>
      </c>
      <c r="AG325" s="60" t="str">
        <f t="shared" si="64"/>
        <v/>
      </c>
      <c r="AH325" s="30" t="str">
        <f t="shared" si="64"/>
        <v/>
      </c>
      <c r="AI325" s="60" t="str">
        <f>IF($A325="","",IF(AI$6="NÃO",0,IF($A325=0,DATEDIF(ESTRUTURA!$F$3,ESTRUTURA!$F$4,"m")*Tabela!$H$33,Tabela!$H$33)))</f>
        <v/>
      </c>
      <c r="AJ325" s="30" t="str">
        <f t="shared" si="62"/>
        <v/>
      </c>
    </row>
    <row r="326" spans="1:36" x14ac:dyDescent="0.2">
      <c r="A326" s="66" t="str">
        <f>ESTRUTURA!A326</f>
        <v/>
      </c>
      <c r="B326" s="58">
        <f t="shared" si="56"/>
        <v>0</v>
      </c>
      <c r="C326" s="60" t="str">
        <f t="shared" si="65"/>
        <v/>
      </c>
      <c r="D326" s="30" t="str">
        <f t="shared" si="65"/>
        <v/>
      </c>
      <c r="E326" s="60" t="str">
        <f t="shared" si="65"/>
        <v/>
      </c>
      <c r="F326" s="30" t="str">
        <f>IF($A326="","",IF(F$6="NÃO",0,Tabela!$H$34*ESTRUTURA!$I$4))</f>
        <v/>
      </c>
      <c r="G326" s="60" t="str">
        <f t="shared" si="65"/>
        <v/>
      </c>
      <c r="H326" s="30" t="str">
        <f>IF($A326="","",IF(H$6="NÃO",0,IF($A326=0,DATEDIF(ESTRUTURA!$F$3,ESTRUTURA!$F$4,"m")*Tabela!$H$6,Tabela!$H$6)))</f>
        <v/>
      </c>
      <c r="I326" s="60" t="str">
        <f t="shared" si="65"/>
        <v/>
      </c>
      <c r="J326" s="30" t="str">
        <f>IF($A326="","",IF(J$6="NÃO",0,IF($A326=0,DATEDIF(ESTRUTURA!$F$3,ESTRUTURA!$F$4,"m")*Tabela!$H$8,IF(J$6="NÃO",0,Tabela!$H$8))))</f>
        <v/>
      </c>
      <c r="K326" s="60" t="str">
        <f t="shared" si="65"/>
        <v/>
      </c>
      <c r="L326" s="30" t="str">
        <f t="shared" si="65"/>
        <v/>
      </c>
      <c r="M326" s="60" t="str">
        <f t="shared" si="65"/>
        <v/>
      </c>
      <c r="N326" s="30" t="str">
        <f t="shared" si="65"/>
        <v/>
      </c>
      <c r="O326" s="60" t="str">
        <f t="shared" si="65"/>
        <v/>
      </c>
      <c r="P326" s="30" t="str">
        <f t="shared" si="63"/>
        <v/>
      </c>
      <c r="Q326" s="60" t="str">
        <f t="shared" si="65"/>
        <v/>
      </c>
      <c r="R326" s="30" t="str">
        <f t="shared" si="65"/>
        <v/>
      </c>
      <c r="S326" s="60" t="str">
        <f>IF($A326="","",IF(S$6="NÃO",0,IF($A326=0,DATEDIF(ESTRUTURA!$F$3,ESTRUTURA!$F$4,"m")*Tabela!$H$17,Tabela!$H$17)))</f>
        <v/>
      </c>
      <c r="T326" s="30" t="str">
        <f>IF($A326="","",IF(T$6="NÃO",0,IF($A326=0,DATEDIF(ESTRUTURA!$F$3,ESTRUTURA!$F$4,"m")*Tabela!$H$18,Tabela!$H$18)))</f>
        <v/>
      </c>
      <c r="U326" s="60" t="str">
        <f t="shared" si="64"/>
        <v/>
      </c>
      <c r="V326" s="30" t="str">
        <f>IF($A326="","",IF(V$6="NÃO",0,IF($A326=0,DATEDIF(ESTRUTURA!$F$3,ESTRUTURA!$F$4,"m")*Tabela!$H$20,Tabela!$H$20)))</f>
        <v/>
      </c>
      <c r="W326" s="60" t="str">
        <f t="shared" si="64"/>
        <v/>
      </c>
      <c r="X326" s="30" t="str">
        <f t="shared" si="64"/>
        <v/>
      </c>
      <c r="Y326" s="60" t="str">
        <f>IF($A326="","",IF(Y$6="NÃO",0,IF(A326=0,Tabela!$H$23,IF(Y$7="mensal",Tabela!$H$23,IF(AND(MONTH(ESTRUTURA!C326)=MONTH(ESTRUTURA!$F$3),A326&gt;0),Tabela!$H$23,0)))))</f>
        <v/>
      </c>
      <c r="Z326" s="30" t="str">
        <f t="shared" si="64"/>
        <v/>
      </c>
      <c r="AA326" s="60" t="str">
        <f>IF($A326="","",IF(AA$6="NÃO",0,Tabela!$H$25*nm_séries))</f>
        <v/>
      </c>
      <c r="AB326" s="30" t="str">
        <f t="shared" si="64"/>
        <v/>
      </c>
      <c r="AC326" s="60" t="str">
        <f>IF($A326="","",IF(AC$6="NÃO",0,IF(A326=0,Tabela!$H$27,IF(MOD(A326,3)=0,Tabela!$H$27,0))))</f>
        <v/>
      </c>
      <c r="AD326" s="30" t="str">
        <f t="shared" si="64"/>
        <v/>
      </c>
      <c r="AE326" s="60" t="str">
        <f t="shared" si="64"/>
        <v/>
      </c>
      <c r="AF326" s="30" t="str">
        <f>IF($A326="","",IF(AF$6="NÃO",0,IF(AND(MONTH(ESTRUTURA!C326)=MONTH(ESTRUTURA!$F$3),A326&gt;0),Tabela!$H$30,0)))</f>
        <v/>
      </c>
      <c r="AG326" s="60" t="str">
        <f t="shared" si="64"/>
        <v/>
      </c>
      <c r="AH326" s="30" t="str">
        <f t="shared" si="64"/>
        <v/>
      </c>
      <c r="AI326" s="60" t="str">
        <f>IF($A326="","",IF(AI$6="NÃO",0,IF($A326=0,DATEDIF(ESTRUTURA!$F$3,ESTRUTURA!$F$4,"m")*Tabela!$H$33,Tabela!$H$33)))</f>
        <v/>
      </c>
      <c r="AJ326" s="30" t="str">
        <f t="shared" si="62"/>
        <v/>
      </c>
    </row>
    <row r="327" spans="1:36" x14ac:dyDescent="0.2">
      <c r="A327" s="66" t="str">
        <f>ESTRUTURA!A327</f>
        <v/>
      </c>
      <c r="B327" s="58">
        <f t="shared" si="56"/>
        <v>0</v>
      </c>
      <c r="C327" s="60" t="str">
        <f t="shared" si="65"/>
        <v/>
      </c>
      <c r="D327" s="30" t="str">
        <f t="shared" si="65"/>
        <v/>
      </c>
      <c r="E327" s="60" t="str">
        <f t="shared" si="65"/>
        <v/>
      </c>
      <c r="F327" s="30" t="str">
        <f>IF($A327="","",IF(F$6="NÃO",0,Tabela!$H$34*ESTRUTURA!$I$4))</f>
        <v/>
      </c>
      <c r="G327" s="60" t="str">
        <f t="shared" si="65"/>
        <v/>
      </c>
      <c r="H327" s="30" t="str">
        <f>IF($A327="","",IF(H$6="NÃO",0,IF($A327=0,DATEDIF(ESTRUTURA!$F$3,ESTRUTURA!$F$4,"m")*Tabela!$H$6,Tabela!$H$6)))</f>
        <v/>
      </c>
      <c r="I327" s="60" t="str">
        <f t="shared" si="65"/>
        <v/>
      </c>
      <c r="J327" s="30" t="str">
        <f>IF($A327="","",IF(J$6="NÃO",0,IF($A327=0,DATEDIF(ESTRUTURA!$F$3,ESTRUTURA!$F$4,"m")*Tabela!$H$8,IF(J$6="NÃO",0,Tabela!$H$8))))</f>
        <v/>
      </c>
      <c r="K327" s="60" t="str">
        <f t="shared" si="65"/>
        <v/>
      </c>
      <c r="L327" s="30" t="str">
        <f t="shared" si="65"/>
        <v/>
      </c>
      <c r="M327" s="60" t="str">
        <f t="shared" si="65"/>
        <v/>
      </c>
      <c r="N327" s="30" t="str">
        <f t="shared" si="65"/>
        <v/>
      </c>
      <c r="O327" s="60" t="str">
        <f t="shared" si="65"/>
        <v/>
      </c>
      <c r="P327" s="30" t="str">
        <f t="shared" si="63"/>
        <v/>
      </c>
      <c r="Q327" s="60" t="str">
        <f t="shared" si="65"/>
        <v/>
      </c>
      <c r="R327" s="30" t="str">
        <f t="shared" si="65"/>
        <v/>
      </c>
      <c r="S327" s="60" t="str">
        <f>IF($A327="","",IF(S$6="NÃO",0,IF($A327=0,DATEDIF(ESTRUTURA!$F$3,ESTRUTURA!$F$4,"m")*Tabela!$H$17,Tabela!$H$17)))</f>
        <v/>
      </c>
      <c r="T327" s="30" t="str">
        <f>IF($A327="","",IF(T$6="NÃO",0,IF($A327=0,DATEDIF(ESTRUTURA!$F$3,ESTRUTURA!$F$4,"m")*Tabela!$H$18,Tabela!$H$18)))</f>
        <v/>
      </c>
      <c r="U327" s="60" t="str">
        <f t="shared" si="64"/>
        <v/>
      </c>
      <c r="V327" s="30" t="str">
        <f>IF($A327="","",IF(V$6="NÃO",0,IF($A327=0,DATEDIF(ESTRUTURA!$F$3,ESTRUTURA!$F$4,"m")*Tabela!$H$20,Tabela!$H$20)))</f>
        <v/>
      </c>
      <c r="W327" s="60" t="str">
        <f t="shared" si="64"/>
        <v/>
      </c>
      <c r="X327" s="30" t="str">
        <f t="shared" si="64"/>
        <v/>
      </c>
      <c r="Y327" s="60" t="str">
        <f>IF($A327="","",IF(Y$6="NÃO",0,IF(A327=0,Tabela!$H$23,IF(Y$7="mensal",Tabela!$H$23,IF(AND(MONTH(ESTRUTURA!C327)=MONTH(ESTRUTURA!$F$3),A327&gt;0),Tabela!$H$23,0)))))</f>
        <v/>
      </c>
      <c r="Z327" s="30" t="str">
        <f t="shared" si="64"/>
        <v/>
      </c>
      <c r="AA327" s="60" t="str">
        <f>IF($A327="","",IF(AA$6="NÃO",0,Tabela!$H$25*nm_séries))</f>
        <v/>
      </c>
      <c r="AB327" s="30" t="str">
        <f t="shared" si="64"/>
        <v/>
      </c>
      <c r="AC327" s="60" t="str">
        <f>IF($A327="","",IF(AC$6="NÃO",0,IF(A327=0,Tabela!$H$27,IF(MOD(A327,3)=0,Tabela!$H$27,0))))</f>
        <v/>
      </c>
      <c r="AD327" s="30" t="str">
        <f t="shared" si="64"/>
        <v/>
      </c>
      <c r="AE327" s="60" t="str">
        <f t="shared" si="64"/>
        <v/>
      </c>
      <c r="AF327" s="30" t="str">
        <f>IF($A327="","",IF(AF$6="NÃO",0,IF(AND(MONTH(ESTRUTURA!C327)=MONTH(ESTRUTURA!$F$3),A327&gt;0),Tabela!$H$30,0)))</f>
        <v/>
      </c>
      <c r="AG327" s="60" t="str">
        <f t="shared" si="64"/>
        <v/>
      </c>
      <c r="AH327" s="30" t="str">
        <f t="shared" si="64"/>
        <v/>
      </c>
      <c r="AI327" s="60" t="str">
        <f>IF($A327="","",IF(AI$6="NÃO",0,IF($A327=0,DATEDIF(ESTRUTURA!$F$3,ESTRUTURA!$F$4,"m")*Tabela!$H$33,Tabela!$H$33)))</f>
        <v/>
      </c>
      <c r="AJ327" s="30" t="str">
        <f t="shared" si="62"/>
        <v/>
      </c>
    </row>
    <row r="328" spans="1:36" x14ac:dyDescent="0.2">
      <c r="A328" s="66" t="str">
        <f>ESTRUTURA!A328</f>
        <v/>
      </c>
      <c r="B328" s="58">
        <f t="shared" si="56"/>
        <v>0</v>
      </c>
      <c r="C328" s="60" t="str">
        <f t="shared" si="65"/>
        <v/>
      </c>
      <c r="D328" s="30" t="str">
        <f t="shared" si="65"/>
        <v/>
      </c>
      <c r="E328" s="60" t="str">
        <f t="shared" si="65"/>
        <v/>
      </c>
      <c r="F328" s="30" t="str">
        <f>IF($A328="","",IF(F$6="NÃO",0,Tabela!$H$34*ESTRUTURA!$I$4))</f>
        <v/>
      </c>
      <c r="G328" s="60" t="str">
        <f t="shared" si="65"/>
        <v/>
      </c>
      <c r="H328" s="30" t="str">
        <f>IF($A328="","",IF(H$6="NÃO",0,IF($A328=0,DATEDIF(ESTRUTURA!$F$3,ESTRUTURA!$F$4,"m")*Tabela!$H$6,Tabela!$H$6)))</f>
        <v/>
      </c>
      <c r="I328" s="60" t="str">
        <f t="shared" si="65"/>
        <v/>
      </c>
      <c r="J328" s="30" t="str">
        <f>IF($A328="","",IF(J$6="NÃO",0,IF($A328=0,DATEDIF(ESTRUTURA!$F$3,ESTRUTURA!$F$4,"m")*Tabela!$H$8,IF(J$6="NÃO",0,Tabela!$H$8))))</f>
        <v/>
      </c>
      <c r="K328" s="60" t="str">
        <f t="shared" si="65"/>
        <v/>
      </c>
      <c r="L328" s="30" t="str">
        <f t="shared" si="65"/>
        <v/>
      </c>
      <c r="M328" s="60" t="str">
        <f t="shared" si="65"/>
        <v/>
      </c>
      <c r="N328" s="30" t="str">
        <f t="shared" si="65"/>
        <v/>
      </c>
      <c r="O328" s="60" t="str">
        <f t="shared" si="65"/>
        <v/>
      </c>
      <c r="P328" s="30" t="str">
        <f t="shared" si="63"/>
        <v/>
      </c>
      <c r="Q328" s="60" t="str">
        <f t="shared" si="65"/>
        <v/>
      </c>
      <c r="R328" s="30" t="str">
        <f t="shared" si="65"/>
        <v/>
      </c>
      <c r="S328" s="60" t="str">
        <f>IF($A328="","",IF(S$6="NÃO",0,IF($A328=0,DATEDIF(ESTRUTURA!$F$3,ESTRUTURA!$F$4,"m")*Tabela!$H$17,Tabela!$H$17)))</f>
        <v/>
      </c>
      <c r="T328" s="30" t="str">
        <f>IF($A328="","",IF(T$6="NÃO",0,IF($A328=0,DATEDIF(ESTRUTURA!$F$3,ESTRUTURA!$F$4,"m")*Tabela!$H$18,Tabela!$H$18)))</f>
        <v/>
      </c>
      <c r="U328" s="60" t="str">
        <f t="shared" si="64"/>
        <v/>
      </c>
      <c r="V328" s="30" t="str">
        <f>IF($A328="","",IF(V$6="NÃO",0,IF($A328=0,DATEDIF(ESTRUTURA!$F$3,ESTRUTURA!$F$4,"m")*Tabela!$H$20,Tabela!$H$20)))</f>
        <v/>
      </c>
      <c r="W328" s="60" t="str">
        <f t="shared" si="64"/>
        <v/>
      </c>
      <c r="X328" s="30" t="str">
        <f t="shared" si="64"/>
        <v/>
      </c>
      <c r="Y328" s="60" t="str">
        <f>IF($A328="","",IF(Y$6="NÃO",0,IF(A328=0,Tabela!$H$23,IF(Y$7="mensal",Tabela!$H$23,IF(AND(MONTH(ESTRUTURA!C328)=MONTH(ESTRUTURA!$F$3),A328&gt;0),Tabela!$H$23,0)))))</f>
        <v/>
      </c>
      <c r="Z328" s="30" t="str">
        <f t="shared" si="64"/>
        <v/>
      </c>
      <c r="AA328" s="60" t="str">
        <f>IF($A328="","",IF(AA$6="NÃO",0,Tabela!$H$25*nm_séries))</f>
        <v/>
      </c>
      <c r="AB328" s="30" t="str">
        <f t="shared" si="64"/>
        <v/>
      </c>
      <c r="AC328" s="60" t="str">
        <f>IF($A328="","",IF(AC$6="NÃO",0,IF(A328=0,Tabela!$H$27,IF(MOD(A328,3)=0,Tabela!$H$27,0))))</f>
        <v/>
      </c>
      <c r="AD328" s="30" t="str">
        <f t="shared" si="64"/>
        <v/>
      </c>
      <c r="AE328" s="60" t="str">
        <f t="shared" si="64"/>
        <v/>
      </c>
      <c r="AF328" s="30" t="str">
        <f>IF($A328="","",IF(AF$6="NÃO",0,IF(AND(MONTH(ESTRUTURA!C328)=MONTH(ESTRUTURA!$F$3),A328&gt;0),Tabela!$H$30,0)))</f>
        <v/>
      </c>
      <c r="AG328" s="60" t="str">
        <f t="shared" si="64"/>
        <v/>
      </c>
      <c r="AH328" s="30" t="str">
        <f t="shared" si="64"/>
        <v/>
      </c>
      <c r="AI328" s="60" t="str">
        <f>IF($A328="","",IF(AI$6="NÃO",0,IF($A328=0,DATEDIF(ESTRUTURA!$F$3,ESTRUTURA!$F$4,"m")*Tabela!$H$33,Tabela!$H$33)))</f>
        <v/>
      </c>
      <c r="AJ328" s="30" t="str">
        <f t="shared" si="62"/>
        <v/>
      </c>
    </row>
    <row r="329" spans="1:36" x14ac:dyDescent="0.2">
      <c r="A329" s="66" t="str">
        <f>ESTRUTURA!A329</f>
        <v/>
      </c>
      <c r="B329" s="58">
        <f t="shared" si="56"/>
        <v>0</v>
      </c>
      <c r="C329" s="60" t="str">
        <f t="shared" si="65"/>
        <v/>
      </c>
      <c r="D329" s="30" t="str">
        <f t="shared" si="65"/>
        <v/>
      </c>
      <c r="E329" s="60" t="str">
        <f t="shared" si="65"/>
        <v/>
      </c>
      <c r="F329" s="30" t="str">
        <f>IF($A329="","",IF(F$6="NÃO",0,Tabela!$H$34*ESTRUTURA!$I$4))</f>
        <v/>
      </c>
      <c r="G329" s="60" t="str">
        <f t="shared" si="65"/>
        <v/>
      </c>
      <c r="H329" s="30" t="str">
        <f>IF($A329="","",IF(H$6="NÃO",0,IF($A329=0,DATEDIF(ESTRUTURA!$F$3,ESTRUTURA!$F$4,"m")*Tabela!$H$6,Tabela!$H$6)))</f>
        <v/>
      </c>
      <c r="I329" s="60" t="str">
        <f t="shared" si="65"/>
        <v/>
      </c>
      <c r="J329" s="30" t="str">
        <f>IF($A329="","",IF(J$6="NÃO",0,IF($A329=0,DATEDIF(ESTRUTURA!$F$3,ESTRUTURA!$F$4,"m")*Tabela!$H$8,IF(J$6="NÃO",0,Tabela!$H$8))))</f>
        <v/>
      </c>
      <c r="K329" s="60" t="str">
        <f t="shared" si="65"/>
        <v/>
      </c>
      <c r="L329" s="30" t="str">
        <f t="shared" si="65"/>
        <v/>
      </c>
      <c r="M329" s="60" t="str">
        <f t="shared" si="65"/>
        <v/>
      </c>
      <c r="N329" s="30" t="str">
        <f t="shared" si="65"/>
        <v/>
      </c>
      <c r="O329" s="60" t="str">
        <f t="shared" si="65"/>
        <v/>
      </c>
      <c r="P329" s="30" t="str">
        <f t="shared" si="63"/>
        <v/>
      </c>
      <c r="Q329" s="60" t="str">
        <f t="shared" si="65"/>
        <v/>
      </c>
      <c r="R329" s="30" t="str">
        <f t="shared" si="65"/>
        <v/>
      </c>
      <c r="S329" s="60" t="str">
        <f>IF($A329="","",IF(S$6="NÃO",0,IF($A329=0,DATEDIF(ESTRUTURA!$F$3,ESTRUTURA!$F$4,"m")*Tabela!$H$17,Tabela!$H$17)))</f>
        <v/>
      </c>
      <c r="T329" s="30" t="str">
        <f>IF($A329="","",IF(T$6="NÃO",0,IF($A329=0,DATEDIF(ESTRUTURA!$F$3,ESTRUTURA!$F$4,"m")*Tabela!$H$18,Tabela!$H$18)))</f>
        <v/>
      </c>
      <c r="U329" s="60" t="str">
        <f t="shared" si="64"/>
        <v/>
      </c>
      <c r="V329" s="30" t="str">
        <f>IF($A329="","",IF(V$6="NÃO",0,IF($A329=0,DATEDIF(ESTRUTURA!$F$3,ESTRUTURA!$F$4,"m")*Tabela!$H$20,Tabela!$H$20)))</f>
        <v/>
      </c>
      <c r="W329" s="60" t="str">
        <f t="shared" si="64"/>
        <v/>
      </c>
      <c r="X329" s="30" t="str">
        <f t="shared" si="64"/>
        <v/>
      </c>
      <c r="Y329" s="60" t="str">
        <f>IF($A329="","",IF(Y$6="NÃO",0,IF(A329=0,Tabela!$H$23,IF(Y$7="mensal",Tabela!$H$23,IF(AND(MONTH(ESTRUTURA!C329)=MONTH(ESTRUTURA!$F$3),A329&gt;0),Tabela!$H$23,0)))))</f>
        <v/>
      </c>
      <c r="Z329" s="30" t="str">
        <f t="shared" si="64"/>
        <v/>
      </c>
      <c r="AA329" s="60" t="str">
        <f>IF($A329="","",IF(AA$6="NÃO",0,Tabela!$H$25*nm_séries))</f>
        <v/>
      </c>
      <c r="AB329" s="30" t="str">
        <f t="shared" si="64"/>
        <v/>
      </c>
      <c r="AC329" s="60" t="str">
        <f>IF($A329="","",IF(AC$6="NÃO",0,IF(A329=0,Tabela!$H$27,IF(MOD(A329,3)=0,Tabela!$H$27,0))))</f>
        <v/>
      </c>
      <c r="AD329" s="30" t="str">
        <f t="shared" si="64"/>
        <v/>
      </c>
      <c r="AE329" s="60" t="str">
        <f t="shared" si="64"/>
        <v/>
      </c>
      <c r="AF329" s="30" t="str">
        <f>IF($A329="","",IF(AF$6="NÃO",0,IF(AND(MONTH(ESTRUTURA!C329)=MONTH(ESTRUTURA!$F$3),A329&gt;0),Tabela!$H$30,0)))</f>
        <v/>
      </c>
      <c r="AG329" s="60" t="str">
        <f t="shared" si="64"/>
        <v/>
      </c>
      <c r="AH329" s="30" t="str">
        <f t="shared" si="64"/>
        <v/>
      </c>
      <c r="AI329" s="60" t="str">
        <f>IF($A329="","",IF(AI$6="NÃO",0,IF($A329=0,DATEDIF(ESTRUTURA!$F$3,ESTRUTURA!$F$4,"m")*Tabela!$H$33,Tabela!$H$33)))</f>
        <v/>
      </c>
      <c r="AJ329" s="30" t="str">
        <f t="shared" si="62"/>
        <v/>
      </c>
    </row>
    <row r="330" spans="1:36" x14ac:dyDescent="0.2">
      <c r="A330" s="66" t="str">
        <f>ESTRUTURA!A330</f>
        <v/>
      </c>
      <c r="B330" s="58">
        <f t="shared" si="56"/>
        <v>0</v>
      </c>
      <c r="C330" s="60" t="str">
        <f t="shared" si="65"/>
        <v/>
      </c>
      <c r="D330" s="30" t="str">
        <f t="shared" si="65"/>
        <v/>
      </c>
      <c r="E330" s="60" t="str">
        <f t="shared" si="65"/>
        <v/>
      </c>
      <c r="F330" s="30" t="str">
        <f>IF($A330="","",IF(F$6="NÃO",0,Tabela!$H$34*ESTRUTURA!$I$4))</f>
        <v/>
      </c>
      <c r="G330" s="60" t="str">
        <f t="shared" si="65"/>
        <v/>
      </c>
      <c r="H330" s="30" t="str">
        <f>IF($A330="","",IF(H$6="NÃO",0,IF($A330=0,DATEDIF(ESTRUTURA!$F$3,ESTRUTURA!$F$4,"m")*Tabela!$H$6,Tabela!$H$6)))</f>
        <v/>
      </c>
      <c r="I330" s="60" t="str">
        <f t="shared" si="65"/>
        <v/>
      </c>
      <c r="J330" s="30" t="str">
        <f>IF($A330="","",IF(J$6="NÃO",0,IF($A330=0,DATEDIF(ESTRUTURA!$F$3,ESTRUTURA!$F$4,"m")*Tabela!$H$8,IF(J$6="NÃO",0,Tabela!$H$8))))</f>
        <v/>
      </c>
      <c r="K330" s="60" t="str">
        <f t="shared" si="65"/>
        <v/>
      </c>
      <c r="L330" s="30" t="str">
        <f t="shared" si="65"/>
        <v/>
      </c>
      <c r="M330" s="60" t="str">
        <f t="shared" si="65"/>
        <v/>
      </c>
      <c r="N330" s="30" t="str">
        <f t="shared" si="65"/>
        <v/>
      </c>
      <c r="O330" s="60" t="str">
        <f t="shared" si="65"/>
        <v/>
      </c>
      <c r="P330" s="30" t="str">
        <f t="shared" si="63"/>
        <v/>
      </c>
      <c r="Q330" s="60" t="str">
        <f t="shared" si="65"/>
        <v/>
      </c>
      <c r="R330" s="30" t="str">
        <f t="shared" si="65"/>
        <v/>
      </c>
      <c r="S330" s="60" t="str">
        <f>IF($A330="","",IF(S$6="NÃO",0,IF($A330=0,DATEDIF(ESTRUTURA!$F$3,ESTRUTURA!$F$4,"m")*Tabela!$H$17,Tabela!$H$17)))</f>
        <v/>
      </c>
      <c r="T330" s="30" t="str">
        <f>IF($A330="","",IF(T$6="NÃO",0,IF($A330=0,DATEDIF(ESTRUTURA!$F$3,ESTRUTURA!$F$4,"m")*Tabela!$H$18,Tabela!$H$18)))</f>
        <v/>
      </c>
      <c r="U330" s="60" t="str">
        <f t="shared" si="64"/>
        <v/>
      </c>
      <c r="V330" s="30" t="str">
        <f>IF($A330="","",IF(V$6="NÃO",0,IF($A330=0,DATEDIF(ESTRUTURA!$F$3,ESTRUTURA!$F$4,"m")*Tabela!$H$20,Tabela!$H$20)))</f>
        <v/>
      </c>
      <c r="W330" s="60" t="str">
        <f t="shared" si="64"/>
        <v/>
      </c>
      <c r="X330" s="30" t="str">
        <f t="shared" si="64"/>
        <v/>
      </c>
      <c r="Y330" s="60" t="str">
        <f>IF($A330="","",IF(Y$6="NÃO",0,IF(A330=0,Tabela!$H$23,IF(Y$7="mensal",Tabela!$H$23,IF(AND(MONTH(ESTRUTURA!C330)=MONTH(ESTRUTURA!$F$3),A330&gt;0),Tabela!$H$23,0)))))</f>
        <v/>
      </c>
      <c r="Z330" s="30" t="str">
        <f t="shared" si="64"/>
        <v/>
      </c>
      <c r="AA330" s="60" t="str">
        <f>IF($A330="","",IF(AA$6="NÃO",0,Tabela!$H$25*nm_séries))</f>
        <v/>
      </c>
      <c r="AB330" s="30" t="str">
        <f t="shared" si="64"/>
        <v/>
      </c>
      <c r="AC330" s="60" t="str">
        <f>IF($A330="","",IF(AC$6="NÃO",0,IF(A330=0,Tabela!$H$27,IF(MOD(A330,3)=0,Tabela!$H$27,0))))</f>
        <v/>
      </c>
      <c r="AD330" s="30" t="str">
        <f t="shared" si="64"/>
        <v/>
      </c>
      <c r="AE330" s="60" t="str">
        <f t="shared" si="64"/>
        <v/>
      </c>
      <c r="AF330" s="30" t="str">
        <f>IF($A330="","",IF(AF$6="NÃO",0,IF(AND(MONTH(ESTRUTURA!C330)=MONTH(ESTRUTURA!$F$3),A330&gt;0),Tabela!$H$30,0)))</f>
        <v/>
      </c>
      <c r="AG330" s="60" t="str">
        <f t="shared" si="64"/>
        <v/>
      </c>
      <c r="AH330" s="30" t="str">
        <f t="shared" si="64"/>
        <v/>
      </c>
      <c r="AI330" s="60" t="str">
        <f>IF($A330="","",IF(AI$6="NÃO",0,IF($A330=0,DATEDIF(ESTRUTURA!$F$3,ESTRUTURA!$F$4,"m")*Tabela!$H$33,Tabela!$H$33)))</f>
        <v/>
      </c>
      <c r="AJ330" s="30" t="str">
        <f t="shared" si="62"/>
        <v/>
      </c>
    </row>
    <row r="331" spans="1:36" x14ac:dyDescent="0.2">
      <c r="A331" s="66" t="str">
        <f>ESTRUTURA!A331</f>
        <v/>
      </c>
      <c r="B331" s="58">
        <f t="shared" si="56"/>
        <v>0</v>
      </c>
      <c r="C331" s="60" t="str">
        <f t="shared" si="65"/>
        <v/>
      </c>
      <c r="D331" s="30" t="str">
        <f t="shared" si="65"/>
        <v/>
      </c>
      <c r="E331" s="60" t="str">
        <f t="shared" si="65"/>
        <v/>
      </c>
      <c r="F331" s="30" t="str">
        <f>IF($A331="","",IF(F$6="NÃO",0,Tabela!$H$34*ESTRUTURA!$I$4))</f>
        <v/>
      </c>
      <c r="G331" s="60" t="str">
        <f t="shared" si="65"/>
        <v/>
      </c>
      <c r="H331" s="30" t="str">
        <f>IF($A331="","",IF(H$6="NÃO",0,IF($A331=0,DATEDIF(ESTRUTURA!$F$3,ESTRUTURA!$F$4,"m")*Tabela!$H$6,Tabela!$H$6)))</f>
        <v/>
      </c>
      <c r="I331" s="60" t="str">
        <f t="shared" si="65"/>
        <v/>
      </c>
      <c r="J331" s="30" t="str">
        <f>IF($A331="","",IF(J$6="NÃO",0,IF($A331=0,DATEDIF(ESTRUTURA!$F$3,ESTRUTURA!$F$4,"m")*Tabela!$H$8,IF(J$6="NÃO",0,Tabela!$H$8))))</f>
        <v/>
      </c>
      <c r="K331" s="60" t="str">
        <f t="shared" si="65"/>
        <v/>
      </c>
      <c r="L331" s="30" t="str">
        <f t="shared" si="65"/>
        <v/>
      </c>
      <c r="M331" s="60" t="str">
        <f t="shared" si="65"/>
        <v/>
      </c>
      <c r="N331" s="30" t="str">
        <f t="shared" si="65"/>
        <v/>
      </c>
      <c r="O331" s="60" t="str">
        <f t="shared" si="65"/>
        <v/>
      </c>
      <c r="P331" s="30" t="str">
        <f t="shared" si="63"/>
        <v/>
      </c>
      <c r="Q331" s="60" t="str">
        <f t="shared" si="65"/>
        <v/>
      </c>
      <c r="R331" s="30" t="str">
        <f t="shared" si="65"/>
        <v/>
      </c>
      <c r="S331" s="60" t="str">
        <f>IF($A331="","",IF(S$6="NÃO",0,IF($A331=0,DATEDIF(ESTRUTURA!$F$3,ESTRUTURA!$F$4,"m")*Tabela!$H$17,Tabela!$H$17)))</f>
        <v/>
      </c>
      <c r="T331" s="30" t="str">
        <f>IF($A331="","",IF(T$6="NÃO",0,IF($A331=0,DATEDIF(ESTRUTURA!$F$3,ESTRUTURA!$F$4,"m")*Tabela!$H$18,Tabela!$H$18)))</f>
        <v/>
      </c>
      <c r="U331" s="60" t="str">
        <f t="shared" ref="U331:AH346" si="66">IF($A331="","",IF(U$6="NÃO",0,0))</f>
        <v/>
      </c>
      <c r="V331" s="30" t="str">
        <f>IF($A331="","",IF(V$6="NÃO",0,IF($A331=0,DATEDIF(ESTRUTURA!$F$3,ESTRUTURA!$F$4,"m")*Tabela!$H$20,Tabela!$H$20)))</f>
        <v/>
      </c>
      <c r="W331" s="60" t="str">
        <f t="shared" si="66"/>
        <v/>
      </c>
      <c r="X331" s="30" t="str">
        <f t="shared" si="66"/>
        <v/>
      </c>
      <c r="Y331" s="60" t="str">
        <f>IF($A331="","",IF(Y$6="NÃO",0,IF(A331=0,Tabela!$H$23,IF(Y$7="mensal",Tabela!$H$23,IF(AND(MONTH(ESTRUTURA!C331)=MONTH(ESTRUTURA!$F$3),A331&gt;0),Tabela!$H$23,0)))))</f>
        <v/>
      </c>
      <c r="Z331" s="30" t="str">
        <f t="shared" si="66"/>
        <v/>
      </c>
      <c r="AA331" s="60" t="str">
        <f>IF($A331="","",IF(AA$6="NÃO",0,Tabela!$H$25*nm_séries))</f>
        <v/>
      </c>
      <c r="AB331" s="30" t="str">
        <f t="shared" si="66"/>
        <v/>
      </c>
      <c r="AC331" s="60" t="str">
        <f>IF($A331="","",IF(AC$6="NÃO",0,IF(A331=0,Tabela!$H$27,IF(MOD(A331,3)=0,Tabela!$H$27,0))))</f>
        <v/>
      </c>
      <c r="AD331" s="30" t="str">
        <f t="shared" si="66"/>
        <v/>
      </c>
      <c r="AE331" s="60" t="str">
        <f t="shared" si="66"/>
        <v/>
      </c>
      <c r="AF331" s="30" t="str">
        <f>IF($A331="","",IF(AF$6="NÃO",0,IF(AND(MONTH(ESTRUTURA!C331)=MONTH(ESTRUTURA!$F$3),A331&gt;0),Tabela!$H$30,0)))</f>
        <v/>
      </c>
      <c r="AG331" s="60" t="str">
        <f t="shared" si="66"/>
        <v/>
      </c>
      <c r="AH331" s="30" t="str">
        <f t="shared" si="66"/>
        <v/>
      </c>
      <c r="AI331" s="60" t="str">
        <f>IF($A331="","",IF(AI$6="NÃO",0,IF($A331=0,DATEDIF(ESTRUTURA!$F$3,ESTRUTURA!$F$4,"m")*Tabela!$H$33,Tabela!$H$33)))</f>
        <v/>
      </c>
      <c r="AJ331" s="30" t="str">
        <f t="shared" si="62"/>
        <v/>
      </c>
    </row>
    <row r="332" spans="1:36" x14ac:dyDescent="0.2">
      <c r="A332" s="66" t="str">
        <f>ESTRUTURA!A332</f>
        <v/>
      </c>
      <c r="B332" s="58">
        <f t="shared" si="56"/>
        <v>0</v>
      </c>
      <c r="C332" s="60" t="str">
        <f t="shared" ref="C332:R347" si="67">IF($A332="","",IF(C$6="NÃO",0,0))</f>
        <v/>
      </c>
      <c r="D332" s="30" t="str">
        <f t="shared" si="67"/>
        <v/>
      </c>
      <c r="E332" s="60" t="str">
        <f t="shared" si="67"/>
        <v/>
      </c>
      <c r="F332" s="30" t="str">
        <f>IF($A332="","",IF(F$6="NÃO",0,Tabela!$H$34*ESTRUTURA!$I$4))</f>
        <v/>
      </c>
      <c r="G332" s="60" t="str">
        <f t="shared" si="67"/>
        <v/>
      </c>
      <c r="H332" s="30" t="str">
        <f>IF($A332="","",IF(H$6="NÃO",0,IF($A332=0,DATEDIF(ESTRUTURA!$F$3,ESTRUTURA!$F$4,"m")*Tabela!$H$6,Tabela!$H$6)))</f>
        <v/>
      </c>
      <c r="I332" s="60" t="str">
        <f t="shared" si="67"/>
        <v/>
      </c>
      <c r="J332" s="30" t="str">
        <f>IF($A332="","",IF(J$6="NÃO",0,IF($A332=0,DATEDIF(ESTRUTURA!$F$3,ESTRUTURA!$F$4,"m")*Tabela!$H$8,IF(J$6="NÃO",0,Tabela!$H$8))))</f>
        <v/>
      </c>
      <c r="K332" s="60" t="str">
        <f t="shared" si="67"/>
        <v/>
      </c>
      <c r="L332" s="30" t="str">
        <f t="shared" si="67"/>
        <v/>
      </c>
      <c r="M332" s="60" t="str">
        <f t="shared" si="67"/>
        <v/>
      </c>
      <c r="N332" s="30" t="str">
        <f t="shared" si="67"/>
        <v/>
      </c>
      <c r="O332" s="60" t="str">
        <f t="shared" si="67"/>
        <v/>
      </c>
      <c r="P332" s="30" t="str">
        <f t="shared" si="67"/>
        <v/>
      </c>
      <c r="Q332" s="60" t="str">
        <f t="shared" si="67"/>
        <v/>
      </c>
      <c r="R332" s="30" t="str">
        <f t="shared" si="67"/>
        <v/>
      </c>
      <c r="S332" s="60" t="str">
        <f>IF($A332="","",IF(S$6="NÃO",0,IF($A332=0,DATEDIF(ESTRUTURA!$F$3,ESTRUTURA!$F$4,"m")*Tabela!$H$17,Tabela!$H$17)))</f>
        <v/>
      </c>
      <c r="T332" s="30" t="str">
        <f>IF($A332="","",IF(T$6="NÃO",0,IF($A332=0,DATEDIF(ESTRUTURA!$F$3,ESTRUTURA!$F$4,"m")*Tabela!$H$18,Tabela!$H$18)))</f>
        <v/>
      </c>
      <c r="U332" s="60" t="str">
        <f t="shared" si="66"/>
        <v/>
      </c>
      <c r="V332" s="30" t="str">
        <f>IF($A332="","",IF(V$6="NÃO",0,IF($A332=0,DATEDIF(ESTRUTURA!$F$3,ESTRUTURA!$F$4,"m")*Tabela!$H$20,Tabela!$H$20)))</f>
        <v/>
      </c>
      <c r="W332" s="60" t="str">
        <f t="shared" si="66"/>
        <v/>
      </c>
      <c r="X332" s="30" t="str">
        <f t="shared" si="66"/>
        <v/>
      </c>
      <c r="Y332" s="60" t="str">
        <f>IF($A332="","",IF(Y$6="NÃO",0,IF(A332=0,Tabela!$H$23,IF(Y$7="mensal",Tabela!$H$23,IF(AND(MONTH(ESTRUTURA!C332)=MONTH(ESTRUTURA!$F$3),A332&gt;0),Tabela!$H$23,0)))))</f>
        <v/>
      </c>
      <c r="Z332" s="30" t="str">
        <f t="shared" si="66"/>
        <v/>
      </c>
      <c r="AA332" s="60" t="str">
        <f>IF($A332="","",IF(AA$6="NÃO",0,Tabela!$H$25*nm_séries))</f>
        <v/>
      </c>
      <c r="AB332" s="30" t="str">
        <f t="shared" si="66"/>
        <v/>
      </c>
      <c r="AC332" s="60" t="str">
        <f>IF($A332="","",IF(AC$6="NÃO",0,IF(A332=0,Tabela!$H$27,IF(MOD(A332,3)=0,Tabela!$H$27,0))))</f>
        <v/>
      </c>
      <c r="AD332" s="30" t="str">
        <f t="shared" si="66"/>
        <v/>
      </c>
      <c r="AE332" s="60" t="str">
        <f t="shared" si="66"/>
        <v/>
      </c>
      <c r="AF332" s="30" t="str">
        <f>IF($A332="","",IF(AF$6="NÃO",0,IF(AND(MONTH(ESTRUTURA!C332)=MONTH(ESTRUTURA!$F$3),A332&gt;0),Tabela!$H$30,0)))</f>
        <v/>
      </c>
      <c r="AG332" s="60" t="str">
        <f t="shared" si="66"/>
        <v/>
      </c>
      <c r="AH332" s="30" t="str">
        <f t="shared" si="66"/>
        <v/>
      </c>
      <c r="AI332" s="60" t="str">
        <f>IF($A332="","",IF(AI$6="NÃO",0,IF($A332=0,DATEDIF(ESTRUTURA!$F$3,ESTRUTURA!$F$4,"m")*Tabela!$H$33,Tabela!$H$33)))</f>
        <v/>
      </c>
      <c r="AJ332" s="30" t="str">
        <f t="shared" si="62"/>
        <v/>
      </c>
    </row>
    <row r="333" spans="1:36" x14ac:dyDescent="0.2">
      <c r="A333" s="66" t="str">
        <f>ESTRUTURA!A333</f>
        <v/>
      </c>
      <c r="B333" s="58">
        <f t="shared" ref="B333:B371" si="68">IF($C$2="SIM",0,-SUM(C333:AJ333))</f>
        <v>0</v>
      </c>
      <c r="C333" s="60" t="str">
        <f t="shared" si="67"/>
        <v/>
      </c>
      <c r="D333" s="30" t="str">
        <f t="shared" si="67"/>
        <v/>
      </c>
      <c r="E333" s="60" t="str">
        <f t="shared" si="67"/>
        <v/>
      </c>
      <c r="F333" s="30" t="str">
        <f>IF($A333="","",IF(F$6="NÃO",0,Tabela!$H$34*ESTRUTURA!$I$4))</f>
        <v/>
      </c>
      <c r="G333" s="60" t="str">
        <f t="shared" si="67"/>
        <v/>
      </c>
      <c r="H333" s="30" t="str">
        <f>IF($A333="","",IF(H$6="NÃO",0,IF($A333=0,DATEDIF(ESTRUTURA!$F$3,ESTRUTURA!$F$4,"m")*Tabela!$H$6,Tabela!$H$6)))</f>
        <v/>
      </c>
      <c r="I333" s="60" t="str">
        <f t="shared" si="67"/>
        <v/>
      </c>
      <c r="J333" s="30" t="str">
        <f>IF($A333="","",IF(J$6="NÃO",0,IF($A333=0,DATEDIF(ESTRUTURA!$F$3,ESTRUTURA!$F$4,"m")*Tabela!$H$8,IF(J$6="NÃO",0,Tabela!$H$8))))</f>
        <v/>
      </c>
      <c r="K333" s="60" t="str">
        <f t="shared" si="67"/>
        <v/>
      </c>
      <c r="L333" s="30" t="str">
        <f t="shared" si="67"/>
        <v/>
      </c>
      <c r="M333" s="60" t="str">
        <f t="shared" si="67"/>
        <v/>
      </c>
      <c r="N333" s="30" t="str">
        <f t="shared" si="67"/>
        <v/>
      </c>
      <c r="O333" s="60" t="str">
        <f t="shared" si="67"/>
        <v/>
      </c>
      <c r="P333" s="30" t="str">
        <f t="shared" si="67"/>
        <v/>
      </c>
      <c r="Q333" s="60" t="str">
        <f t="shared" si="67"/>
        <v/>
      </c>
      <c r="R333" s="30" t="str">
        <f t="shared" si="67"/>
        <v/>
      </c>
      <c r="S333" s="60" t="str">
        <f>IF($A333="","",IF(S$6="NÃO",0,IF($A333=0,DATEDIF(ESTRUTURA!$F$3,ESTRUTURA!$F$4,"m")*Tabela!$H$17,Tabela!$H$17)))</f>
        <v/>
      </c>
      <c r="T333" s="30" t="str">
        <f>IF($A333="","",IF(T$6="NÃO",0,IF($A333=0,DATEDIF(ESTRUTURA!$F$3,ESTRUTURA!$F$4,"m")*Tabela!$H$18,Tabela!$H$18)))</f>
        <v/>
      </c>
      <c r="U333" s="60" t="str">
        <f t="shared" si="66"/>
        <v/>
      </c>
      <c r="V333" s="30" t="str">
        <f>IF($A333="","",IF(V$6="NÃO",0,IF($A333=0,DATEDIF(ESTRUTURA!$F$3,ESTRUTURA!$F$4,"m")*Tabela!$H$20,Tabela!$H$20)))</f>
        <v/>
      </c>
      <c r="W333" s="60" t="str">
        <f t="shared" si="66"/>
        <v/>
      </c>
      <c r="X333" s="30" t="str">
        <f t="shared" si="66"/>
        <v/>
      </c>
      <c r="Y333" s="60" t="str">
        <f>IF($A333="","",IF(Y$6="NÃO",0,IF(A333=0,Tabela!$H$23,IF(Y$7="mensal",Tabela!$H$23,IF(AND(MONTH(ESTRUTURA!C333)=MONTH(ESTRUTURA!$F$3),A333&gt;0),Tabela!$H$23,0)))))</f>
        <v/>
      </c>
      <c r="Z333" s="30" t="str">
        <f t="shared" si="66"/>
        <v/>
      </c>
      <c r="AA333" s="60" t="str">
        <f>IF($A333="","",IF(AA$6="NÃO",0,Tabela!$H$25*nm_séries))</f>
        <v/>
      </c>
      <c r="AB333" s="30" t="str">
        <f t="shared" si="66"/>
        <v/>
      </c>
      <c r="AC333" s="60" t="str">
        <f>IF($A333="","",IF(AC$6="NÃO",0,IF(A333=0,Tabela!$H$27,IF(MOD(A333,3)=0,Tabela!$H$27,0))))</f>
        <v/>
      </c>
      <c r="AD333" s="30" t="str">
        <f t="shared" si="66"/>
        <v/>
      </c>
      <c r="AE333" s="60" t="str">
        <f t="shared" si="66"/>
        <v/>
      </c>
      <c r="AF333" s="30" t="str">
        <f>IF($A333="","",IF(AF$6="NÃO",0,IF(AND(MONTH(ESTRUTURA!C333)=MONTH(ESTRUTURA!$F$3),A333&gt;0),Tabela!$H$30,0)))</f>
        <v/>
      </c>
      <c r="AG333" s="60" t="str">
        <f t="shared" si="66"/>
        <v/>
      </c>
      <c r="AH333" s="30" t="str">
        <f t="shared" si="66"/>
        <v/>
      </c>
      <c r="AI333" s="60" t="str">
        <f>IF($A333="","",IF(AI$6="NÃO",0,IF($A333=0,DATEDIF(ESTRUTURA!$F$3,ESTRUTURA!$F$4,"m")*Tabela!$H$33,Tabela!$H$33)))</f>
        <v/>
      </c>
      <c r="AJ333" s="30" t="str">
        <f t="shared" si="62"/>
        <v/>
      </c>
    </row>
    <row r="334" spans="1:36" x14ac:dyDescent="0.2">
      <c r="A334" s="66" t="str">
        <f>ESTRUTURA!A334</f>
        <v/>
      </c>
      <c r="B334" s="58">
        <f t="shared" si="68"/>
        <v>0</v>
      </c>
      <c r="C334" s="60" t="str">
        <f t="shared" si="67"/>
        <v/>
      </c>
      <c r="D334" s="30" t="str">
        <f t="shared" si="67"/>
        <v/>
      </c>
      <c r="E334" s="60" t="str">
        <f t="shared" si="67"/>
        <v/>
      </c>
      <c r="F334" s="30" t="str">
        <f>IF($A334="","",IF(F$6="NÃO",0,Tabela!$H$34*ESTRUTURA!$I$4))</f>
        <v/>
      </c>
      <c r="G334" s="60" t="str">
        <f t="shared" si="67"/>
        <v/>
      </c>
      <c r="H334" s="30" t="str">
        <f>IF($A334="","",IF(H$6="NÃO",0,IF($A334=0,DATEDIF(ESTRUTURA!$F$3,ESTRUTURA!$F$4,"m")*Tabela!$H$6,Tabela!$H$6)))</f>
        <v/>
      </c>
      <c r="I334" s="60" t="str">
        <f t="shared" si="67"/>
        <v/>
      </c>
      <c r="J334" s="30" t="str">
        <f>IF($A334="","",IF(J$6="NÃO",0,IF($A334=0,DATEDIF(ESTRUTURA!$F$3,ESTRUTURA!$F$4,"m")*Tabela!$H$8,IF(J$6="NÃO",0,Tabela!$H$8))))</f>
        <v/>
      </c>
      <c r="K334" s="60" t="str">
        <f t="shared" si="67"/>
        <v/>
      </c>
      <c r="L334" s="30" t="str">
        <f t="shared" si="67"/>
        <v/>
      </c>
      <c r="M334" s="60" t="str">
        <f t="shared" si="67"/>
        <v/>
      </c>
      <c r="N334" s="30" t="str">
        <f t="shared" si="67"/>
        <v/>
      </c>
      <c r="O334" s="60" t="str">
        <f t="shared" si="67"/>
        <v/>
      </c>
      <c r="P334" s="30" t="str">
        <f t="shared" si="67"/>
        <v/>
      </c>
      <c r="Q334" s="60" t="str">
        <f t="shared" si="67"/>
        <v/>
      </c>
      <c r="R334" s="30" t="str">
        <f t="shared" si="67"/>
        <v/>
      </c>
      <c r="S334" s="60" t="str">
        <f>IF($A334="","",IF(S$6="NÃO",0,IF($A334=0,DATEDIF(ESTRUTURA!$F$3,ESTRUTURA!$F$4,"m")*Tabela!$H$17,Tabela!$H$17)))</f>
        <v/>
      </c>
      <c r="T334" s="30" t="str">
        <f>IF($A334="","",IF(T$6="NÃO",0,IF($A334=0,DATEDIF(ESTRUTURA!$F$3,ESTRUTURA!$F$4,"m")*Tabela!$H$18,Tabela!$H$18)))</f>
        <v/>
      </c>
      <c r="U334" s="60" t="str">
        <f t="shared" si="66"/>
        <v/>
      </c>
      <c r="V334" s="30" t="str">
        <f>IF($A334="","",IF(V$6="NÃO",0,IF($A334=0,DATEDIF(ESTRUTURA!$F$3,ESTRUTURA!$F$4,"m")*Tabela!$H$20,Tabela!$H$20)))</f>
        <v/>
      </c>
      <c r="W334" s="60" t="str">
        <f t="shared" si="66"/>
        <v/>
      </c>
      <c r="X334" s="30" t="str">
        <f t="shared" si="66"/>
        <v/>
      </c>
      <c r="Y334" s="60" t="str">
        <f>IF($A334="","",IF(Y$6="NÃO",0,IF(A334=0,Tabela!$H$23,IF(Y$7="mensal",Tabela!$H$23,IF(AND(MONTH(ESTRUTURA!C334)=MONTH(ESTRUTURA!$F$3),A334&gt;0),Tabela!$H$23,0)))))</f>
        <v/>
      </c>
      <c r="Z334" s="30" t="str">
        <f t="shared" si="66"/>
        <v/>
      </c>
      <c r="AA334" s="60" t="str">
        <f>IF($A334="","",IF(AA$6="NÃO",0,Tabela!$H$25*nm_séries))</f>
        <v/>
      </c>
      <c r="AB334" s="30" t="str">
        <f t="shared" si="66"/>
        <v/>
      </c>
      <c r="AC334" s="60" t="str">
        <f>IF($A334="","",IF(AC$6="NÃO",0,IF(A334=0,Tabela!$H$27,IF(MOD(A334,3)=0,Tabela!$H$27,0))))</f>
        <v/>
      </c>
      <c r="AD334" s="30" t="str">
        <f t="shared" si="66"/>
        <v/>
      </c>
      <c r="AE334" s="60" t="str">
        <f t="shared" si="66"/>
        <v/>
      </c>
      <c r="AF334" s="30" t="str">
        <f>IF($A334="","",IF(AF$6="NÃO",0,IF(AND(MONTH(ESTRUTURA!C334)=MONTH(ESTRUTURA!$F$3),A334&gt;0),Tabela!$H$30,0)))</f>
        <v/>
      </c>
      <c r="AG334" s="60" t="str">
        <f t="shared" si="66"/>
        <v/>
      </c>
      <c r="AH334" s="30" t="str">
        <f t="shared" si="66"/>
        <v/>
      </c>
      <c r="AI334" s="60" t="str">
        <f>IF($A334="","",IF(AI$6="NÃO",0,IF($A334=0,DATEDIF(ESTRUTURA!$F$3,ESTRUTURA!$F$4,"m")*Tabela!$H$33,Tabela!$H$33)))</f>
        <v/>
      </c>
      <c r="AJ334" s="30" t="str">
        <f t="shared" si="62"/>
        <v/>
      </c>
    </row>
    <row r="335" spans="1:36" x14ac:dyDescent="0.2">
      <c r="A335" s="66" t="str">
        <f>ESTRUTURA!A335</f>
        <v/>
      </c>
      <c r="B335" s="58">
        <f t="shared" si="68"/>
        <v>0</v>
      </c>
      <c r="C335" s="60" t="str">
        <f t="shared" si="67"/>
        <v/>
      </c>
      <c r="D335" s="30" t="str">
        <f t="shared" si="67"/>
        <v/>
      </c>
      <c r="E335" s="60" t="str">
        <f t="shared" si="67"/>
        <v/>
      </c>
      <c r="F335" s="30" t="str">
        <f>IF($A335="","",IF(F$6="NÃO",0,Tabela!$H$34*ESTRUTURA!$I$4))</f>
        <v/>
      </c>
      <c r="G335" s="60" t="str">
        <f t="shared" si="67"/>
        <v/>
      </c>
      <c r="H335" s="30" t="str">
        <f>IF($A335="","",IF(H$6="NÃO",0,IF($A335=0,DATEDIF(ESTRUTURA!$F$3,ESTRUTURA!$F$4,"m")*Tabela!$H$6,Tabela!$H$6)))</f>
        <v/>
      </c>
      <c r="I335" s="60" t="str">
        <f t="shared" si="67"/>
        <v/>
      </c>
      <c r="J335" s="30" t="str">
        <f>IF($A335="","",IF(J$6="NÃO",0,IF($A335=0,DATEDIF(ESTRUTURA!$F$3,ESTRUTURA!$F$4,"m")*Tabela!$H$8,IF(J$6="NÃO",0,Tabela!$H$8))))</f>
        <v/>
      </c>
      <c r="K335" s="60" t="str">
        <f t="shared" si="67"/>
        <v/>
      </c>
      <c r="L335" s="30" t="str">
        <f t="shared" si="67"/>
        <v/>
      </c>
      <c r="M335" s="60" t="str">
        <f t="shared" si="67"/>
        <v/>
      </c>
      <c r="N335" s="30" t="str">
        <f t="shared" si="67"/>
        <v/>
      </c>
      <c r="O335" s="60" t="str">
        <f t="shared" si="67"/>
        <v/>
      </c>
      <c r="P335" s="30" t="str">
        <f t="shared" si="67"/>
        <v/>
      </c>
      <c r="Q335" s="60" t="str">
        <f t="shared" si="67"/>
        <v/>
      </c>
      <c r="R335" s="30" t="str">
        <f t="shared" si="67"/>
        <v/>
      </c>
      <c r="S335" s="60" t="str">
        <f>IF($A335="","",IF(S$6="NÃO",0,IF($A335=0,DATEDIF(ESTRUTURA!$F$3,ESTRUTURA!$F$4,"m")*Tabela!$H$17,Tabela!$H$17)))</f>
        <v/>
      </c>
      <c r="T335" s="30" t="str">
        <f>IF($A335="","",IF(T$6="NÃO",0,IF($A335=0,DATEDIF(ESTRUTURA!$F$3,ESTRUTURA!$F$4,"m")*Tabela!$H$18,Tabela!$H$18)))</f>
        <v/>
      </c>
      <c r="U335" s="60" t="str">
        <f t="shared" si="66"/>
        <v/>
      </c>
      <c r="V335" s="30" t="str">
        <f>IF($A335="","",IF(V$6="NÃO",0,IF($A335=0,DATEDIF(ESTRUTURA!$F$3,ESTRUTURA!$F$4,"m")*Tabela!$H$20,Tabela!$H$20)))</f>
        <v/>
      </c>
      <c r="W335" s="60" t="str">
        <f t="shared" si="66"/>
        <v/>
      </c>
      <c r="X335" s="30" t="str">
        <f t="shared" si="66"/>
        <v/>
      </c>
      <c r="Y335" s="60" t="str">
        <f>IF($A335="","",IF(Y$6="NÃO",0,IF(A335=0,Tabela!$H$23,IF(Y$7="mensal",Tabela!$H$23,IF(AND(MONTH(ESTRUTURA!C335)=MONTH(ESTRUTURA!$F$3),A335&gt;0),Tabela!$H$23,0)))))</f>
        <v/>
      </c>
      <c r="Z335" s="30" t="str">
        <f t="shared" si="66"/>
        <v/>
      </c>
      <c r="AA335" s="60" t="str">
        <f>IF($A335="","",IF(AA$6="NÃO",0,Tabela!$H$25*nm_séries))</f>
        <v/>
      </c>
      <c r="AB335" s="30" t="str">
        <f t="shared" si="66"/>
        <v/>
      </c>
      <c r="AC335" s="60" t="str">
        <f>IF($A335="","",IF(AC$6="NÃO",0,IF(A335=0,Tabela!$H$27,IF(MOD(A335,3)=0,Tabela!$H$27,0))))</f>
        <v/>
      </c>
      <c r="AD335" s="30" t="str">
        <f t="shared" si="66"/>
        <v/>
      </c>
      <c r="AE335" s="60" t="str">
        <f t="shared" si="66"/>
        <v/>
      </c>
      <c r="AF335" s="30" t="str">
        <f>IF($A335="","",IF(AF$6="NÃO",0,IF(AND(MONTH(ESTRUTURA!C335)=MONTH(ESTRUTURA!$F$3),A335&gt;0),Tabela!$H$30,0)))</f>
        <v/>
      </c>
      <c r="AG335" s="60" t="str">
        <f t="shared" si="66"/>
        <v/>
      </c>
      <c r="AH335" s="30" t="str">
        <f t="shared" si="66"/>
        <v/>
      </c>
      <c r="AI335" s="60" t="str">
        <f>IF($A335="","",IF(AI$6="NÃO",0,IF($A335=0,DATEDIF(ESTRUTURA!$F$3,ESTRUTURA!$F$4,"m")*Tabela!$H$33,Tabela!$H$33)))</f>
        <v/>
      </c>
      <c r="AJ335" s="30" t="str">
        <f t="shared" si="62"/>
        <v/>
      </c>
    </row>
    <row r="336" spans="1:36" x14ac:dyDescent="0.2">
      <c r="A336" s="66" t="str">
        <f>ESTRUTURA!A336</f>
        <v/>
      </c>
      <c r="B336" s="58">
        <f t="shared" si="68"/>
        <v>0</v>
      </c>
      <c r="C336" s="60" t="str">
        <f t="shared" si="67"/>
        <v/>
      </c>
      <c r="D336" s="30" t="str">
        <f t="shared" si="67"/>
        <v/>
      </c>
      <c r="E336" s="60" t="str">
        <f t="shared" si="67"/>
        <v/>
      </c>
      <c r="F336" s="30" t="str">
        <f>IF($A336="","",IF(F$6="NÃO",0,Tabela!$H$34*ESTRUTURA!$I$4))</f>
        <v/>
      </c>
      <c r="G336" s="60" t="str">
        <f t="shared" si="67"/>
        <v/>
      </c>
      <c r="H336" s="30" t="str">
        <f>IF($A336="","",IF(H$6="NÃO",0,IF($A336=0,DATEDIF(ESTRUTURA!$F$3,ESTRUTURA!$F$4,"m")*Tabela!$H$6,Tabela!$H$6)))</f>
        <v/>
      </c>
      <c r="I336" s="60" t="str">
        <f t="shared" si="67"/>
        <v/>
      </c>
      <c r="J336" s="30" t="str">
        <f>IF($A336="","",IF(J$6="NÃO",0,IF($A336=0,DATEDIF(ESTRUTURA!$F$3,ESTRUTURA!$F$4,"m")*Tabela!$H$8,IF(J$6="NÃO",0,Tabela!$H$8))))</f>
        <v/>
      </c>
      <c r="K336" s="60" t="str">
        <f t="shared" si="67"/>
        <v/>
      </c>
      <c r="L336" s="30" t="str">
        <f t="shared" si="67"/>
        <v/>
      </c>
      <c r="M336" s="60" t="str">
        <f t="shared" si="67"/>
        <v/>
      </c>
      <c r="N336" s="30" t="str">
        <f t="shared" si="67"/>
        <v/>
      </c>
      <c r="O336" s="60" t="str">
        <f t="shared" si="67"/>
        <v/>
      </c>
      <c r="P336" s="30" t="str">
        <f t="shared" si="67"/>
        <v/>
      </c>
      <c r="Q336" s="60" t="str">
        <f t="shared" si="67"/>
        <v/>
      </c>
      <c r="R336" s="30" t="str">
        <f t="shared" si="67"/>
        <v/>
      </c>
      <c r="S336" s="60" t="str">
        <f>IF($A336="","",IF(S$6="NÃO",0,IF($A336=0,DATEDIF(ESTRUTURA!$F$3,ESTRUTURA!$F$4,"m")*Tabela!$H$17,Tabela!$H$17)))</f>
        <v/>
      </c>
      <c r="T336" s="30" t="str">
        <f>IF($A336="","",IF(T$6="NÃO",0,IF($A336=0,DATEDIF(ESTRUTURA!$F$3,ESTRUTURA!$F$4,"m")*Tabela!$H$18,Tabela!$H$18)))</f>
        <v/>
      </c>
      <c r="U336" s="60" t="str">
        <f t="shared" si="66"/>
        <v/>
      </c>
      <c r="V336" s="30" t="str">
        <f>IF($A336="","",IF(V$6="NÃO",0,IF($A336=0,DATEDIF(ESTRUTURA!$F$3,ESTRUTURA!$F$4,"m")*Tabela!$H$20,Tabela!$H$20)))</f>
        <v/>
      </c>
      <c r="W336" s="60" t="str">
        <f t="shared" si="66"/>
        <v/>
      </c>
      <c r="X336" s="30" t="str">
        <f t="shared" si="66"/>
        <v/>
      </c>
      <c r="Y336" s="60" t="str">
        <f>IF($A336="","",IF(Y$6="NÃO",0,IF(A336=0,Tabela!$H$23,IF(Y$7="mensal",Tabela!$H$23,IF(AND(MONTH(ESTRUTURA!C336)=MONTH(ESTRUTURA!$F$3),A336&gt;0),Tabela!$H$23,0)))))</f>
        <v/>
      </c>
      <c r="Z336" s="30" t="str">
        <f t="shared" si="66"/>
        <v/>
      </c>
      <c r="AA336" s="60" t="str">
        <f>IF($A336="","",IF(AA$6="NÃO",0,Tabela!$H$25*nm_séries))</f>
        <v/>
      </c>
      <c r="AB336" s="30" t="str">
        <f t="shared" si="66"/>
        <v/>
      </c>
      <c r="AC336" s="60" t="str">
        <f>IF($A336="","",IF(AC$6="NÃO",0,IF(A336=0,Tabela!$H$27,IF(MOD(A336,3)=0,Tabela!$H$27,0))))</f>
        <v/>
      </c>
      <c r="AD336" s="30" t="str">
        <f t="shared" si="66"/>
        <v/>
      </c>
      <c r="AE336" s="60" t="str">
        <f t="shared" si="66"/>
        <v/>
      </c>
      <c r="AF336" s="30" t="str">
        <f>IF($A336="","",IF(AF$6="NÃO",0,IF(AND(MONTH(ESTRUTURA!C336)=MONTH(ESTRUTURA!$F$3),A336&gt;0),Tabela!$H$30,0)))</f>
        <v/>
      </c>
      <c r="AG336" s="60" t="str">
        <f t="shared" si="66"/>
        <v/>
      </c>
      <c r="AH336" s="30" t="str">
        <f t="shared" si="66"/>
        <v/>
      </c>
      <c r="AI336" s="60" t="str">
        <f>IF($A336="","",IF(AI$6="NÃO",0,IF($A336=0,DATEDIF(ESTRUTURA!$F$3,ESTRUTURA!$F$4,"m")*Tabela!$H$33,Tabela!$H$33)))</f>
        <v/>
      </c>
      <c r="AJ336" s="30" t="str">
        <f t="shared" si="62"/>
        <v/>
      </c>
    </row>
    <row r="337" spans="1:36" x14ac:dyDescent="0.2">
      <c r="A337" s="66" t="str">
        <f>ESTRUTURA!A337</f>
        <v/>
      </c>
      <c r="B337" s="58">
        <f t="shared" si="68"/>
        <v>0</v>
      </c>
      <c r="C337" s="60" t="str">
        <f t="shared" si="67"/>
        <v/>
      </c>
      <c r="D337" s="30" t="str">
        <f t="shared" si="67"/>
        <v/>
      </c>
      <c r="E337" s="60" t="str">
        <f t="shared" si="67"/>
        <v/>
      </c>
      <c r="F337" s="30" t="str">
        <f>IF($A337="","",IF(F$6="NÃO",0,Tabela!$H$34*ESTRUTURA!$I$4))</f>
        <v/>
      </c>
      <c r="G337" s="60" t="str">
        <f t="shared" si="67"/>
        <v/>
      </c>
      <c r="H337" s="30" t="str">
        <f>IF($A337="","",IF(H$6="NÃO",0,IF($A337=0,DATEDIF(ESTRUTURA!$F$3,ESTRUTURA!$F$4,"m")*Tabela!$H$6,Tabela!$H$6)))</f>
        <v/>
      </c>
      <c r="I337" s="60" t="str">
        <f t="shared" si="67"/>
        <v/>
      </c>
      <c r="J337" s="30" t="str">
        <f>IF($A337="","",IF(J$6="NÃO",0,IF($A337=0,DATEDIF(ESTRUTURA!$F$3,ESTRUTURA!$F$4,"m")*Tabela!$H$8,IF(J$6="NÃO",0,Tabela!$H$8))))</f>
        <v/>
      </c>
      <c r="K337" s="60" t="str">
        <f t="shared" si="67"/>
        <v/>
      </c>
      <c r="L337" s="30" t="str">
        <f t="shared" si="67"/>
        <v/>
      </c>
      <c r="M337" s="60" t="str">
        <f t="shared" si="67"/>
        <v/>
      </c>
      <c r="N337" s="30" t="str">
        <f t="shared" si="67"/>
        <v/>
      </c>
      <c r="O337" s="60" t="str">
        <f t="shared" si="67"/>
        <v/>
      </c>
      <c r="P337" s="30" t="str">
        <f t="shared" si="67"/>
        <v/>
      </c>
      <c r="Q337" s="60" t="str">
        <f t="shared" si="67"/>
        <v/>
      </c>
      <c r="R337" s="30" t="str">
        <f t="shared" si="67"/>
        <v/>
      </c>
      <c r="S337" s="60" t="str">
        <f>IF($A337="","",IF(S$6="NÃO",0,IF($A337=0,DATEDIF(ESTRUTURA!$F$3,ESTRUTURA!$F$4,"m")*Tabela!$H$17,Tabela!$H$17)))</f>
        <v/>
      </c>
      <c r="T337" s="30" t="str">
        <f>IF($A337="","",IF(T$6="NÃO",0,IF($A337=0,DATEDIF(ESTRUTURA!$F$3,ESTRUTURA!$F$4,"m")*Tabela!$H$18,Tabela!$H$18)))</f>
        <v/>
      </c>
      <c r="U337" s="60" t="str">
        <f t="shared" si="66"/>
        <v/>
      </c>
      <c r="V337" s="30" t="str">
        <f>IF($A337="","",IF(V$6="NÃO",0,IF($A337=0,DATEDIF(ESTRUTURA!$F$3,ESTRUTURA!$F$4,"m")*Tabela!$H$20,Tabela!$H$20)))</f>
        <v/>
      </c>
      <c r="W337" s="60" t="str">
        <f t="shared" si="66"/>
        <v/>
      </c>
      <c r="X337" s="30" t="str">
        <f t="shared" si="66"/>
        <v/>
      </c>
      <c r="Y337" s="60" t="str">
        <f>IF($A337="","",IF(Y$6="NÃO",0,IF(A337=0,Tabela!$H$23,IF(Y$7="mensal",Tabela!$H$23,IF(AND(MONTH(ESTRUTURA!C337)=MONTH(ESTRUTURA!$F$3),A337&gt;0),Tabela!$H$23,0)))))</f>
        <v/>
      </c>
      <c r="Z337" s="30" t="str">
        <f t="shared" si="66"/>
        <v/>
      </c>
      <c r="AA337" s="60" t="str">
        <f>IF($A337="","",IF(AA$6="NÃO",0,Tabela!$H$25*nm_séries))</f>
        <v/>
      </c>
      <c r="AB337" s="30" t="str">
        <f t="shared" si="66"/>
        <v/>
      </c>
      <c r="AC337" s="60" t="str">
        <f>IF($A337="","",IF(AC$6="NÃO",0,IF(A337=0,Tabela!$H$27,IF(MOD(A337,3)=0,Tabela!$H$27,0))))</f>
        <v/>
      </c>
      <c r="AD337" s="30" t="str">
        <f t="shared" si="66"/>
        <v/>
      </c>
      <c r="AE337" s="60" t="str">
        <f t="shared" si="66"/>
        <v/>
      </c>
      <c r="AF337" s="30" t="str">
        <f>IF($A337="","",IF(AF$6="NÃO",0,IF(AND(MONTH(ESTRUTURA!C337)=MONTH(ESTRUTURA!$F$3),A337&gt;0),Tabela!$H$30,0)))</f>
        <v/>
      </c>
      <c r="AG337" s="60" t="str">
        <f t="shared" si="66"/>
        <v/>
      </c>
      <c r="AH337" s="30" t="str">
        <f t="shared" si="66"/>
        <v/>
      </c>
      <c r="AI337" s="60" t="str">
        <f>IF($A337="","",IF(AI$6="NÃO",0,IF($A337=0,DATEDIF(ESTRUTURA!$F$3,ESTRUTURA!$F$4,"m")*Tabela!$H$33,Tabela!$H$33)))</f>
        <v/>
      </c>
      <c r="AJ337" s="30" t="str">
        <f t="shared" si="62"/>
        <v/>
      </c>
    </row>
    <row r="338" spans="1:36" x14ac:dyDescent="0.2">
      <c r="A338" s="66" t="str">
        <f>ESTRUTURA!A338</f>
        <v/>
      </c>
      <c r="B338" s="58">
        <f t="shared" si="68"/>
        <v>0</v>
      </c>
      <c r="C338" s="60" t="str">
        <f t="shared" si="67"/>
        <v/>
      </c>
      <c r="D338" s="30" t="str">
        <f t="shared" si="67"/>
        <v/>
      </c>
      <c r="E338" s="60" t="str">
        <f t="shared" si="67"/>
        <v/>
      </c>
      <c r="F338" s="30" t="str">
        <f>IF($A338="","",IF(F$6="NÃO",0,Tabela!$H$34*ESTRUTURA!$I$4))</f>
        <v/>
      </c>
      <c r="G338" s="60" t="str">
        <f t="shared" si="67"/>
        <v/>
      </c>
      <c r="H338" s="30" t="str">
        <f>IF($A338="","",IF(H$6="NÃO",0,IF($A338=0,DATEDIF(ESTRUTURA!$F$3,ESTRUTURA!$F$4,"m")*Tabela!$H$6,Tabela!$H$6)))</f>
        <v/>
      </c>
      <c r="I338" s="60" t="str">
        <f t="shared" si="67"/>
        <v/>
      </c>
      <c r="J338" s="30" t="str">
        <f>IF($A338="","",IF(J$6="NÃO",0,IF($A338=0,DATEDIF(ESTRUTURA!$F$3,ESTRUTURA!$F$4,"m")*Tabela!$H$8,IF(J$6="NÃO",0,Tabela!$H$8))))</f>
        <v/>
      </c>
      <c r="K338" s="60" t="str">
        <f t="shared" si="67"/>
        <v/>
      </c>
      <c r="L338" s="30" t="str">
        <f t="shared" si="67"/>
        <v/>
      </c>
      <c r="M338" s="60" t="str">
        <f t="shared" si="67"/>
        <v/>
      </c>
      <c r="N338" s="30" t="str">
        <f t="shared" si="67"/>
        <v/>
      </c>
      <c r="O338" s="60" t="str">
        <f t="shared" si="67"/>
        <v/>
      </c>
      <c r="P338" s="30" t="str">
        <f t="shared" si="67"/>
        <v/>
      </c>
      <c r="Q338" s="60" t="str">
        <f t="shared" si="67"/>
        <v/>
      </c>
      <c r="R338" s="30" t="str">
        <f t="shared" si="67"/>
        <v/>
      </c>
      <c r="S338" s="60" t="str">
        <f>IF($A338="","",IF(S$6="NÃO",0,IF($A338=0,DATEDIF(ESTRUTURA!$F$3,ESTRUTURA!$F$4,"m")*Tabela!$H$17,Tabela!$H$17)))</f>
        <v/>
      </c>
      <c r="T338" s="30" t="str">
        <f>IF($A338="","",IF(T$6="NÃO",0,IF($A338=0,DATEDIF(ESTRUTURA!$F$3,ESTRUTURA!$F$4,"m")*Tabela!$H$18,Tabela!$H$18)))</f>
        <v/>
      </c>
      <c r="U338" s="60" t="str">
        <f t="shared" si="66"/>
        <v/>
      </c>
      <c r="V338" s="30" t="str">
        <f>IF($A338="","",IF(V$6="NÃO",0,IF($A338=0,DATEDIF(ESTRUTURA!$F$3,ESTRUTURA!$F$4,"m")*Tabela!$H$20,Tabela!$H$20)))</f>
        <v/>
      </c>
      <c r="W338" s="60" t="str">
        <f t="shared" si="66"/>
        <v/>
      </c>
      <c r="X338" s="30" t="str">
        <f t="shared" si="66"/>
        <v/>
      </c>
      <c r="Y338" s="60" t="str">
        <f>IF($A338="","",IF(Y$6="NÃO",0,IF(A338=0,Tabela!$H$23,IF(Y$7="mensal",Tabela!$H$23,IF(AND(MONTH(ESTRUTURA!C338)=MONTH(ESTRUTURA!$F$3),A338&gt;0),Tabela!$H$23,0)))))</f>
        <v/>
      </c>
      <c r="Z338" s="30" t="str">
        <f t="shared" si="66"/>
        <v/>
      </c>
      <c r="AA338" s="60" t="str">
        <f>IF($A338="","",IF(AA$6="NÃO",0,Tabela!$H$25*nm_séries))</f>
        <v/>
      </c>
      <c r="AB338" s="30" t="str">
        <f t="shared" si="66"/>
        <v/>
      </c>
      <c r="AC338" s="60" t="str">
        <f>IF($A338="","",IF(AC$6="NÃO",0,IF(A338=0,Tabela!$H$27,IF(MOD(A338,3)=0,Tabela!$H$27,0))))</f>
        <v/>
      </c>
      <c r="AD338" s="30" t="str">
        <f t="shared" si="66"/>
        <v/>
      </c>
      <c r="AE338" s="60" t="str">
        <f t="shared" si="66"/>
        <v/>
      </c>
      <c r="AF338" s="30" t="str">
        <f>IF($A338="","",IF(AF$6="NÃO",0,IF(AND(MONTH(ESTRUTURA!C338)=MONTH(ESTRUTURA!$F$3),A338&gt;0),Tabela!$H$30,0)))</f>
        <v/>
      </c>
      <c r="AG338" s="60" t="str">
        <f t="shared" si="66"/>
        <v/>
      </c>
      <c r="AH338" s="30" t="str">
        <f t="shared" si="66"/>
        <v/>
      </c>
      <c r="AI338" s="60" t="str">
        <f>IF($A338="","",IF(AI$6="NÃO",0,IF($A338=0,DATEDIF(ESTRUTURA!$F$3,ESTRUTURA!$F$4,"m")*Tabela!$H$33,Tabela!$H$33)))</f>
        <v/>
      </c>
      <c r="AJ338" s="30" t="str">
        <f t="shared" si="62"/>
        <v/>
      </c>
    </row>
    <row r="339" spans="1:36" x14ac:dyDescent="0.2">
      <c r="A339" s="66" t="str">
        <f>ESTRUTURA!A339</f>
        <v/>
      </c>
      <c r="B339" s="58">
        <f t="shared" si="68"/>
        <v>0</v>
      </c>
      <c r="C339" s="60" t="str">
        <f t="shared" si="67"/>
        <v/>
      </c>
      <c r="D339" s="30" t="str">
        <f t="shared" si="67"/>
        <v/>
      </c>
      <c r="E339" s="60" t="str">
        <f t="shared" si="67"/>
        <v/>
      </c>
      <c r="F339" s="30" t="str">
        <f>IF($A339="","",IF(F$6="NÃO",0,Tabela!$H$34*ESTRUTURA!$I$4))</f>
        <v/>
      </c>
      <c r="G339" s="60" t="str">
        <f t="shared" si="67"/>
        <v/>
      </c>
      <c r="H339" s="30" t="str">
        <f>IF($A339="","",IF(H$6="NÃO",0,IF($A339=0,DATEDIF(ESTRUTURA!$F$3,ESTRUTURA!$F$4,"m")*Tabela!$H$6,Tabela!$H$6)))</f>
        <v/>
      </c>
      <c r="I339" s="60" t="str">
        <f t="shared" si="67"/>
        <v/>
      </c>
      <c r="J339" s="30" t="str">
        <f>IF($A339="","",IF(J$6="NÃO",0,IF($A339=0,DATEDIF(ESTRUTURA!$F$3,ESTRUTURA!$F$4,"m")*Tabela!$H$8,IF(J$6="NÃO",0,Tabela!$H$8))))</f>
        <v/>
      </c>
      <c r="K339" s="60" t="str">
        <f t="shared" si="67"/>
        <v/>
      </c>
      <c r="L339" s="30" t="str">
        <f t="shared" si="67"/>
        <v/>
      </c>
      <c r="M339" s="60" t="str">
        <f t="shared" si="67"/>
        <v/>
      </c>
      <c r="N339" s="30" t="str">
        <f t="shared" si="67"/>
        <v/>
      </c>
      <c r="O339" s="60" t="str">
        <f t="shared" si="67"/>
        <v/>
      </c>
      <c r="P339" s="30" t="str">
        <f t="shared" si="67"/>
        <v/>
      </c>
      <c r="Q339" s="60" t="str">
        <f t="shared" si="67"/>
        <v/>
      </c>
      <c r="R339" s="30" t="str">
        <f t="shared" si="67"/>
        <v/>
      </c>
      <c r="S339" s="60" t="str">
        <f>IF($A339="","",IF(S$6="NÃO",0,IF($A339=0,DATEDIF(ESTRUTURA!$F$3,ESTRUTURA!$F$4,"m")*Tabela!$H$17,Tabela!$H$17)))</f>
        <v/>
      </c>
      <c r="T339" s="30" t="str">
        <f>IF($A339="","",IF(T$6="NÃO",0,IF($A339=0,DATEDIF(ESTRUTURA!$F$3,ESTRUTURA!$F$4,"m")*Tabela!$H$18,Tabela!$H$18)))</f>
        <v/>
      </c>
      <c r="U339" s="60" t="str">
        <f t="shared" si="66"/>
        <v/>
      </c>
      <c r="V339" s="30" t="str">
        <f>IF($A339="","",IF(V$6="NÃO",0,IF($A339=0,DATEDIF(ESTRUTURA!$F$3,ESTRUTURA!$F$4,"m")*Tabela!$H$20,Tabela!$H$20)))</f>
        <v/>
      </c>
      <c r="W339" s="60" t="str">
        <f t="shared" si="66"/>
        <v/>
      </c>
      <c r="X339" s="30" t="str">
        <f t="shared" si="66"/>
        <v/>
      </c>
      <c r="Y339" s="60" t="str">
        <f>IF($A339="","",IF(Y$6="NÃO",0,IF(A339=0,Tabela!$H$23,IF(Y$7="mensal",Tabela!$H$23,IF(AND(MONTH(ESTRUTURA!C339)=MONTH(ESTRUTURA!$F$3),A339&gt;0),Tabela!$H$23,0)))))</f>
        <v/>
      </c>
      <c r="Z339" s="30" t="str">
        <f t="shared" si="66"/>
        <v/>
      </c>
      <c r="AA339" s="60" t="str">
        <f>IF($A339="","",IF(AA$6="NÃO",0,Tabela!$H$25*nm_séries))</f>
        <v/>
      </c>
      <c r="AB339" s="30" t="str">
        <f t="shared" si="66"/>
        <v/>
      </c>
      <c r="AC339" s="60" t="str">
        <f>IF($A339="","",IF(AC$6="NÃO",0,IF(A339=0,Tabela!$H$27,IF(MOD(A339,3)=0,Tabela!$H$27,0))))</f>
        <v/>
      </c>
      <c r="AD339" s="30" t="str">
        <f t="shared" si="66"/>
        <v/>
      </c>
      <c r="AE339" s="60" t="str">
        <f t="shared" si="66"/>
        <v/>
      </c>
      <c r="AF339" s="30" t="str">
        <f>IF($A339="","",IF(AF$6="NÃO",0,IF(AND(MONTH(ESTRUTURA!C339)=MONTH(ESTRUTURA!$F$3),A339&gt;0),Tabela!$H$30,0)))</f>
        <v/>
      </c>
      <c r="AG339" s="60" t="str">
        <f t="shared" si="66"/>
        <v/>
      </c>
      <c r="AH339" s="30" t="str">
        <f t="shared" si="66"/>
        <v/>
      </c>
      <c r="AI339" s="60" t="str">
        <f>IF($A339="","",IF(AI$6="NÃO",0,IF($A339=0,DATEDIF(ESTRUTURA!$F$3,ESTRUTURA!$F$4,"m")*Tabela!$H$33,Tabela!$H$33)))</f>
        <v/>
      </c>
      <c r="AJ339" s="30" t="str">
        <f t="shared" si="62"/>
        <v/>
      </c>
    </row>
    <row r="340" spans="1:36" x14ac:dyDescent="0.2">
      <c r="A340" s="66" t="str">
        <f>ESTRUTURA!A340</f>
        <v/>
      </c>
      <c r="B340" s="58">
        <f t="shared" si="68"/>
        <v>0</v>
      </c>
      <c r="C340" s="60" t="str">
        <f t="shared" si="67"/>
        <v/>
      </c>
      <c r="D340" s="30" t="str">
        <f t="shared" si="67"/>
        <v/>
      </c>
      <c r="E340" s="60" t="str">
        <f t="shared" si="67"/>
        <v/>
      </c>
      <c r="F340" s="30" t="str">
        <f>IF($A340="","",IF(F$6="NÃO",0,Tabela!$H$34*ESTRUTURA!$I$4))</f>
        <v/>
      </c>
      <c r="G340" s="60" t="str">
        <f t="shared" si="67"/>
        <v/>
      </c>
      <c r="H340" s="30" t="str">
        <f>IF($A340="","",IF(H$6="NÃO",0,IF($A340=0,DATEDIF(ESTRUTURA!$F$3,ESTRUTURA!$F$4,"m")*Tabela!$H$6,Tabela!$H$6)))</f>
        <v/>
      </c>
      <c r="I340" s="60" t="str">
        <f t="shared" si="67"/>
        <v/>
      </c>
      <c r="J340" s="30" t="str">
        <f>IF($A340="","",IF(J$6="NÃO",0,IF($A340=0,DATEDIF(ESTRUTURA!$F$3,ESTRUTURA!$F$4,"m")*Tabela!$H$8,IF(J$6="NÃO",0,Tabela!$H$8))))</f>
        <v/>
      </c>
      <c r="K340" s="60" t="str">
        <f t="shared" si="67"/>
        <v/>
      </c>
      <c r="L340" s="30" t="str">
        <f t="shared" si="67"/>
        <v/>
      </c>
      <c r="M340" s="60" t="str">
        <f t="shared" si="67"/>
        <v/>
      </c>
      <c r="N340" s="30" t="str">
        <f t="shared" si="67"/>
        <v/>
      </c>
      <c r="O340" s="60" t="str">
        <f t="shared" si="67"/>
        <v/>
      </c>
      <c r="P340" s="30" t="str">
        <f t="shared" si="67"/>
        <v/>
      </c>
      <c r="Q340" s="60" t="str">
        <f t="shared" si="67"/>
        <v/>
      </c>
      <c r="R340" s="30" t="str">
        <f t="shared" si="67"/>
        <v/>
      </c>
      <c r="S340" s="60" t="str">
        <f>IF($A340="","",IF(S$6="NÃO",0,IF($A340=0,DATEDIF(ESTRUTURA!$F$3,ESTRUTURA!$F$4,"m")*Tabela!$H$17,Tabela!$H$17)))</f>
        <v/>
      </c>
      <c r="T340" s="30" t="str">
        <f>IF($A340="","",IF(T$6="NÃO",0,IF($A340=0,DATEDIF(ESTRUTURA!$F$3,ESTRUTURA!$F$4,"m")*Tabela!$H$18,Tabela!$H$18)))</f>
        <v/>
      </c>
      <c r="U340" s="60" t="str">
        <f t="shared" si="66"/>
        <v/>
      </c>
      <c r="V340" s="30" t="str">
        <f>IF($A340="","",IF(V$6="NÃO",0,IF($A340=0,DATEDIF(ESTRUTURA!$F$3,ESTRUTURA!$F$4,"m")*Tabela!$H$20,Tabela!$H$20)))</f>
        <v/>
      </c>
      <c r="W340" s="60" t="str">
        <f t="shared" si="66"/>
        <v/>
      </c>
      <c r="X340" s="30" t="str">
        <f t="shared" si="66"/>
        <v/>
      </c>
      <c r="Y340" s="60" t="str">
        <f>IF($A340="","",IF(Y$6="NÃO",0,IF(A340=0,Tabela!$H$23,IF(Y$7="mensal",Tabela!$H$23,IF(AND(MONTH(ESTRUTURA!C340)=MONTH(ESTRUTURA!$F$3),A340&gt;0),Tabela!$H$23,0)))))</f>
        <v/>
      </c>
      <c r="Z340" s="30" t="str">
        <f t="shared" si="66"/>
        <v/>
      </c>
      <c r="AA340" s="60" t="str">
        <f>IF($A340="","",IF(AA$6="NÃO",0,Tabela!$H$25*nm_séries))</f>
        <v/>
      </c>
      <c r="AB340" s="30" t="str">
        <f t="shared" si="66"/>
        <v/>
      </c>
      <c r="AC340" s="60" t="str">
        <f>IF($A340="","",IF(AC$6="NÃO",0,IF(A340=0,Tabela!$H$27,IF(MOD(A340,3)=0,Tabela!$H$27,0))))</f>
        <v/>
      </c>
      <c r="AD340" s="30" t="str">
        <f t="shared" si="66"/>
        <v/>
      </c>
      <c r="AE340" s="60" t="str">
        <f t="shared" si="66"/>
        <v/>
      </c>
      <c r="AF340" s="30" t="str">
        <f>IF($A340="","",IF(AF$6="NÃO",0,IF(AND(MONTH(ESTRUTURA!C340)=MONTH(ESTRUTURA!$F$3),A340&gt;0),Tabela!$H$30,0)))</f>
        <v/>
      </c>
      <c r="AG340" s="60" t="str">
        <f t="shared" si="66"/>
        <v/>
      </c>
      <c r="AH340" s="30" t="str">
        <f t="shared" si="66"/>
        <v/>
      </c>
      <c r="AI340" s="60" t="str">
        <f>IF($A340="","",IF(AI$6="NÃO",0,IF($A340=0,DATEDIF(ESTRUTURA!$F$3,ESTRUTURA!$F$4,"m")*Tabela!$H$33,Tabela!$H$33)))</f>
        <v/>
      </c>
      <c r="AJ340" s="30" t="str">
        <f t="shared" si="62"/>
        <v/>
      </c>
    </row>
    <row r="341" spans="1:36" x14ac:dyDescent="0.2">
      <c r="A341" s="66" t="str">
        <f>ESTRUTURA!A341</f>
        <v/>
      </c>
      <c r="B341" s="58">
        <f t="shared" si="68"/>
        <v>0</v>
      </c>
      <c r="C341" s="60" t="str">
        <f t="shared" si="67"/>
        <v/>
      </c>
      <c r="D341" s="30" t="str">
        <f t="shared" si="67"/>
        <v/>
      </c>
      <c r="E341" s="60" t="str">
        <f t="shared" si="67"/>
        <v/>
      </c>
      <c r="F341" s="30" t="str">
        <f>IF($A341="","",IF(F$6="NÃO",0,Tabela!$H$34*ESTRUTURA!$I$4))</f>
        <v/>
      </c>
      <c r="G341" s="60" t="str">
        <f t="shared" si="67"/>
        <v/>
      </c>
      <c r="H341" s="30" t="str">
        <f>IF($A341="","",IF(H$6="NÃO",0,IF($A341=0,DATEDIF(ESTRUTURA!$F$3,ESTRUTURA!$F$4,"m")*Tabela!$H$6,Tabela!$H$6)))</f>
        <v/>
      </c>
      <c r="I341" s="60" t="str">
        <f t="shared" si="67"/>
        <v/>
      </c>
      <c r="J341" s="30" t="str">
        <f>IF($A341="","",IF(J$6="NÃO",0,IF($A341=0,DATEDIF(ESTRUTURA!$F$3,ESTRUTURA!$F$4,"m")*Tabela!$H$8,IF(J$6="NÃO",0,Tabela!$H$8))))</f>
        <v/>
      </c>
      <c r="K341" s="60" t="str">
        <f t="shared" si="67"/>
        <v/>
      </c>
      <c r="L341" s="30" t="str">
        <f t="shared" si="67"/>
        <v/>
      </c>
      <c r="M341" s="60" t="str">
        <f t="shared" si="67"/>
        <v/>
      </c>
      <c r="N341" s="30" t="str">
        <f t="shared" si="67"/>
        <v/>
      </c>
      <c r="O341" s="60" t="str">
        <f t="shared" si="67"/>
        <v/>
      </c>
      <c r="P341" s="30" t="str">
        <f t="shared" si="67"/>
        <v/>
      </c>
      <c r="Q341" s="60" t="str">
        <f t="shared" si="67"/>
        <v/>
      </c>
      <c r="R341" s="30" t="str">
        <f t="shared" si="67"/>
        <v/>
      </c>
      <c r="S341" s="60" t="str">
        <f>IF($A341="","",IF(S$6="NÃO",0,IF($A341=0,DATEDIF(ESTRUTURA!$F$3,ESTRUTURA!$F$4,"m")*Tabela!$H$17,Tabela!$H$17)))</f>
        <v/>
      </c>
      <c r="T341" s="30" t="str">
        <f>IF($A341="","",IF(T$6="NÃO",0,IF($A341=0,DATEDIF(ESTRUTURA!$F$3,ESTRUTURA!$F$4,"m")*Tabela!$H$18,Tabela!$H$18)))</f>
        <v/>
      </c>
      <c r="U341" s="60" t="str">
        <f t="shared" si="66"/>
        <v/>
      </c>
      <c r="V341" s="30" t="str">
        <f>IF($A341="","",IF(V$6="NÃO",0,IF($A341=0,DATEDIF(ESTRUTURA!$F$3,ESTRUTURA!$F$4,"m")*Tabela!$H$20,Tabela!$H$20)))</f>
        <v/>
      </c>
      <c r="W341" s="60" t="str">
        <f t="shared" si="66"/>
        <v/>
      </c>
      <c r="X341" s="30" t="str">
        <f t="shared" si="66"/>
        <v/>
      </c>
      <c r="Y341" s="60" t="str">
        <f>IF($A341="","",IF(Y$6="NÃO",0,IF(A341=0,Tabela!$H$23,IF(Y$7="mensal",Tabela!$H$23,IF(AND(MONTH(ESTRUTURA!C341)=MONTH(ESTRUTURA!$F$3),A341&gt;0),Tabela!$H$23,0)))))</f>
        <v/>
      </c>
      <c r="Z341" s="30" t="str">
        <f t="shared" si="66"/>
        <v/>
      </c>
      <c r="AA341" s="60" t="str">
        <f>IF($A341="","",IF(AA$6="NÃO",0,Tabela!$H$25*nm_séries))</f>
        <v/>
      </c>
      <c r="AB341" s="30" t="str">
        <f t="shared" si="66"/>
        <v/>
      </c>
      <c r="AC341" s="60" t="str">
        <f>IF($A341="","",IF(AC$6="NÃO",0,IF(A341=0,Tabela!$H$27,IF(MOD(A341,3)=0,Tabela!$H$27,0))))</f>
        <v/>
      </c>
      <c r="AD341" s="30" t="str">
        <f t="shared" si="66"/>
        <v/>
      </c>
      <c r="AE341" s="60" t="str">
        <f t="shared" si="66"/>
        <v/>
      </c>
      <c r="AF341" s="30" t="str">
        <f>IF($A341="","",IF(AF$6="NÃO",0,IF(AND(MONTH(ESTRUTURA!C341)=MONTH(ESTRUTURA!$F$3),A341&gt;0),Tabela!$H$30,0)))</f>
        <v/>
      </c>
      <c r="AG341" s="60" t="str">
        <f t="shared" si="66"/>
        <v/>
      </c>
      <c r="AH341" s="30" t="str">
        <f t="shared" si="66"/>
        <v/>
      </c>
      <c r="AI341" s="60" t="str">
        <f>IF($A341="","",IF(AI$6="NÃO",0,IF($A341=0,DATEDIF(ESTRUTURA!$F$3,ESTRUTURA!$F$4,"m")*Tabela!$H$33,Tabela!$H$33)))</f>
        <v/>
      </c>
      <c r="AJ341" s="30" t="str">
        <f t="shared" si="62"/>
        <v/>
      </c>
    </row>
    <row r="342" spans="1:36" x14ac:dyDescent="0.2">
      <c r="A342" s="66" t="str">
        <f>ESTRUTURA!A342</f>
        <v/>
      </c>
      <c r="B342" s="58">
        <f t="shared" si="68"/>
        <v>0</v>
      </c>
      <c r="C342" s="60" t="str">
        <f t="shared" si="67"/>
        <v/>
      </c>
      <c r="D342" s="30" t="str">
        <f t="shared" si="67"/>
        <v/>
      </c>
      <c r="E342" s="60" t="str">
        <f t="shared" si="67"/>
        <v/>
      </c>
      <c r="F342" s="30" t="str">
        <f>IF($A342="","",IF(F$6="NÃO",0,Tabela!$H$34*ESTRUTURA!$I$4))</f>
        <v/>
      </c>
      <c r="G342" s="60" t="str">
        <f t="shared" si="67"/>
        <v/>
      </c>
      <c r="H342" s="30" t="str">
        <f>IF($A342="","",IF(H$6="NÃO",0,IF($A342=0,DATEDIF(ESTRUTURA!$F$3,ESTRUTURA!$F$4,"m")*Tabela!$H$6,Tabela!$H$6)))</f>
        <v/>
      </c>
      <c r="I342" s="60" t="str">
        <f t="shared" si="67"/>
        <v/>
      </c>
      <c r="J342" s="30" t="str">
        <f>IF($A342="","",IF(J$6="NÃO",0,IF($A342=0,DATEDIF(ESTRUTURA!$F$3,ESTRUTURA!$F$4,"m")*Tabela!$H$8,IF(J$6="NÃO",0,Tabela!$H$8))))</f>
        <v/>
      </c>
      <c r="K342" s="60" t="str">
        <f t="shared" si="67"/>
        <v/>
      </c>
      <c r="L342" s="30" t="str">
        <f t="shared" si="67"/>
        <v/>
      </c>
      <c r="M342" s="60" t="str">
        <f t="shared" si="67"/>
        <v/>
      </c>
      <c r="N342" s="30" t="str">
        <f t="shared" si="67"/>
        <v/>
      </c>
      <c r="O342" s="60" t="str">
        <f t="shared" si="67"/>
        <v/>
      </c>
      <c r="P342" s="30" t="str">
        <f t="shared" si="67"/>
        <v/>
      </c>
      <c r="Q342" s="60" t="str">
        <f t="shared" si="67"/>
        <v/>
      </c>
      <c r="R342" s="30" t="str">
        <f t="shared" si="67"/>
        <v/>
      </c>
      <c r="S342" s="60" t="str">
        <f>IF($A342="","",IF(S$6="NÃO",0,IF($A342=0,DATEDIF(ESTRUTURA!$F$3,ESTRUTURA!$F$4,"m")*Tabela!$H$17,Tabela!$H$17)))</f>
        <v/>
      </c>
      <c r="T342" s="30" t="str">
        <f>IF($A342="","",IF(T$6="NÃO",0,IF($A342=0,DATEDIF(ESTRUTURA!$F$3,ESTRUTURA!$F$4,"m")*Tabela!$H$18,Tabela!$H$18)))</f>
        <v/>
      </c>
      <c r="U342" s="60" t="str">
        <f t="shared" si="66"/>
        <v/>
      </c>
      <c r="V342" s="30" t="str">
        <f>IF($A342="","",IF(V$6="NÃO",0,IF($A342=0,DATEDIF(ESTRUTURA!$F$3,ESTRUTURA!$F$4,"m")*Tabela!$H$20,Tabela!$H$20)))</f>
        <v/>
      </c>
      <c r="W342" s="60" t="str">
        <f t="shared" si="66"/>
        <v/>
      </c>
      <c r="X342" s="30" t="str">
        <f t="shared" si="66"/>
        <v/>
      </c>
      <c r="Y342" s="60" t="str">
        <f>IF($A342="","",IF(Y$6="NÃO",0,IF(A342=0,Tabela!$H$23,IF(Y$7="mensal",Tabela!$H$23,IF(AND(MONTH(ESTRUTURA!C342)=MONTH(ESTRUTURA!$F$3),A342&gt;0),Tabela!$H$23,0)))))</f>
        <v/>
      </c>
      <c r="Z342" s="30" t="str">
        <f t="shared" si="66"/>
        <v/>
      </c>
      <c r="AA342" s="60" t="str">
        <f>IF($A342="","",IF(AA$6="NÃO",0,Tabela!$H$25*nm_séries))</f>
        <v/>
      </c>
      <c r="AB342" s="30" t="str">
        <f t="shared" si="66"/>
        <v/>
      </c>
      <c r="AC342" s="60" t="str">
        <f>IF($A342="","",IF(AC$6="NÃO",0,IF(A342=0,Tabela!$H$27,IF(MOD(A342,3)=0,Tabela!$H$27,0))))</f>
        <v/>
      </c>
      <c r="AD342" s="30" t="str">
        <f t="shared" si="66"/>
        <v/>
      </c>
      <c r="AE342" s="60" t="str">
        <f t="shared" si="66"/>
        <v/>
      </c>
      <c r="AF342" s="30" t="str">
        <f>IF($A342="","",IF(AF$6="NÃO",0,IF(AND(MONTH(ESTRUTURA!C342)=MONTH(ESTRUTURA!$F$3),A342&gt;0),Tabela!$H$30,0)))</f>
        <v/>
      </c>
      <c r="AG342" s="60" t="str">
        <f t="shared" si="66"/>
        <v/>
      </c>
      <c r="AH342" s="30" t="str">
        <f t="shared" si="66"/>
        <v/>
      </c>
      <c r="AI342" s="60" t="str">
        <f>IF($A342="","",IF(AI$6="NÃO",0,IF($A342=0,DATEDIF(ESTRUTURA!$F$3,ESTRUTURA!$F$4,"m")*Tabela!$H$33,Tabela!$H$33)))</f>
        <v/>
      </c>
      <c r="AJ342" s="30" t="str">
        <f t="shared" si="62"/>
        <v/>
      </c>
    </row>
    <row r="343" spans="1:36" x14ac:dyDescent="0.2">
      <c r="A343" s="66" t="str">
        <f>ESTRUTURA!A343</f>
        <v/>
      </c>
      <c r="B343" s="58">
        <f t="shared" si="68"/>
        <v>0</v>
      </c>
      <c r="C343" s="60" t="str">
        <f t="shared" si="67"/>
        <v/>
      </c>
      <c r="D343" s="30" t="str">
        <f t="shared" si="67"/>
        <v/>
      </c>
      <c r="E343" s="60" t="str">
        <f t="shared" si="67"/>
        <v/>
      </c>
      <c r="F343" s="30" t="str">
        <f>IF($A343="","",IF(F$6="NÃO",0,Tabela!$H$34*ESTRUTURA!$I$4))</f>
        <v/>
      </c>
      <c r="G343" s="60" t="str">
        <f t="shared" si="67"/>
        <v/>
      </c>
      <c r="H343" s="30" t="str">
        <f>IF($A343="","",IF(H$6="NÃO",0,IF($A343=0,DATEDIF(ESTRUTURA!$F$3,ESTRUTURA!$F$4,"m")*Tabela!$H$6,Tabela!$H$6)))</f>
        <v/>
      </c>
      <c r="I343" s="60" t="str">
        <f t="shared" si="67"/>
        <v/>
      </c>
      <c r="J343" s="30" t="str">
        <f>IF($A343="","",IF(J$6="NÃO",0,IF($A343=0,DATEDIF(ESTRUTURA!$F$3,ESTRUTURA!$F$4,"m")*Tabela!$H$8,IF(J$6="NÃO",0,Tabela!$H$8))))</f>
        <v/>
      </c>
      <c r="K343" s="60" t="str">
        <f t="shared" si="67"/>
        <v/>
      </c>
      <c r="L343" s="30" t="str">
        <f t="shared" si="67"/>
        <v/>
      </c>
      <c r="M343" s="60" t="str">
        <f t="shared" si="67"/>
        <v/>
      </c>
      <c r="N343" s="30" t="str">
        <f t="shared" si="67"/>
        <v/>
      </c>
      <c r="O343" s="60" t="str">
        <f t="shared" si="67"/>
        <v/>
      </c>
      <c r="P343" s="30" t="str">
        <f t="shared" si="67"/>
        <v/>
      </c>
      <c r="Q343" s="60" t="str">
        <f t="shared" si="67"/>
        <v/>
      </c>
      <c r="R343" s="30" t="str">
        <f t="shared" si="67"/>
        <v/>
      </c>
      <c r="S343" s="60" t="str">
        <f>IF($A343="","",IF(S$6="NÃO",0,IF($A343=0,DATEDIF(ESTRUTURA!$F$3,ESTRUTURA!$F$4,"m")*Tabela!$H$17,Tabela!$H$17)))</f>
        <v/>
      </c>
      <c r="T343" s="30" t="str">
        <f>IF($A343="","",IF(T$6="NÃO",0,IF($A343=0,DATEDIF(ESTRUTURA!$F$3,ESTRUTURA!$F$4,"m")*Tabela!$H$18,Tabela!$H$18)))</f>
        <v/>
      </c>
      <c r="U343" s="60" t="str">
        <f t="shared" si="66"/>
        <v/>
      </c>
      <c r="V343" s="30" t="str">
        <f>IF($A343="","",IF(V$6="NÃO",0,IF($A343=0,DATEDIF(ESTRUTURA!$F$3,ESTRUTURA!$F$4,"m")*Tabela!$H$20,Tabela!$H$20)))</f>
        <v/>
      </c>
      <c r="W343" s="60" t="str">
        <f t="shared" si="66"/>
        <v/>
      </c>
      <c r="X343" s="30" t="str">
        <f t="shared" si="66"/>
        <v/>
      </c>
      <c r="Y343" s="60" t="str">
        <f>IF($A343="","",IF(Y$6="NÃO",0,IF(A343=0,Tabela!$H$23,IF(Y$7="mensal",Tabela!$H$23,IF(AND(MONTH(ESTRUTURA!C343)=MONTH(ESTRUTURA!$F$3),A343&gt;0),Tabela!$H$23,0)))))</f>
        <v/>
      </c>
      <c r="Z343" s="30" t="str">
        <f t="shared" si="66"/>
        <v/>
      </c>
      <c r="AA343" s="60" t="str">
        <f>IF($A343="","",IF(AA$6="NÃO",0,Tabela!$H$25*nm_séries))</f>
        <v/>
      </c>
      <c r="AB343" s="30" t="str">
        <f t="shared" si="66"/>
        <v/>
      </c>
      <c r="AC343" s="60" t="str">
        <f>IF($A343="","",IF(AC$6="NÃO",0,IF(A343=0,Tabela!$H$27,IF(MOD(A343,3)=0,Tabela!$H$27,0))))</f>
        <v/>
      </c>
      <c r="AD343" s="30" t="str">
        <f t="shared" si="66"/>
        <v/>
      </c>
      <c r="AE343" s="60" t="str">
        <f t="shared" si="66"/>
        <v/>
      </c>
      <c r="AF343" s="30" t="str">
        <f>IF($A343="","",IF(AF$6="NÃO",0,IF(AND(MONTH(ESTRUTURA!C343)=MONTH(ESTRUTURA!$F$3),A343&gt;0),Tabela!$H$30,0)))</f>
        <v/>
      </c>
      <c r="AG343" s="60" t="str">
        <f t="shared" si="66"/>
        <v/>
      </c>
      <c r="AH343" s="30" t="str">
        <f t="shared" si="66"/>
        <v/>
      </c>
      <c r="AI343" s="60" t="str">
        <f>IF($A343="","",IF(AI$6="NÃO",0,IF($A343=0,DATEDIF(ESTRUTURA!$F$3,ESTRUTURA!$F$4,"m")*Tabela!$H$33,Tabela!$H$33)))</f>
        <v/>
      </c>
      <c r="AJ343" s="30" t="str">
        <f t="shared" si="62"/>
        <v/>
      </c>
    </row>
    <row r="344" spans="1:36" x14ac:dyDescent="0.2">
      <c r="A344" s="66" t="str">
        <f>ESTRUTURA!A344</f>
        <v/>
      </c>
      <c r="B344" s="58">
        <f t="shared" si="68"/>
        <v>0</v>
      </c>
      <c r="C344" s="60" t="str">
        <f t="shared" si="67"/>
        <v/>
      </c>
      <c r="D344" s="30" t="str">
        <f t="shared" si="67"/>
        <v/>
      </c>
      <c r="E344" s="60" t="str">
        <f t="shared" si="67"/>
        <v/>
      </c>
      <c r="F344" s="30" t="str">
        <f>IF($A344="","",IF(F$6="NÃO",0,Tabela!$H$34*ESTRUTURA!$I$4))</f>
        <v/>
      </c>
      <c r="G344" s="60" t="str">
        <f t="shared" si="67"/>
        <v/>
      </c>
      <c r="H344" s="30" t="str">
        <f>IF($A344="","",IF(H$6="NÃO",0,IF($A344=0,DATEDIF(ESTRUTURA!$F$3,ESTRUTURA!$F$4,"m")*Tabela!$H$6,Tabela!$H$6)))</f>
        <v/>
      </c>
      <c r="I344" s="60" t="str">
        <f t="shared" si="67"/>
        <v/>
      </c>
      <c r="J344" s="30" t="str">
        <f>IF($A344="","",IF(J$6="NÃO",0,IF($A344=0,DATEDIF(ESTRUTURA!$F$3,ESTRUTURA!$F$4,"m")*Tabela!$H$8,IF(J$6="NÃO",0,Tabela!$H$8))))</f>
        <v/>
      </c>
      <c r="K344" s="60" t="str">
        <f t="shared" si="67"/>
        <v/>
      </c>
      <c r="L344" s="30" t="str">
        <f t="shared" si="67"/>
        <v/>
      </c>
      <c r="M344" s="60" t="str">
        <f t="shared" si="67"/>
        <v/>
      </c>
      <c r="N344" s="30" t="str">
        <f t="shared" si="67"/>
        <v/>
      </c>
      <c r="O344" s="60" t="str">
        <f t="shared" si="67"/>
        <v/>
      </c>
      <c r="P344" s="30" t="str">
        <f t="shared" si="67"/>
        <v/>
      </c>
      <c r="Q344" s="60" t="str">
        <f t="shared" si="67"/>
        <v/>
      </c>
      <c r="R344" s="30" t="str">
        <f t="shared" si="67"/>
        <v/>
      </c>
      <c r="S344" s="60" t="str">
        <f>IF($A344="","",IF(S$6="NÃO",0,IF($A344=0,DATEDIF(ESTRUTURA!$F$3,ESTRUTURA!$F$4,"m")*Tabela!$H$17,Tabela!$H$17)))</f>
        <v/>
      </c>
      <c r="T344" s="30" t="str">
        <f>IF($A344="","",IF(T$6="NÃO",0,IF($A344=0,DATEDIF(ESTRUTURA!$F$3,ESTRUTURA!$F$4,"m")*Tabela!$H$18,Tabela!$H$18)))</f>
        <v/>
      </c>
      <c r="U344" s="60" t="str">
        <f t="shared" si="66"/>
        <v/>
      </c>
      <c r="V344" s="30" t="str">
        <f>IF($A344="","",IF(V$6="NÃO",0,IF($A344=0,DATEDIF(ESTRUTURA!$F$3,ESTRUTURA!$F$4,"m")*Tabela!$H$20,Tabela!$H$20)))</f>
        <v/>
      </c>
      <c r="W344" s="60" t="str">
        <f t="shared" si="66"/>
        <v/>
      </c>
      <c r="X344" s="30" t="str">
        <f t="shared" si="66"/>
        <v/>
      </c>
      <c r="Y344" s="60" t="str">
        <f>IF($A344="","",IF(Y$6="NÃO",0,IF(A344=0,Tabela!$H$23,IF(Y$7="mensal",Tabela!$H$23,IF(AND(MONTH(ESTRUTURA!C344)=MONTH(ESTRUTURA!$F$3),A344&gt;0),Tabela!$H$23,0)))))</f>
        <v/>
      </c>
      <c r="Z344" s="30" t="str">
        <f t="shared" si="66"/>
        <v/>
      </c>
      <c r="AA344" s="60" t="str">
        <f>IF($A344="","",IF(AA$6="NÃO",0,Tabela!$H$25*nm_séries))</f>
        <v/>
      </c>
      <c r="AB344" s="30" t="str">
        <f t="shared" si="66"/>
        <v/>
      </c>
      <c r="AC344" s="60" t="str">
        <f>IF($A344="","",IF(AC$6="NÃO",0,IF(A344=0,Tabela!$H$27,IF(MOD(A344,3)=0,Tabela!$H$27,0))))</f>
        <v/>
      </c>
      <c r="AD344" s="30" t="str">
        <f t="shared" si="66"/>
        <v/>
      </c>
      <c r="AE344" s="60" t="str">
        <f t="shared" si="66"/>
        <v/>
      </c>
      <c r="AF344" s="30" t="str">
        <f>IF($A344="","",IF(AF$6="NÃO",0,IF(AND(MONTH(ESTRUTURA!C344)=MONTH(ESTRUTURA!$F$3),A344&gt;0),Tabela!$H$30,0)))</f>
        <v/>
      </c>
      <c r="AG344" s="60" t="str">
        <f t="shared" si="66"/>
        <v/>
      </c>
      <c r="AH344" s="30" t="str">
        <f t="shared" si="66"/>
        <v/>
      </c>
      <c r="AI344" s="60" t="str">
        <f>IF($A344="","",IF(AI$6="NÃO",0,IF($A344=0,DATEDIF(ESTRUTURA!$F$3,ESTRUTURA!$F$4,"m")*Tabela!$H$33,Tabela!$H$33)))</f>
        <v/>
      </c>
      <c r="AJ344" s="30" t="str">
        <f t="shared" si="62"/>
        <v/>
      </c>
    </row>
    <row r="345" spans="1:36" x14ac:dyDescent="0.2">
      <c r="A345" s="66" t="str">
        <f>ESTRUTURA!A345</f>
        <v/>
      </c>
      <c r="B345" s="58">
        <f t="shared" si="68"/>
        <v>0</v>
      </c>
      <c r="C345" s="60" t="str">
        <f t="shared" si="67"/>
        <v/>
      </c>
      <c r="D345" s="30" t="str">
        <f t="shared" si="67"/>
        <v/>
      </c>
      <c r="E345" s="60" t="str">
        <f t="shared" si="67"/>
        <v/>
      </c>
      <c r="F345" s="30" t="str">
        <f>IF($A345="","",IF(F$6="NÃO",0,Tabela!$H$34*ESTRUTURA!$I$4))</f>
        <v/>
      </c>
      <c r="G345" s="60" t="str">
        <f t="shared" si="67"/>
        <v/>
      </c>
      <c r="H345" s="30" t="str">
        <f>IF($A345="","",IF(H$6="NÃO",0,IF($A345=0,DATEDIF(ESTRUTURA!$F$3,ESTRUTURA!$F$4,"m")*Tabela!$H$6,Tabela!$H$6)))</f>
        <v/>
      </c>
      <c r="I345" s="60" t="str">
        <f t="shared" si="67"/>
        <v/>
      </c>
      <c r="J345" s="30" t="str">
        <f>IF($A345="","",IF(J$6="NÃO",0,IF($A345=0,DATEDIF(ESTRUTURA!$F$3,ESTRUTURA!$F$4,"m")*Tabela!$H$8,IF(J$6="NÃO",0,Tabela!$H$8))))</f>
        <v/>
      </c>
      <c r="K345" s="60" t="str">
        <f t="shared" si="67"/>
        <v/>
      </c>
      <c r="L345" s="30" t="str">
        <f t="shared" si="67"/>
        <v/>
      </c>
      <c r="M345" s="60" t="str">
        <f t="shared" si="67"/>
        <v/>
      </c>
      <c r="N345" s="30" t="str">
        <f t="shared" si="67"/>
        <v/>
      </c>
      <c r="O345" s="60" t="str">
        <f t="shared" si="67"/>
        <v/>
      </c>
      <c r="P345" s="30" t="str">
        <f t="shared" si="67"/>
        <v/>
      </c>
      <c r="Q345" s="60" t="str">
        <f t="shared" si="67"/>
        <v/>
      </c>
      <c r="R345" s="30" t="str">
        <f t="shared" si="67"/>
        <v/>
      </c>
      <c r="S345" s="60" t="str">
        <f>IF($A345="","",IF(S$6="NÃO",0,IF($A345=0,DATEDIF(ESTRUTURA!$F$3,ESTRUTURA!$F$4,"m")*Tabela!$H$17,Tabela!$H$17)))</f>
        <v/>
      </c>
      <c r="T345" s="30" t="str">
        <f>IF($A345="","",IF(T$6="NÃO",0,IF($A345=0,DATEDIF(ESTRUTURA!$F$3,ESTRUTURA!$F$4,"m")*Tabela!$H$18,Tabela!$H$18)))</f>
        <v/>
      </c>
      <c r="U345" s="60" t="str">
        <f t="shared" si="66"/>
        <v/>
      </c>
      <c r="V345" s="30" t="str">
        <f>IF($A345="","",IF(V$6="NÃO",0,IF($A345=0,DATEDIF(ESTRUTURA!$F$3,ESTRUTURA!$F$4,"m")*Tabela!$H$20,Tabela!$H$20)))</f>
        <v/>
      </c>
      <c r="W345" s="60" t="str">
        <f t="shared" si="66"/>
        <v/>
      </c>
      <c r="X345" s="30" t="str">
        <f t="shared" si="66"/>
        <v/>
      </c>
      <c r="Y345" s="60" t="str">
        <f>IF($A345="","",IF(Y$6="NÃO",0,IF(A345=0,Tabela!$H$23,IF(Y$7="mensal",Tabela!$H$23,IF(AND(MONTH(ESTRUTURA!C345)=MONTH(ESTRUTURA!$F$3),A345&gt;0),Tabela!$H$23,0)))))</f>
        <v/>
      </c>
      <c r="Z345" s="30" t="str">
        <f t="shared" si="66"/>
        <v/>
      </c>
      <c r="AA345" s="60" t="str">
        <f>IF($A345="","",IF(AA$6="NÃO",0,Tabela!$H$25*nm_séries))</f>
        <v/>
      </c>
      <c r="AB345" s="30" t="str">
        <f t="shared" si="66"/>
        <v/>
      </c>
      <c r="AC345" s="60" t="str">
        <f>IF($A345="","",IF(AC$6="NÃO",0,IF(A345=0,Tabela!$H$27,IF(MOD(A345,3)=0,Tabela!$H$27,0))))</f>
        <v/>
      </c>
      <c r="AD345" s="30" t="str">
        <f t="shared" si="66"/>
        <v/>
      </c>
      <c r="AE345" s="60" t="str">
        <f t="shared" si="66"/>
        <v/>
      </c>
      <c r="AF345" s="30" t="str">
        <f>IF($A345="","",IF(AF$6="NÃO",0,IF(AND(MONTH(ESTRUTURA!C345)=MONTH(ESTRUTURA!$F$3),A345&gt;0),Tabela!$H$30,0)))</f>
        <v/>
      </c>
      <c r="AG345" s="60" t="str">
        <f t="shared" si="66"/>
        <v/>
      </c>
      <c r="AH345" s="30" t="str">
        <f t="shared" si="66"/>
        <v/>
      </c>
      <c r="AI345" s="60" t="str">
        <f>IF($A345="","",IF(AI$6="NÃO",0,IF($A345=0,DATEDIF(ESTRUTURA!$F$3,ESTRUTURA!$F$4,"m")*Tabela!$H$33,Tabela!$H$33)))</f>
        <v/>
      </c>
      <c r="AJ345" s="30" t="str">
        <f t="shared" si="62"/>
        <v/>
      </c>
    </row>
    <row r="346" spans="1:36" x14ac:dyDescent="0.2">
      <c r="A346" s="66" t="str">
        <f>ESTRUTURA!A346</f>
        <v/>
      </c>
      <c r="B346" s="58">
        <f t="shared" si="68"/>
        <v>0</v>
      </c>
      <c r="C346" s="60" t="str">
        <f t="shared" si="67"/>
        <v/>
      </c>
      <c r="D346" s="30" t="str">
        <f t="shared" si="67"/>
        <v/>
      </c>
      <c r="E346" s="60" t="str">
        <f t="shared" si="67"/>
        <v/>
      </c>
      <c r="F346" s="30" t="str">
        <f>IF($A346="","",IF(F$6="NÃO",0,Tabela!$H$34*ESTRUTURA!$I$4))</f>
        <v/>
      </c>
      <c r="G346" s="60" t="str">
        <f t="shared" si="67"/>
        <v/>
      </c>
      <c r="H346" s="30" t="str">
        <f>IF($A346="","",IF(H$6="NÃO",0,IF($A346=0,DATEDIF(ESTRUTURA!$F$3,ESTRUTURA!$F$4,"m")*Tabela!$H$6,Tabela!$H$6)))</f>
        <v/>
      </c>
      <c r="I346" s="60" t="str">
        <f t="shared" si="67"/>
        <v/>
      </c>
      <c r="J346" s="30" t="str">
        <f>IF($A346="","",IF(J$6="NÃO",0,IF($A346=0,DATEDIF(ESTRUTURA!$F$3,ESTRUTURA!$F$4,"m")*Tabela!$H$8,IF(J$6="NÃO",0,Tabela!$H$8))))</f>
        <v/>
      </c>
      <c r="K346" s="60" t="str">
        <f t="shared" si="67"/>
        <v/>
      </c>
      <c r="L346" s="30" t="str">
        <f t="shared" si="67"/>
        <v/>
      </c>
      <c r="M346" s="60" t="str">
        <f t="shared" si="67"/>
        <v/>
      </c>
      <c r="N346" s="30" t="str">
        <f t="shared" si="67"/>
        <v/>
      </c>
      <c r="O346" s="60" t="str">
        <f t="shared" si="67"/>
        <v/>
      </c>
      <c r="P346" s="30" t="str">
        <f t="shared" ref="P346:P363" si="69">IF($A346="","",IF(P$6="NÃO",0,0))</f>
        <v/>
      </c>
      <c r="Q346" s="60" t="str">
        <f t="shared" si="67"/>
        <v/>
      </c>
      <c r="R346" s="30" t="str">
        <f t="shared" si="67"/>
        <v/>
      </c>
      <c r="S346" s="60" t="str">
        <f>IF($A346="","",IF(S$6="NÃO",0,IF($A346=0,DATEDIF(ESTRUTURA!$F$3,ESTRUTURA!$F$4,"m")*Tabela!$H$17,Tabela!$H$17)))</f>
        <v/>
      </c>
      <c r="T346" s="30" t="str">
        <f>IF($A346="","",IF(T$6="NÃO",0,IF($A346=0,DATEDIF(ESTRUTURA!$F$3,ESTRUTURA!$F$4,"m")*Tabela!$H$18,Tabela!$H$18)))</f>
        <v/>
      </c>
      <c r="U346" s="60" t="str">
        <f t="shared" si="66"/>
        <v/>
      </c>
      <c r="V346" s="30" t="str">
        <f>IF($A346="","",IF(V$6="NÃO",0,IF($A346=0,DATEDIF(ESTRUTURA!$F$3,ESTRUTURA!$F$4,"m")*Tabela!$H$20,Tabela!$H$20)))</f>
        <v/>
      </c>
      <c r="W346" s="60" t="str">
        <f t="shared" si="66"/>
        <v/>
      </c>
      <c r="X346" s="30" t="str">
        <f t="shared" si="66"/>
        <v/>
      </c>
      <c r="Y346" s="60" t="str">
        <f>IF($A346="","",IF(Y$6="NÃO",0,IF(A346=0,Tabela!$H$23,IF(Y$7="mensal",Tabela!$H$23,IF(AND(MONTH(ESTRUTURA!C346)=MONTH(ESTRUTURA!$F$3),A346&gt;0),Tabela!$H$23,0)))))</f>
        <v/>
      </c>
      <c r="Z346" s="30" t="str">
        <f t="shared" si="66"/>
        <v/>
      </c>
      <c r="AA346" s="60" t="str">
        <f>IF($A346="","",IF(AA$6="NÃO",0,Tabela!$H$25*nm_séries))</f>
        <v/>
      </c>
      <c r="AB346" s="30" t="str">
        <f t="shared" si="66"/>
        <v/>
      </c>
      <c r="AC346" s="60" t="str">
        <f>IF($A346="","",IF(AC$6="NÃO",0,IF(A346=0,Tabela!$H$27,IF(MOD(A346,3)=0,Tabela!$H$27,0))))</f>
        <v/>
      </c>
      <c r="AD346" s="30" t="str">
        <f t="shared" si="66"/>
        <v/>
      </c>
      <c r="AE346" s="60" t="str">
        <f t="shared" si="66"/>
        <v/>
      </c>
      <c r="AF346" s="30" t="str">
        <f>IF($A346="","",IF(AF$6="NÃO",0,IF(AND(MONTH(ESTRUTURA!C346)=MONTH(ESTRUTURA!$F$3),A346&gt;0),Tabela!$H$30,0)))</f>
        <v/>
      </c>
      <c r="AG346" s="60" t="str">
        <f t="shared" si="66"/>
        <v/>
      </c>
      <c r="AH346" s="30" t="str">
        <f t="shared" si="66"/>
        <v/>
      </c>
      <c r="AI346" s="60" t="str">
        <f>IF($A346="","",IF(AI$6="NÃO",0,IF($A346=0,DATEDIF(ESTRUTURA!$F$3,ESTRUTURA!$F$4,"m")*Tabela!$H$33,Tabela!$H$33)))</f>
        <v/>
      </c>
      <c r="AJ346" s="30" t="str">
        <f t="shared" si="62"/>
        <v/>
      </c>
    </row>
    <row r="347" spans="1:36" x14ac:dyDescent="0.2">
      <c r="A347" s="66" t="str">
        <f>ESTRUTURA!A347</f>
        <v/>
      </c>
      <c r="B347" s="58">
        <f t="shared" si="68"/>
        <v>0</v>
      </c>
      <c r="C347" s="60" t="str">
        <f t="shared" si="67"/>
        <v/>
      </c>
      <c r="D347" s="30" t="str">
        <f t="shared" si="67"/>
        <v/>
      </c>
      <c r="E347" s="60" t="str">
        <f t="shared" si="67"/>
        <v/>
      </c>
      <c r="F347" s="30" t="str">
        <f>IF($A347="","",IF(F$6="NÃO",0,Tabela!$H$34*ESTRUTURA!$I$4))</f>
        <v/>
      </c>
      <c r="G347" s="60" t="str">
        <f t="shared" si="67"/>
        <v/>
      </c>
      <c r="H347" s="30" t="str">
        <f>IF($A347="","",IF(H$6="NÃO",0,IF($A347=0,DATEDIF(ESTRUTURA!$F$3,ESTRUTURA!$F$4,"m")*Tabela!$H$6,Tabela!$H$6)))</f>
        <v/>
      </c>
      <c r="I347" s="60" t="str">
        <f t="shared" si="67"/>
        <v/>
      </c>
      <c r="J347" s="30" t="str">
        <f>IF($A347="","",IF(J$6="NÃO",0,IF($A347=0,DATEDIF(ESTRUTURA!$F$3,ESTRUTURA!$F$4,"m")*Tabela!$H$8,IF(J$6="NÃO",0,Tabela!$H$8))))</f>
        <v/>
      </c>
      <c r="K347" s="60" t="str">
        <f t="shared" si="67"/>
        <v/>
      </c>
      <c r="L347" s="30" t="str">
        <f t="shared" si="67"/>
        <v/>
      </c>
      <c r="M347" s="60" t="str">
        <f t="shared" si="67"/>
        <v/>
      </c>
      <c r="N347" s="30" t="str">
        <f t="shared" si="67"/>
        <v/>
      </c>
      <c r="O347" s="60" t="str">
        <f t="shared" si="67"/>
        <v/>
      </c>
      <c r="P347" s="30" t="str">
        <f t="shared" si="69"/>
        <v/>
      </c>
      <c r="Q347" s="60" t="str">
        <f t="shared" si="67"/>
        <v/>
      </c>
      <c r="R347" s="30" t="str">
        <f t="shared" si="67"/>
        <v/>
      </c>
      <c r="S347" s="60" t="str">
        <f>IF($A347="","",IF(S$6="NÃO",0,IF($A347=0,DATEDIF(ESTRUTURA!$F$3,ESTRUTURA!$F$4,"m")*Tabela!$H$17,Tabela!$H$17)))</f>
        <v/>
      </c>
      <c r="T347" s="30" t="str">
        <f>IF($A347="","",IF(T$6="NÃO",0,IF($A347=0,DATEDIF(ESTRUTURA!$F$3,ESTRUTURA!$F$4,"m")*Tabela!$H$18,Tabela!$H$18)))</f>
        <v/>
      </c>
      <c r="U347" s="60" t="str">
        <f t="shared" ref="U347:AH362" si="70">IF($A347="","",IF(U$6="NÃO",0,0))</f>
        <v/>
      </c>
      <c r="V347" s="30" t="str">
        <f>IF($A347="","",IF(V$6="NÃO",0,IF($A347=0,DATEDIF(ESTRUTURA!$F$3,ESTRUTURA!$F$4,"m")*Tabela!$H$20,Tabela!$H$20)))</f>
        <v/>
      </c>
      <c r="W347" s="60" t="str">
        <f t="shared" si="70"/>
        <v/>
      </c>
      <c r="X347" s="30" t="str">
        <f t="shared" si="70"/>
        <v/>
      </c>
      <c r="Y347" s="60" t="str">
        <f>IF($A347="","",IF(Y$6="NÃO",0,IF(A347=0,Tabela!$H$23,IF(Y$7="mensal",Tabela!$H$23,IF(AND(MONTH(ESTRUTURA!C347)=MONTH(ESTRUTURA!$F$3),A347&gt;0),Tabela!$H$23,0)))))</f>
        <v/>
      </c>
      <c r="Z347" s="30" t="str">
        <f t="shared" si="70"/>
        <v/>
      </c>
      <c r="AA347" s="60" t="str">
        <f>IF($A347="","",IF(AA$6="NÃO",0,Tabela!$H$25*nm_séries))</f>
        <v/>
      </c>
      <c r="AB347" s="30" t="str">
        <f t="shared" si="70"/>
        <v/>
      </c>
      <c r="AC347" s="60" t="str">
        <f>IF($A347="","",IF(AC$6="NÃO",0,IF(A347=0,Tabela!$H$27,IF(MOD(A347,3)=0,Tabela!$H$27,0))))</f>
        <v/>
      </c>
      <c r="AD347" s="30" t="str">
        <f t="shared" si="70"/>
        <v/>
      </c>
      <c r="AE347" s="60" t="str">
        <f t="shared" si="70"/>
        <v/>
      </c>
      <c r="AF347" s="30" t="str">
        <f>IF($A347="","",IF(AF$6="NÃO",0,IF(AND(MONTH(ESTRUTURA!C347)=MONTH(ESTRUTURA!$F$3),A347&gt;0),Tabela!$H$30,0)))</f>
        <v/>
      </c>
      <c r="AG347" s="60" t="str">
        <f t="shared" si="70"/>
        <v/>
      </c>
      <c r="AH347" s="30" t="str">
        <f t="shared" si="70"/>
        <v/>
      </c>
      <c r="AI347" s="60" t="str">
        <f>IF($A347="","",IF(AI$6="NÃO",0,IF($A347=0,DATEDIF(ESTRUTURA!$F$3,ESTRUTURA!$F$4,"m")*Tabela!$H$33,Tabela!$H$33)))</f>
        <v/>
      </c>
      <c r="AJ347" s="30" t="str">
        <f t="shared" si="62"/>
        <v/>
      </c>
    </row>
    <row r="348" spans="1:36" x14ac:dyDescent="0.2">
      <c r="A348" s="66" t="str">
        <f>ESTRUTURA!A348</f>
        <v/>
      </c>
      <c r="B348" s="58">
        <f t="shared" si="68"/>
        <v>0</v>
      </c>
      <c r="C348" s="60" t="str">
        <f t="shared" ref="C348:R363" si="71">IF($A348="","",IF(C$6="NÃO",0,0))</f>
        <v/>
      </c>
      <c r="D348" s="30" t="str">
        <f t="shared" si="71"/>
        <v/>
      </c>
      <c r="E348" s="60" t="str">
        <f t="shared" si="71"/>
        <v/>
      </c>
      <c r="F348" s="30" t="str">
        <f>IF($A348="","",IF(F$6="NÃO",0,Tabela!$H$34*ESTRUTURA!$I$4))</f>
        <v/>
      </c>
      <c r="G348" s="60" t="str">
        <f t="shared" si="71"/>
        <v/>
      </c>
      <c r="H348" s="30" t="str">
        <f>IF($A348="","",IF(H$6="NÃO",0,IF($A348=0,DATEDIF(ESTRUTURA!$F$3,ESTRUTURA!$F$4,"m")*Tabela!$H$6,Tabela!$H$6)))</f>
        <v/>
      </c>
      <c r="I348" s="60" t="str">
        <f t="shared" si="71"/>
        <v/>
      </c>
      <c r="J348" s="30" t="str">
        <f>IF($A348="","",IF(J$6="NÃO",0,IF($A348=0,DATEDIF(ESTRUTURA!$F$3,ESTRUTURA!$F$4,"m")*Tabela!$H$8,IF(J$6="NÃO",0,Tabela!$H$8))))</f>
        <v/>
      </c>
      <c r="K348" s="60" t="str">
        <f t="shared" si="71"/>
        <v/>
      </c>
      <c r="L348" s="30" t="str">
        <f t="shared" si="71"/>
        <v/>
      </c>
      <c r="M348" s="60" t="str">
        <f t="shared" si="71"/>
        <v/>
      </c>
      <c r="N348" s="30" t="str">
        <f t="shared" si="71"/>
        <v/>
      </c>
      <c r="O348" s="60" t="str">
        <f t="shared" si="71"/>
        <v/>
      </c>
      <c r="P348" s="30" t="str">
        <f t="shared" si="69"/>
        <v/>
      </c>
      <c r="Q348" s="60" t="str">
        <f t="shared" si="71"/>
        <v/>
      </c>
      <c r="R348" s="30" t="str">
        <f t="shared" si="71"/>
        <v/>
      </c>
      <c r="S348" s="60" t="str">
        <f>IF($A348="","",IF(S$6="NÃO",0,IF($A348=0,DATEDIF(ESTRUTURA!$F$3,ESTRUTURA!$F$4,"m")*Tabela!$H$17,Tabela!$H$17)))</f>
        <v/>
      </c>
      <c r="T348" s="30" t="str">
        <f>IF($A348="","",IF(T$6="NÃO",0,IF($A348=0,DATEDIF(ESTRUTURA!$F$3,ESTRUTURA!$F$4,"m")*Tabela!$H$18,Tabela!$H$18)))</f>
        <v/>
      </c>
      <c r="U348" s="60" t="str">
        <f t="shared" si="70"/>
        <v/>
      </c>
      <c r="V348" s="30" t="str">
        <f>IF($A348="","",IF(V$6="NÃO",0,IF($A348=0,DATEDIF(ESTRUTURA!$F$3,ESTRUTURA!$F$4,"m")*Tabela!$H$20,Tabela!$H$20)))</f>
        <v/>
      </c>
      <c r="W348" s="60" t="str">
        <f t="shared" si="70"/>
        <v/>
      </c>
      <c r="X348" s="30" t="str">
        <f t="shared" si="70"/>
        <v/>
      </c>
      <c r="Y348" s="60" t="str">
        <f>IF($A348="","",IF(Y$6="NÃO",0,IF(A348=0,Tabela!$H$23,IF(Y$7="mensal",Tabela!$H$23,IF(AND(MONTH(ESTRUTURA!C348)=MONTH(ESTRUTURA!$F$3),A348&gt;0),Tabela!$H$23,0)))))</f>
        <v/>
      </c>
      <c r="Z348" s="30" t="str">
        <f t="shared" si="70"/>
        <v/>
      </c>
      <c r="AA348" s="60" t="str">
        <f>IF($A348="","",IF(AA$6="NÃO",0,Tabela!$H$25*nm_séries))</f>
        <v/>
      </c>
      <c r="AB348" s="30" t="str">
        <f t="shared" si="70"/>
        <v/>
      </c>
      <c r="AC348" s="60" t="str">
        <f>IF($A348="","",IF(AC$6="NÃO",0,IF(A348=0,Tabela!$H$27,IF(MOD(A348,3)=0,Tabela!$H$27,0))))</f>
        <v/>
      </c>
      <c r="AD348" s="30" t="str">
        <f t="shared" si="70"/>
        <v/>
      </c>
      <c r="AE348" s="60" t="str">
        <f t="shared" si="70"/>
        <v/>
      </c>
      <c r="AF348" s="30" t="str">
        <f>IF($A348="","",IF(AF$6="NÃO",0,IF(AND(MONTH(ESTRUTURA!C348)=MONTH(ESTRUTURA!$F$3),A348&gt;0),Tabela!$H$30,0)))</f>
        <v/>
      </c>
      <c r="AG348" s="60" t="str">
        <f t="shared" si="70"/>
        <v/>
      </c>
      <c r="AH348" s="30" t="str">
        <f t="shared" si="70"/>
        <v/>
      </c>
      <c r="AI348" s="60" t="str">
        <f>IF($A348="","",IF(AI$6="NÃO",0,IF($A348=0,DATEDIF(ESTRUTURA!$F$3,ESTRUTURA!$F$4,"m")*Tabela!$H$33,Tabela!$H$33)))</f>
        <v/>
      </c>
      <c r="AJ348" s="30" t="str">
        <f t="shared" si="62"/>
        <v/>
      </c>
    </row>
    <row r="349" spans="1:36" x14ac:dyDescent="0.2">
      <c r="A349" s="66" t="str">
        <f>ESTRUTURA!A349</f>
        <v/>
      </c>
      <c r="B349" s="58">
        <f t="shared" si="68"/>
        <v>0</v>
      </c>
      <c r="C349" s="60" t="str">
        <f t="shared" si="71"/>
        <v/>
      </c>
      <c r="D349" s="30" t="str">
        <f t="shared" si="71"/>
        <v/>
      </c>
      <c r="E349" s="60" t="str">
        <f t="shared" si="71"/>
        <v/>
      </c>
      <c r="F349" s="30" t="str">
        <f>IF($A349="","",IF(F$6="NÃO",0,Tabela!$H$34*ESTRUTURA!$I$4))</f>
        <v/>
      </c>
      <c r="G349" s="60" t="str">
        <f t="shared" si="71"/>
        <v/>
      </c>
      <c r="H349" s="30" t="str">
        <f>IF($A349="","",IF(H$6="NÃO",0,IF($A349=0,DATEDIF(ESTRUTURA!$F$3,ESTRUTURA!$F$4,"m")*Tabela!$H$6,Tabela!$H$6)))</f>
        <v/>
      </c>
      <c r="I349" s="60" t="str">
        <f t="shared" si="71"/>
        <v/>
      </c>
      <c r="J349" s="30" t="str">
        <f>IF($A349="","",IF(J$6="NÃO",0,IF($A349=0,DATEDIF(ESTRUTURA!$F$3,ESTRUTURA!$F$4,"m")*Tabela!$H$8,IF(J$6="NÃO",0,Tabela!$H$8))))</f>
        <v/>
      </c>
      <c r="K349" s="60" t="str">
        <f t="shared" si="71"/>
        <v/>
      </c>
      <c r="L349" s="30" t="str">
        <f t="shared" si="71"/>
        <v/>
      </c>
      <c r="M349" s="60" t="str">
        <f t="shared" si="71"/>
        <v/>
      </c>
      <c r="N349" s="30" t="str">
        <f t="shared" si="71"/>
        <v/>
      </c>
      <c r="O349" s="60" t="str">
        <f t="shared" si="71"/>
        <v/>
      </c>
      <c r="P349" s="30" t="str">
        <f t="shared" si="69"/>
        <v/>
      </c>
      <c r="Q349" s="60" t="str">
        <f t="shared" si="71"/>
        <v/>
      </c>
      <c r="R349" s="30" t="str">
        <f t="shared" si="71"/>
        <v/>
      </c>
      <c r="S349" s="60" t="str">
        <f>IF($A349="","",IF(S$6="NÃO",0,IF($A349=0,DATEDIF(ESTRUTURA!$F$3,ESTRUTURA!$F$4,"m")*Tabela!$H$17,Tabela!$H$17)))</f>
        <v/>
      </c>
      <c r="T349" s="30" t="str">
        <f>IF($A349="","",IF(T$6="NÃO",0,IF($A349=0,DATEDIF(ESTRUTURA!$F$3,ESTRUTURA!$F$4,"m")*Tabela!$H$18,Tabela!$H$18)))</f>
        <v/>
      </c>
      <c r="U349" s="60" t="str">
        <f t="shared" si="70"/>
        <v/>
      </c>
      <c r="V349" s="30" t="str">
        <f>IF($A349="","",IF(V$6="NÃO",0,IF($A349=0,DATEDIF(ESTRUTURA!$F$3,ESTRUTURA!$F$4,"m")*Tabela!$H$20,Tabela!$H$20)))</f>
        <v/>
      </c>
      <c r="W349" s="60" t="str">
        <f t="shared" si="70"/>
        <v/>
      </c>
      <c r="X349" s="30" t="str">
        <f t="shared" si="70"/>
        <v/>
      </c>
      <c r="Y349" s="60" t="str">
        <f>IF($A349="","",IF(Y$6="NÃO",0,IF(A349=0,Tabela!$H$23,IF(Y$7="mensal",Tabela!$H$23,IF(AND(MONTH(ESTRUTURA!C349)=MONTH(ESTRUTURA!$F$3),A349&gt;0),Tabela!$H$23,0)))))</f>
        <v/>
      </c>
      <c r="Z349" s="30" t="str">
        <f t="shared" si="70"/>
        <v/>
      </c>
      <c r="AA349" s="60" t="str">
        <f>IF($A349="","",IF(AA$6="NÃO",0,Tabela!$H$25*nm_séries))</f>
        <v/>
      </c>
      <c r="AB349" s="30" t="str">
        <f t="shared" si="70"/>
        <v/>
      </c>
      <c r="AC349" s="60" t="str">
        <f>IF($A349="","",IF(AC$6="NÃO",0,IF(A349=0,Tabela!$H$27,IF(MOD(A349,3)=0,Tabela!$H$27,0))))</f>
        <v/>
      </c>
      <c r="AD349" s="30" t="str">
        <f t="shared" si="70"/>
        <v/>
      </c>
      <c r="AE349" s="60" t="str">
        <f t="shared" si="70"/>
        <v/>
      </c>
      <c r="AF349" s="30" t="str">
        <f>IF($A349="","",IF(AF$6="NÃO",0,IF(AND(MONTH(ESTRUTURA!C349)=MONTH(ESTRUTURA!$F$3),A349&gt;0),Tabela!$H$30,0)))</f>
        <v/>
      </c>
      <c r="AG349" s="60" t="str">
        <f t="shared" si="70"/>
        <v/>
      </c>
      <c r="AH349" s="30" t="str">
        <f t="shared" si="70"/>
        <v/>
      </c>
      <c r="AI349" s="60" t="str">
        <f>IF($A349="","",IF(AI$6="NÃO",0,IF($A349=0,DATEDIF(ESTRUTURA!$F$3,ESTRUTURA!$F$4,"m")*Tabela!$H$33,Tabela!$H$33)))</f>
        <v/>
      </c>
      <c r="AJ349" s="30" t="str">
        <f t="shared" si="62"/>
        <v/>
      </c>
    </row>
    <row r="350" spans="1:36" x14ac:dyDescent="0.2">
      <c r="A350" s="66" t="str">
        <f>ESTRUTURA!A350</f>
        <v/>
      </c>
      <c r="B350" s="58">
        <f t="shared" si="68"/>
        <v>0</v>
      </c>
      <c r="C350" s="60" t="str">
        <f t="shared" si="71"/>
        <v/>
      </c>
      <c r="D350" s="30" t="str">
        <f t="shared" si="71"/>
        <v/>
      </c>
      <c r="E350" s="60" t="str">
        <f t="shared" si="71"/>
        <v/>
      </c>
      <c r="F350" s="30" t="str">
        <f>IF($A350="","",IF(F$6="NÃO",0,Tabela!$H$34*ESTRUTURA!$I$4))</f>
        <v/>
      </c>
      <c r="G350" s="60" t="str">
        <f t="shared" si="71"/>
        <v/>
      </c>
      <c r="H350" s="30" t="str">
        <f>IF($A350="","",IF(H$6="NÃO",0,IF($A350=0,DATEDIF(ESTRUTURA!$F$3,ESTRUTURA!$F$4,"m")*Tabela!$H$6,Tabela!$H$6)))</f>
        <v/>
      </c>
      <c r="I350" s="60" t="str">
        <f t="shared" si="71"/>
        <v/>
      </c>
      <c r="J350" s="30" t="str">
        <f>IF($A350="","",IF(J$6="NÃO",0,IF($A350=0,DATEDIF(ESTRUTURA!$F$3,ESTRUTURA!$F$4,"m")*Tabela!$H$8,IF(J$6="NÃO",0,Tabela!$H$8))))</f>
        <v/>
      </c>
      <c r="K350" s="60" t="str">
        <f t="shared" si="71"/>
        <v/>
      </c>
      <c r="L350" s="30" t="str">
        <f t="shared" si="71"/>
        <v/>
      </c>
      <c r="M350" s="60" t="str">
        <f t="shared" si="71"/>
        <v/>
      </c>
      <c r="N350" s="30" t="str">
        <f t="shared" si="71"/>
        <v/>
      </c>
      <c r="O350" s="60" t="str">
        <f t="shared" si="71"/>
        <v/>
      </c>
      <c r="P350" s="30" t="str">
        <f t="shared" si="69"/>
        <v/>
      </c>
      <c r="Q350" s="60" t="str">
        <f t="shared" si="71"/>
        <v/>
      </c>
      <c r="R350" s="30" t="str">
        <f t="shared" si="71"/>
        <v/>
      </c>
      <c r="S350" s="60" t="str">
        <f>IF($A350="","",IF(S$6="NÃO",0,IF($A350=0,DATEDIF(ESTRUTURA!$F$3,ESTRUTURA!$F$4,"m")*Tabela!$H$17,Tabela!$H$17)))</f>
        <v/>
      </c>
      <c r="T350" s="30" t="str">
        <f>IF($A350="","",IF(T$6="NÃO",0,IF($A350=0,DATEDIF(ESTRUTURA!$F$3,ESTRUTURA!$F$4,"m")*Tabela!$H$18,Tabela!$H$18)))</f>
        <v/>
      </c>
      <c r="U350" s="60" t="str">
        <f t="shared" si="70"/>
        <v/>
      </c>
      <c r="V350" s="30" t="str">
        <f>IF($A350="","",IF(V$6="NÃO",0,IF($A350=0,DATEDIF(ESTRUTURA!$F$3,ESTRUTURA!$F$4,"m")*Tabela!$H$20,Tabela!$H$20)))</f>
        <v/>
      </c>
      <c r="W350" s="60" t="str">
        <f t="shared" si="70"/>
        <v/>
      </c>
      <c r="X350" s="30" t="str">
        <f t="shared" si="70"/>
        <v/>
      </c>
      <c r="Y350" s="60" t="str">
        <f>IF($A350="","",IF(Y$6="NÃO",0,IF(A350=0,Tabela!$H$23,IF(Y$7="mensal",Tabela!$H$23,IF(AND(MONTH(ESTRUTURA!C350)=MONTH(ESTRUTURA!$F$3),A350&gt;0),Tabela!$H$23,0)))))</f>
        <v/>
      </c>
      <c r="Z350" s="30" t="str">
        <f t="shared" si="70"/>
        <v/>
      </c>
      <c r="AA350" s="60" t="str">
        <f>IF($A350="","",IF(AA$6="NÃO",0,Tabela!$H$25*nm_séries))</f>
        <v/>
      </c>
      <c r="AB350" s="30" t="str">
        <f t="shared" si="70"/>
        <v/>
      </c>
      <c r="AC350" s="60" t="str">
        <f>IF($A350="","",IF(AC$6="NÃO",0,IF(A350=0,Tabela!$H$27,IF(MOD(A350,3)=0,Tabela!$H$27,0))))</f>
        <v/>
      </c>
      <c r="AD350" s="30" t="str">
        <f t="shared" si="70"/>
        <v/>
      </c>
      <c r="AE350" s="60" t="str">
        <f t="shared" si="70"/>
        <v/>
      </c>
      <c r="AF350" s="30" t="str">
        <f>IF($A350="","",IF(AF$6="NÃO",0,IF(AND(MONTH(ESTRUTURA!C350)=MONTH(ESTRUTURA!$F$3),A350&gt;0),Tabela!$H$30,0)))</f>
        <v/>
      </c>
      <c r="AG350" s="60" t="str">
        <f t="shared" si="70"/>
        <v/>
      </c>
      <c r="AH350" s="30" t="str">
        <f t="shared" si="70"/>
        <v/>
      </c>
      <c r="AI350" s="60" t="str">
        <f>IF($A350="","",IF(AI$6="NÃO",0,IF($A350=0,DATEDIF(ESTRUTURA!$F$3,ESTRUTURA!$F$4,"m")*Tabela!$H$33,Tabela!$H$33)))</f>
        <v/>
      </c>
      <c r="AJ350" s="30" t="str">
        <f t="shared" si="62"/>
        <v/>
      </c>
    </row>
    <row r="351" spans="1:36" x14ac:dyDescent="0.2">
      <c r="A351" s="66" t="str">
        <f>ESTRUTURA!A351</f>
        <v/>
      </c>
      <c r="B351" s="58">
        <f t="shared" si="68"/>
        <v>0</v>
      </c>
      <c r="C351" s="60" t="str">
        <f t="shared" si="71"/>
        <v/>
      </c>
      <c r="D351" s="30" t="str">
        <f t="shared" si="71"/>
        <v/>
      </c>
      <c r="E351" s="60" t="str">
        <f t="shared" si="71"/>
        <v/>
      </c>
      <c r="F351" s="30" t="str">
        <f>IF($A351="","",IF(F$6="NÃO",0,Tabela!$H$34*ESTRUTURA!$I$4))</f>
        <v/>
      </c>
      <c r="G351" s="60" t="str">
        <f t="shared" si="71"/>
        <v/>
      </c>
      <c r="H351" s="30" t="str">
        <f>IF($A351="","",IF(H$6="NÃO",0,IF($A351=0,DATEDIF(ESTRUTURA!$F$3,ESTRUTURA!$F$4,"m")*Tabela!$H$6,Tabela!$H$6)))</f>
        <v/>
      </c>
      <c r="I351" s="60" t="str">
        <f t="shared" si="71"/>
        <v/>
      </c>
      <c r="J351" s="30" t="str">
        <f>IF($A351="","",IF(J$6="NÃO",0,IF($A351=0,DATEDIF(ESTRUTURA!$F$3,ESTRUTURA!$F$4,"m")*Tabela!$H$8,IF(J$6="NÃO",0,Tabela!$H$8))))</f>
        <v/>
      </c>
      <c r="K351" s="60" t="str">
        <f t="shared" si="71"/>
        <v/>
      </c>
      <c r="L351" s="30" t="str">
        <f t="shared" si="71"/>
        <v/>
      </c>
      <c r="M351" s="60" t="str">
        <f t="shared" si="71"/>
        <v/>
      </c>
      <c r="N351" s="30" t="str">
        <f t="shared" si="71"/>
        <v/>
      </c>
      <c r="O351" s="60" t="str">
        <f t="shared" si="71"/>
        <v/>
      </c>
      <c r="P351" s="30" t="str">
        <f t="shared" si="69"/>
        <v/>
      </c>
      <c r="Q351" s="60" t="str">
        <f t="shared" si="71"/>
        <v/>
      </c>
      <c r="R351" s="30" t="str">
        <f t="shared" si="71"/>
        <v/>
      </c>
      <c r="S351" s="60" t="str">
        <f>IF($A351="","",IF(S$6="NÃO",0,IF($A351=0,DATEDIF(ESTRUTURA!$F$3,ESTRUTURA!$F$4,"m")*Tabela!$H$17,Tabela!$H$17)))</f>
        <v/>
      </c>
      <c r="T351" s="30" t="str">
        <f>IF($A351="","",IF(T$6="NÃO",0,IF($A351=0,DATEDIF(ESTRUTURA!$F$3,ESTRUTURA!$F$4,"m")*Tabela!$H$18,Tabela!$H$18)))</f>
        <v/>
      </c>
      <c r="U351" s="60" t="str">
        <f t="shared" si="70"/>
        <v/>
      </c>
      <c r="V351" s="30" t="str">
        <f>IF($A351="","",IF(V$6="NÃO",0,IF($A351=0,DATEDIF(ESTRUTURA!$F$3,ESTRUTURA!$F$4,"m")*Tabela!$H$20,Tabela!$H$20)))</f>
        <v/>
      </c>
      <c r="W351" s="60" t="str">
        <f t="shared" si="70"/>
        <v/>
      </c>
      <c r="X351" s="30" t="str">
        <f t="shared" si="70"/>
        <v/>
      </c>
      <c r="Y351" s="60" t="str">
        <f>IF($A351="","",IF(Y$6="NÃO",0,IF(A351=0,Tabela!$H$23,IF(Y$7="mensal",Tabela!$H$23,IF(AND(MONTH(ESTRUTURA!C351)=MONTH(ESTRUTURA!$F$3),A351&gt;0),Tabela!$H$23,0)))))</f>
        <v/>
      </c>
      <c r="Z351" s="30" t="str">
        <f t="shared" si="70"/>
        <v/>
      </c>
      <c r="AA351" s="60" t="str">
        <f>IF($A351="","",IF(AA$6="NÃO",0,Tabela!$H$25*nm_séries))</f>
        <v/>
      </c>
      <c r="AB351" s="30" t="str">
        <f t="shared" si="70"/>
        <v/>
      </c>
      <c r="AC351" s="60" t="str">
        <f>IF($A351="","",IF(AC$6="NÃO",0,IF(A351=0,Tabela!$H$27,IF(MOD(A351,3)=0,Tabela!$H$27,0))))</f>
        <v/>
      </c>
      <c r="AD351" s="30" t="str">
        <f t="shared" si="70"/>
        <v/>
      </c>
      <c r="AE351" s="60" t="str">
        <f t="shared" si="70"/>
        <v/>
      </c>
      <c r="AF351" s="30" t="str">
        <f>IF($A351="","",IF(AF$6="NÃO",0,IF(AND(MONTH(ESTRUTURA!C351)=MONTH(ESTRUTURA!$F$3),A351&gt;0),Tabela!$H$30,0)))</f>
        <v/>
      </c>
      <c r="AG351" s="60" t="str">
        <f t="shared" si="70"/>
        <v/>
      </c>
      <c r="AH351" s="30" t="str">
        <f t="shared" si="70"/>
        <v/>
      </c>
      <c r="AI351" s="60" t="str">
        <f>IF($A351="","",IF(AI$6="NÃO",0,IF($A351=0,DATEDIF(ESTRUTURA!$F$3,ESTRUTURA!$F$4,"m")*Tabela!$H$33,Tabela!$H$33)))</f>
        <v/>
      </c>
      <c r="AJ351" s="30" t="str">
        <f t="shared" si="62"/>
        <v/>
      </c>
    </row>
    <row r="352" spans="1:36" x14ac:dyDescent="0.2">
      <c r="A352" s="66" t="str">
        <f>ESTRUTURA!A352</f>
        <v/>
      </c>
      <c r="B352" s="58">
        <f t="shared" si="68"/>
        <v>0</v>
      </c>
      <c r="C352" s="60" t="str">
        <f t="shared" si="71"/>
        <v/>
      </c>
      <c r="D352" s="30" t="str">
        <f t="shared" si="71"/>
        <v/>
      </c>
      <c r="E352" s="60" t="str">
        <f t="shared" si="71"/>
        <v/>
      </c>
      <c r="F352" s="30" t="str">
        <f>IF($A352="","",IF(F$6="NÃO",0,Tabela!$H$34*ESTRUTURA!$I$4))</f>
        <v/>
      </c>
      <c r="G352" s="60" t="str">
        <f t="shared" si="71"/>
        <v/>
      </c>
      <c r="H352" s="30" t="str">
        <f>IF($A352="","",IF(H$6="NÃO",0,IF($A352=0,DATEDIF(ESTRUTURA!$F$3,ESTRUTURA!$F$4,"m")*Tabela!$H$6,Tabela!$H$6)))</f>
        <v/>
      </c>
      <c r="I352" s="60" t="str">
        <f t="shared" si="71"/>
        <v/>
      </c>
      <c r="J352" s="30" t="str">
        <f>IF($A352="","",IF(J$6="NÃO",0,IF($A352=0,DATEDIF(ESTRUTURA!$F$3,ESTRUTURA!$F$4,"m")*Tabela!$H$8,IF(J$6="NÃO",0,Tabela!$H$8))))</f>
        <v/>
      </c>
      <c r="K352" s="60" t="str">
        <f t="shared" si="71"/>
        <v/>
      </c>
      <c r="L352" s="30" t="str">
        <f t="shared" si="71"/>
        <v/>
      </c>
      <c r="M352" s="60" t="str">
        <f t="shared" si="71"/>
        <v/>
      </c>
      <c r="N352" s="30" t="str">
        <f t="shared" si="71"/>
        <v/>
      </c>
      <c r="O352" s="60" t="str">
        <f t="shared" si="71"/>
        <v/>
      </c>
      <c r="P352" s="30" t="str">
        <f t="shared" si="69"/>
        <v/>
      </c>
      <c r="Q352" s="60" t="str">
        <f t="shared" si="71"/>
        <v/>
      </c>
      <c r="R352" s="30" t="str">
        <f t="shared" si="71"/>
        <v/>
      </c>
      <c r="S352" s="60" t="str">
        <f>IF($A352="","",IF(S$6="NÃO",0,IF($A352=0,DATEDIF(ESTRUTURA!$F$3,ESTRUTURA!$F$4,"m")*Tabela!$H$17,Tabela!$H$17)))</f>
        <v/>
      </c>
      <c r="T352" s="30" t="str">
        <f>IF($A352="","",IF(T$6="NÃO",0,IF($A352=0,DATEDIF(ESTRUTURA!$F$3,ESTRUTURA!$F$4,"m")*Tabela!$H$18,Tabela!$H$18)))</f>
        <v/>
      </c>
      <c r="U352" s="60" t="str">
        <f t="shared" si="70"/>
        <v/>
      </c>
      <c r="V352" s="30" t="str">
        <f>IF($A352="","",IF(V$6="NÃO",0,IF($A352=0,DATEDIF(ESTRUTURA!$F$3,ESTRUTURA!$F$4,"m")*Tabela!$H$20,Tabela!$H$20)))</f>
        <v/>
      </c>
      <c r="W352" s="60" t="str">
        <f t="shared" si="70"/>
        <v/>
      </c>
      <c r="X352" s="30" t="str">
        <f t="shared" si="70"/>
        <v/>
      </c>
      <c r="Y352" s="60" t="str">
        <f>IF($A352="","",IF(Y$6="NÃO",0,IF(A352=0,Tabela!$H$23,IF(Y$7="mensal",Tabela!$H$23,IF(AND(MONTH(ESTRUTURA!C352)=MONTH(ESTRUTURA!$F$3),A352&gt;0),Tabela!$H$23,0)))))</f>
        <v/>
      </c>
      <c r="Z352" s="30" t="str">
        <f t="shared" si="70"/>
        <v/>
      </c>
      <c r="AA352" s="60" t="str">
        <f>IF($A352="","",IF(AA$6="NÃO",0,Tabela!$H$25*nm_séries))</f>
        <v/>
      </c>
      <c r="AB352" s="30" t="str">
        <f t="shared" si="70"/>
        <v/>
      </c>
      <c r="AC352" s="60" t="str">
        <f>IF($A352="","",IF(AC$6="NÃO",0,IF(A352=0,Tabela!$H$27,IF(MOD(A352,3)=0,Tabela!$H$27,0))))</f>
        <v/>
      </c>
      <c r="AD352" s="30" t="str">
        <f t="shared" si="70"/>
        <v/>
      </c>
      <c r="AE352" s="60" t="str">
        <f t="shared" si="70"/>
        <v/>
      </c>
      <c r="AF352" s="30" t="str">
        <f>IF($A352="","",IF(AF$6="NÃO",0,IF(AND(MONTH(ESTRUTURA!C352)=MONTH(ESTRUTURA!$F$3),A352&gt;0),Tabela!$H$30,0)))</f>
        <v/>
      </c>
      <c r="AG352" s="60" t="str">
        <f t="shared" si="70"/>
        <v/>
      </c>
      <c r="AH352" s="30" t="str">
        <f t="shared" si="70"/>
        <v/>
      </c>
      <c r="AI352" s="60" t="str">
        <f>IF($A352="","",IF(AI$6="NÃO",0,IF($A352=0,DATEDIF(ESTRUTURA!$F$3,ESTRUTURA!$F$4,"m")*Tabela!$H$33,Tabela!$H$33)))</f>
        <v/>
      </c>
      <c r="AJ352" s="30" t="str">
        <f t="shared" si="62"/>
        <v/>
      </c>
    </row>
    <row r="353" spans="1:36" x14ac:dyDescent="0.2">
      <c r="A353" s="66" t="str">
        <f>ESTRUTURA!A353</f>
        <v/>
      </c>
      <c r="B353" s="58">
        <f t="shared" si="68"/>
        <v>0</v>
      </c>
      <c r="C353" s="60" t="str">
        <f t="shared" si="71"/>
        <v/>
      </c>
      <c r="D353" s="30" t="str">
        <f t="shared" si="71"/>
        <v/>
      </c>
      <c r="E353" s="60" t="str">
        <f t="shared" si="71"/>
        <v/>
      </c>
      <c r="F353" s="30" t="str">
        <f>IF($A353="","",IF(F$6="NÃO",0,Tabela!$H$34*ESTRUTURA!$I$4))</f>
        <v/>
      </c>
      <c r="G353" s="60" t="str">
        <f t="shared" si="71"/>
        <v/>
      </c>
      <c r="H353" s="30" t="str">
        <f>IF($A353="","",IF(H$6="NÃO",0,IF($A353=0,DATEDIF(ESTRUTURA!$F$3,ESTRUTURA!$F$4,"m")*Tabela!$H$6,Tabela!$H$6)))</f>
        <v/>
      </c>
      <c r="I353" s="60" t="str">
        <f t="shared" si="71"/>
        <v/>
      </c>
      <c r="J353" s="30" t="str">
        <f>IF($A353="","",IF(J$6="NÃO",0,IF($A353=0,DATEDIF(ESTRUTURA!$F$3,ESTRUTURA!$F$4,"m")*Tabela!$H$8,IF(J$6="NÃO",0,Tabela!$H$8))))</f>
        <v/>
      </c>
      <c r="K353" s="60" t="str">
        <f t="shared" si="71"/>
        <v/>
      </c>
      <c r="L353" s="30" t="str">
        <f t="shared" si="71"/>
        <v/>
      </c>
      <c r="M353" s="60" t="str">
        <f t="shared" si="71"/>
        <v/>
      </c>
      <c r="N353" s="30" t="str">
        <f t="shared" si="71"/>
        <v/>
      </c>
      <c r="O353" s="60" t="str">
        <f t="shared" si="71"/>
        <v/>
      </c>
      <c r="P353" s="30" t="str">
        <f t="shared" si="69"/>
        <v/>
      </c>
      <c r="Q353" s="60" t="str">
        <f t="shared" si="71"/>
        <v/>
      </c>
      <c r="R353" s="30" t="str">
        <f t="shared" si="71"/>
        <v/>
      </c>
      <c r="S353" s="60" t="str">
        <f>IF($A353="","",IF(S$6="NÃO",0,IF($A353=0,DATEDIF(ESTRUTURA!$F$3,ESTRUTURA!$F$4,"m")*Tabela!$H$17,Tabela!$H$17)))</f>
        <v/>
      </c>
      <c r="T353" s="30" t="str">
        <f>IF($A353="","",IF(T$6="NÃO",0,IF($A353=0,DATEDIF(ESTRUTURA!$F$3,ESTRUTURA!$F$4,"m")*Tabela!$H$18,Tabela!$H$18)))</f>
        <v/>
      </c>
      <c r="U353" s="60" t="str">
        <f t="shared" si="70"/>
        <v/>
      </c>
      <c r="V353" s="30" t="str">
        <f>IF($A353="","",IF(V$6="NÃO",0,IF($A353=0,DATEDIF(ESTRUTURA!$F$3,ESTRUTURA!$F$4,"m")*Tabela!$H$20,Tabela!$H$20)))</f>
        <v/>
      </c>
      <c r="W353" s="60" t="str">
        <f t="shared" si="70"/>
        <v/>
      </c>
      <c r="X353" s="30" t="str">
        <f t="shared" si="70"/>
        <v/>
      </c>
      <c r="Y353" s="60" t="str">
        <f>IF($A353="","",IF(Y$6="NÃO",0,IF(A353=0,Tabela!$H$23,IF(Y$7="mensal",Tabela!$H$23,IF(AND(MONTH(ESTRUTURA!C353)=MONTH(ESTRUTURA!$F$3),A353&gt;0),Tabela!$H$23,0)))))</f>
        <v/>
      </c>
      <c r="Z353" s="30" t="str">
        <f t="shared" si="70"/>
        <v/>
      </c>
      <c r="AA353" s="60" t="str">
        <f>IF($A353="","",IF(AA$6="NÃO",0,Tabela!$H$25*nm_séries))</f>
        <v/>
      </c>
      <c r="AB353" s="30" t="str">
        <f t="shared" si="70"/>
        <v/>
      </c>
      <c r="AC353" s="60" t="str">
        <f>IF($A353="","",IF(AC$6="NÃO",0,IF(A353=0,Tabela!$H$27,IF(MOD(A353,3)=0,Tabela!$H$27,0))))</f>
        <v/>
      </c>
      <c r="AD353" s="30" t="str">
        <f t="shared" si="70"/>
        <v/>
      </c>
      <c r="AE353" s="60" t="str">
        <f t="shared" si="70"/>
        <v/>
      </c>
      <c r="AF353" s="30" t="str">
        <f>IF($A353="","",IF(AF$6="NÃO",0,IF(AND(MONTH(ESTRUTURA!C353)=MONTH(ESTRUTURA!$F$3),A353&gt;0),Tabela!$H$30,0)))</f>
        <v/>
      </c>
      <c r="AG353" s="60" t="str">
        <f t="shared" si="70"/>
        <v/>
      </c>
      <c r="AH353" s="30" t="str">
        <f t="shared" si="70"/>
        <v/>
      </c>
      <c r="AI353" s="60" t="str">
        <f>IF($A353="","",IF(AI$6="NÃO",0,IF($A353=0,DATEDIF(ESTRUTURA!$F$3,ESTRUTURA!$F$4,"m")*Tabela!$H$33,Tabela!$H$33)))</f>
        <v/>
      </c>
      <c r="AJ353" s="30" t="str">
        <f t="shared" si="62"/>
        <v/>
      </c>
    </row>
    <row r="354" spans="1:36" x14ac:dyDescent="0.2">
      <c r="A354" s="66" t="str">
        <f>ESTRUTURA!A354</f>
        <v/>
      </c>
      <c r="B354" s="58">
        <f t="shared" si="68"/>
        <v>0</v>
      </c>
      <c r="C354" s="60" t="str">
        <f t="shared" si="71"/>
        <v/>
      </c>
      <c r="D354" s="30" t="str">
        <f t="shared" si="71"/>
        <v/>
      </c>
      <c r="E354" s="60" t="str">
        <f t="shared" si="71"/>
        <v/>
      </c>
      <c r="F354" s="30" t="str">
        <f>IF($A354="","",IF(F$6="NÃO",0,Tabela!$H$34*ESTRUTURA!$I$4))</f>
        <v/>
      </c>
      <c r="G354" s="60" t="str">
        <f t="shared" si="71"/>
        <v/>
      </c>
      <c r="H354" s="30" t="str">
        <f>IF($A354="","",IF(H$6="NÃO",0,IF($A354=0,DATEDIF(ESTRUTURA!$F$3,ESTRUTURA!$F$4,"m")*Tabela!$H$6,Tabela!$H$6)))</f>
        <v/>
      </c>
      <c r="I354" s="60" t="str">
        <f t="shared" si="71"/>
        <v/>
      </c>
      <c r="J354" s="30" t="str">
        <f>IF($A354="","",IF(J$6="NÃO",0,IF($A354=0,DATEDIF(ESTRUTURA!$F$3,ESTRUTURA!$F$4,"m")*Tabela!$H$8,IF(J$6="NÃO",0,Tabela!$H$8))))</f>
        <v/>
      </c>
      <c r="K354" s="60" t="str">
        <f t="shared" si="71"/>
        <v/>
      </c>
      <c r="L354" s="30" t="str">
        <f t="shared" si="71"/>
        <v/>
      </c>
      <c r="M354" s="60" t="str">
        <f t="shared" si="71"/>
        <v/>
      </c>
      <c r="N354" s="30" t="str">
        <f t="shared" si="71"/>
        <v/>
      </c>
      <c r="O354" s="60" t="str">
        <f t="shared" si="71"/>
        <v/>
      </c>
      <c r="P354" s="30" t="str">
        <f t="shared" si="69"/>
        <v/>
      </c>
      <c r="Q354" s="60" t="str">
        <f t="shared" si="71"/>
        <v/>
      </c>
      <c r="R354" s="30" t="str">
        <f t="shared" si="71"/>
        <v/>
      </c>
      <c r="S354" s="60" t="str">
        <f>IF($A354="","",IF(S$6="NÃO",0,IF($A354=0,DATEDIF(ESTRUTURA!$F$3,ESTRUTURA!$F$4,"m")*Tabela!$H$17,Tabela!$H$17)))</f>
        <v/>
      </c>
      <c r="T354" s="30" t="str">
        <f>IF($A354="","",IF(T$6="NÃO",0,IF($A354=0,DATEDIF(ESTRUTURA!$F$3,ESTRUTURA!$F$4,"m")*Tabela!$H$18,Tabela!$H$18)))</f>
        <v/>
      </c>
      <c r="U354" s="60" t="str">
        <f t="shared" si="70"/>
        <v/>
      </c>
      <c r="V354" s="30" t="str">
        <f>IF($A354="","",IF(V$6="NÃO",0,IF($A354=0,DATEDIF(ESTRUTURA!$F$3,ESTRUTURA!$F$4,"m")*Tabela!$H$20,Tabela!$H$20)))</f>
        <v/>
      </c>
      <c r="W354" s="60" t="str">
        <f t="shared" si="70"/>
        <v/>
      </c>
      <c r="X354" s="30" t="str">
        <f t="shared" si="70"/>
        <v/>
      </c>
      <c r="Y354" s="60" t="str">
        <f>IF($A354="","",IF(Y$6="NÃO",0,IF(A354=0,Tabela!$H$23,IF(Y$7="mensal",Tabela!$H$23,IF(AND(MONTH(ESTRUTURA!C354)=MONTH(ESTRUTURA!$F$3),A354&gt;0),Tabela!$H$23,0)))))</f>
        <v/>
      </c>
      <c r="Z354" s="30" t="str">
        <f t="shared" si="70"/>
        <v/>
      </c>
      <c r="AA354" s="60" t="str">
        <f>IF($A354="","",IF(AA$6="NÃO",0,Tabela!$H$25*nm_séries))</f>
        <v/>
      </c>
      <c r="AB354" s="30" t="str">
        <f t="shared" si="70"/>
        <v/>
      </c>
      <c r="AC354" s="60" t="str">
        <f>IF($A354="","",IF(AC$6="NÃO",0,IF(A354=0,Tabela!$H$27,IF(MOD(A354,3)=0,Tabela!$H$27,0))))</f>
        <v/>
      </c>
      <c r="AD354" s="30" t="str">
        <f t="shared" si="70"/>
        <v/>
      </c>
      <c r="AE354" s="60" t="str">
        <f t="shared" si="70"/>
        <v/>
      </c>
      <c r="AF354" s="30" t="str">
        <f>IF($A354="","",IF(AF$6="NÃO",0,IF(AND(MONTH(ESTRUTURA!C354)=MONTH(ESTRUTURA!$F$3),A354&gt;0),Tabela!$H$30,0)))</f>
        <v/>
      </c>
      <c r="AG354" s="60" t="str">
        <f t="shared" si="70"/>
        <v/>
      </c>
      <c r="AH354" s="30" t="str">
        <f t="shared" si="70"/>
        <v/>
      </c>
      <c r="AI354" s="60" t="str">
        <f>IF($A354="","",IF(AI$6="NÃO",0,IF($A354=0,DATEDIF(ESTRUTURA!$F$3,ESTRUTURA!$F$4,"m")*Tabela!$H$33,Tabela!$H$33)))</f>
        <v/>
      </c>
      <c r="AJ354" s="30" t="str">
        <f t="shared" si="62"/>
        <v/>
      </c>
    </row>
    <row r="355" spans="1:36" x14ac:dyDescent="0.2">
      <c r="A355" s="66" t="str">
        <f>ESTRUTURA!A355</f>
        <v/>
      </c>
      <c r="B355" s="58">
        <f t="shared" si="68"/>
        <v>0</v>
      </c>
      <c r="C355" s="60" t="str">
        <f t="shared" si="71"/>
        <v/>
      </c>
      <c r="D355" s="30" t="str">
        <f t="shared" si="71"/>
        <v/>
      </c>
      <c r="E355" s="60" t="str">
        <f t="shared" si="71"/>
        <v/>
      </c>
      <c r="F355" s="30" t="str">
        <f>IF($A355="","",IF(F$6="NÃO",0,Tabela!$H$34*ESTRUTURA!$I$4))</f>
        <v/>
      </c>
      <c r="G355" s="60" t="str">
        <f t="shared" si="71"/>
        <v/>
      </c>
      <c r="H355" s="30" t="str">
        <f>IF($A355="","",IF(H$6="NÃO",0,IF($A355=0,DATEDIF(ESTRUTURA!$F$3,ESTRUTURA!$F$4,"m")*Tabela!$H$6,Tabela!$H$6)))</f>
        <v/>
      </c>
      <c r="I355" s="60" t="str">
        <f t="shared" si="71"/>
        <v/>
      </c>
      <c r="J355" s="30" t="str">
        <f>IF($A355="","",IF(J$6="NÃO",0,IF($A355=0,DATEDIF(ESTRUTURA!$F$3,ESTRUTURA!$F$4,"m")*Tabela!$H$8,IF(J$6="NÃO",0,Tabela!$H$8))))</f>
        <v/>
      </c>
      <c r="K355" s="60" t="str">
        <f t="shared" si="71"/>
        <v/>
      </c>
      <c r="L355" s="30" t="str">
        <f t="shared" si="71"/>
        <v/>
      </c>
      <c r="M355" s="60" t="str">
        <f t="shared" si="71"/>
        <v/>
      </c>
      <c r="N355" s="30" t="str">
        <f t="shared" si="71"/>
        <v/>
      </c>
      <c r="O355" s="60" t="str">
        <f t="shared" si="71"/>
        <v/>
      </c>
      <c r="P355" s="30" t="str">
        <f t="shared" si="69"/>
        <v/>
      </c>
      <c r="Q355" s="60" t="str">
        <f t="shared" si="71"/>
        <v/>
      </c>
      <c r="R355" s="30" t="str">
        <f t="shared" si="71"/>
        <v/>
      </c>
      <c r="S355" s="60" t="str">
        <f>IF($A355="","",IF(S$6="NÃO",0,IF($A355=0,DATEDIF(ESTRUTURA!$F$3,ESTRUTURA!$F$4,"m")*Tabela!$H$17,Tabela!$H$17)))</f>
        <v/>
      </c>
      <c r="T355" s="30" t="str">
        <f>IF($A355="","",IF(T$6="NÃO",0,IF($A355=0,DATEDIF(ESTRUTURA!$F$3,ESTRUTURA!$F$4,"m")*Tabela!$H$18,Tabela!$H$18)))</f>
        <v/>
      </c>
      <c r="U355" s="60" t="str">
        <f t="shared" si="70"/>
        <v/>
      </c>
      <c r="V355" s="30" t="str">
        <f>IF($A355="","",IF(V$6="NÃO",0,IF($A355=0,DATEDIF(ESTRUTURA!$F$3,ESTRUTURA!$F$4,"m")*Tabela!$H$20,Tabela!$H$20)))</f>
        <v/>
      </c>
      <c r="W355" s="60" t="str">
        <f t="shared" si="70"/>
        <v/>
      </c>
      <c r="X355" s="30" t="str">
        <f t="shared" si="70"/>
        <v/>
      </c>
      <c r="Y355" s="60" t="str">
        <f>IF($A355="","",IF(Y$6="NÃO",0,IF(A355=0,Tabela!$H$23,IF(Y$7="mensal",Tabela!$H$23,IF(AND(MONTH(ESTRUTURA!C355)=MONTH(ESTRUTURA!$F$3),A355&gt;0),Tabela!$H$23,0)))))</f>
        <v/>
      </c>
      <c r="Z355" s="30" t="str">
        <f t="shared" si="70"/>
        <v/>
      </c>
      <c r="AA355" s="60" t="str">
        <f>IF($A355="","",IF(AA$6="NÃO",0,Tabela!$H$25*nm_séries))</f>
        <v/>
      </c>
      <c r="AB355" s="30" t="str">
        <f t="shared" si="70"/>
        <v/>
      </c>
      <c r="AC355" s="60" t="str">
        <f>IF($A355="","",IF(AC$6="NÃO",0,IF(A355=0,Tabela!$H$27,IF(MOD(A355,3)=0,Tabela!$H$27,0))))</f>
        <v/>
      </c>
      <c r="AD355" s="30" t="str">
        <f t="shared" si="70"/>
        <v/>
      </c>
      <c r="AE355" s="60" t="str">
        <f t="shared" si="70"/>
        <v/>
      </c>
      <c r="AF355" s="30" t="str">
        <f>IF($A355="","",IF(AF$6="NÃO",0,IF(AND(MONTH(ESTRUTURA!C355)=MONTH(ESTRUTURA!$F$3),A355&gt;0),Tabela!$H$30,0)))</f>
        <v/>
      </c>
      <c r="AG355" s="60" t="str">
        <f t="shared" si="70"/>
        <v/>
      </c>
      <c r="AH355" s="30" t="str">
        <f t="shared" si="70"/>
        <v/>
      </c>
      <c r="AI355" s="60" t="str">
        <f>IF($A355="","",IF(AI$6="NÃO",0,IF($A355=0,DATEDIF(ESTRUTURA!$F$3,ESTRUTURA!$F$4,"m")*Tabela!$H$33,Tabela!$H$33)))</f>
        <v/>
      </c>
      <c r="AJ355" s="30" t="str">
        <f t="shared" si="62"/>
        <v/>
      </c>
    </row>
    <row r="356" spans="1:36" x14ac:dyDescent="0.2">
      <c r="A356" s="66" t="str">
        <f>ESTRUTURA!A356</f>
        <v/>
      </c>
      <c r="B356" s="58">
        <f t="shared" si="68"/>
        <v>0</v>
      </c>
      <c r="C356" s="60" t="str">
        <f t="shared" si="71"/>
        <v/>
      </c>
      <c r="D356" s="30" t="str">
        <f t="shared" si="71"/>
        <v/>
      </c>
      <c r="E356" s="60" t="str">
        <f t="shared" si="71"/>
        <v/>
      </c>
      <c r="F356" s="30" t="str">
        <f>IF($A356="","",IF(F$6="NÃO",0,Tabela!$H$34*ESTRUTURA!$I$4))</f>
        <v/>
      </c>
      <c r="G356" s="60" t="str">
        <f t="shared" si="71"/>
        <v/>
      </c>
      <c r="H356" s="30" t="str">
        <f>IF($A356="","",IF(H$6="NÃO",0,IF($A356=0,DATEDIF(ESTRUTURA!$F$3,ESTRUTURA!$F$4,"m")*Tabela!$H$6,Tabela!$H$6)))</f>
        <v/>
      </c>
      <c r="I356" s="60" t="str">
        <f t="shared" si="71"/>
        <v/>
      </c>
      <c r="J356" s="30" t="str">
        <f>IF($A356="","",IF(J$6="NÃO",0,IF($A356=0,DATEDIF(ESTRUTURA!$F$3,ESTRUTURA!$F$4,"m")*Tabela!$H$8,IF(J$6="NÃO",0,Tabela!$H$8))))</f>
        <v/>
      </c>
      <c r="K356" s="60" t="str">
        <f t="shared" si="71"/>
        <v/>
      </c>
      <c r="L356" s="30" t="str">
        <f t="shared" si="71"/>
        <v/>
      </c>
      <c r="M356" s="60" t="str">
        <f t="shared" si="71"/>
        <v/>
      </c>
      <c r="N356" s="30" t="str">
        <f t="shared" si="71"/>
        <v/>
      </c>
      <c r="O356" s="60" t="str">
        <f t="shared" si="71"/>
        <v/>
      </c>
      <c r="P356" s="30" t="str">
        <f t="shared" si="69"/>
        <v/>
      </c>
      <c r="Q356" s="60" t="str">
        <f t="shared" si="71"/>
        <v/>
      </c>
      <c r="R356" s="30" t="str">
        <f t="shared" si="71"/>
        <v/>
      </c>
      <c r="S356" s="60" t="str">
        <f>IF($A356="","",IF(S$6="NÃO",0,IF($A356=0,DATEDIF(ESTRUTURA!$F$3,ESTRUTURA!$F$4,"m")*Tabela!$H$17,Tabela!$H$17)))</f>
        <v/>
      </c>
      <c r="T356" s="30" t="str">
        <f>IF($A356="","",IF(T$6="NÃO",0,IF($A356=0,DATEDIF(ESTRUTURA!$F$3,ESTRUTURA!$F$4,"m")*Tabela!$H$18,Tabela!$H$18)))</f>
        <v/>
      </c>
      <c r="U356" s="60" t="str">
        <f t="shared" si="70"/>
        <v/>
      </c>
      <c r="V356" s="30" t="str">
        <f>IF($A356="","",IF(V$6="NÃO",0,IF($A356=0,DATEDIF(ESTRUTURA!$F$3,ESTRUTURA!$F$4,"m")*Tabela!$H$20,Tabela!$H$20)))</f>
        <v/>
      </c>
      <c r="W356" s="60" t="str">
        <f t="shared" si="70"/>
        <v/>
      </c>
      <c r="X356" s="30" t="str">
        <f t="shared" si="70"/>
        <v/>
      </c>
      <c r="Y356" s="60" t="str">
        <f>IF($A356="","",IF(Y$6="NÃO",0,IF(A356=0,Tabela!$H$23,IF(Y$7="mensal",Tabela!$H$23,IF(AND(MONTH(ESTRUTURA!C356)=MONTH(ESTRUTURA!$F$3),A356&gt;0),Tabela!$H$23,0)))))</f>
        <v/>
      </c>
      <c r="Z356" s="30" t="str">
        <f t="shared" si="70"/>
        <v/>
      </c>
      <c r="AA356" s="60" t="str">
        <f>IF($A356="","",IF(AA$6="NÃO",0,Tabela!$H$25*nm_séries))</f>
        <v/>
      </c>
      <c r="AB356" s="30" t="str">
        <f t="shared" si="70"/>
        <v/>
      </c>
      <c r="AC356" s="60" t="str">
        <f>IF($A356="","",IF(AC$6="NÃO",0,IF(A356=0,Tabela!$H$27,IF(MOD(A356,3)=0,Tabela!$H$27,0))))</f>
        <v/>
      </c>
      <c r="AD356" s="30" t="str">
        <f t="shared" si="70"/>
        <v/>
      </c>
      <c r="AE356" s="60" t="str">
        <f t="shared" si="70"/>
        <v/>
      </c>
      <c r="AF356" s="30" t="str">
        <f>IF($A356="","",IF(AF$6="NÃO",0,IF(AND(MONTH(ESTRUTURA!C356)=MONTH(ESTRUTURA!$F$3),A356&gt;0),Tabela!$H$30,0)))</f>
        <v/>
      </c>
      <c r="AG356" s="60" t="str">
        <f t="shared" si="70"/>
        <v/>
      </c>
      <c r="AH356" s="30" t="str">
        <f t="shared" si="70"/>
        <v/>
      </c>
      <c r="AI356" s="60" t="str">
        <f>IF($A356="","",IF(AI$6="NÃO",0,IF($A356=0,DATEDIF(ESTRUTURA!$F$3,ESTRUTURA!$F$4,"m")*Tabela!$H$33,Tabela!$H$33)))</f>
        <v/>
      </c>
      <c r="AJ356" s="30" t="str">
        <f t="shared" si="62"/>
        <v/>
      </c>
    </row>
    <row r="357" spans="1:36" x14ac:dyDescent="0.2">
      <c r="A357" s="66" t="str">
        <f>ESTRUTURA!A357</f>
        <v/>
      </c>
      <c r="B357" s="58">
        <f t="shared" si="68"/>
        <v>0</v>
      </c>
      <c r="C357" s="60" t="str">
        <f t="shared" si="71"/>
        <v/>
      </c>
      <c r="D357" s="30" t="str">
        <f t="shared" si="71"/>
        <v/>
      </c>
      <c r="E357" s="60" t="str">
        <f t="shared" si="71"/>
        <v/>
      </c>
      <c r="F357" s="30" t="str">
        <f>IF($A357="","",IF(F$6="NÃO",0,Tabela!$H$34*ESTRUTURA!$I$4))</f>
        <v/>
      </c>
      <c r="G357" s="60" t="str">
        <f t="shared" si="71"/>
        <v/>
      </c>
      <c r="H357" s="30" t="str">
        <f>IF($A357="","",IF(H$6="NÃO",0,IF($A357=0,DATEDIF(ESTRUTURA!$F$3,ESTRUTURA!$F$4,"m")*Tabela!$H$6,Tabela!$H$6)))</f>
        <v/>
      </c>
      <c r="I357" s="60" t="str">
        <f t="shared" si="71"/>
        <v/>
      </c>
      <c r="J357" s="30" t="str">
        <f>IF($A357="","",IF(J$6="NÃO",0,IF($A357=0,DATEDIF(ESTRUTURA!$F$3,ESTRUTURA!$F$4,"m")*Tabela!$H$8,IF(J$6="NÃO",0,Tabela!$H$8))))</f>
        <v/>
      </c>
      <c r="K357" s="60" t="str">
        <f t="shared" si="71"/>
        <v/>
      </c>
      <c r="L357" s="30" t="str">
        <f t="shared" si="71"/>
        <v/>
      </c>
      <c r="M357" s="60" t="str">
        <f t="shared" si="71"/>
        <v/>
      </c>
      <c r="N357" s="30" t="str">
        <f t="shared" si="71"/>
        <v/>
      </c>
      <c r="O357" s="60" t="str">
        <f t="shared" si="71"/>
        <v/>
      </c>
      <c r="P357" s="30" t="str">
        <f t="shared" si="69"/>
        <v/>
      </c>
      <c r="Q357" s="60" t="str">
        <f t="shared" si="71"/>
        <v/>
      </c>
      <c r="R357" s="30" t="str">
        <f t="shared" si="71"/>
        <v/>
      </c>
      <c r="S357" s="60" t="str">
        <f>IF($A357="","",IF(S$6="NÃO",0,IF($A357=0,DATEDIF(ESTRUTURA!$F$3,ESTRUTURA!$F$4,"m")*Tabela!$H$17,Tabela!$H$17)))</f>
        <v/>
      </c>
      <c r="T357" s="30" t="str">
        <f>IF($A357="","",IF(T$6="NÃO",0,IF($A357=0,DATEDIF(ESTRUTURA!$F$3,ESTRUTURA!$F$4,"m")*Tabela!$H$18,Tabela!$H$18)))</f>
        <v/>
      </c>
      <c r="U357" s="60" t="str">
        <f t="shared" si="70"/>
        <v/>
      </c>
      <c r="V357" s="30" t="str">
        <f>IF($A357="","",IF(V$6="NÃO",0,IF($A357=0,DATEDIF(ESTRUTURA!$F$3,ESTRUTURA!$F$4,"m")*Tabela!$H$20,Tabela!$H$20)))</f>
        <v/>
      </c>
      <c r="W357" s="60" t="str">
        <f t="shared" si="70"/>
        <v/>
      </c>
      <c r="X357" s="30" t="str">
        <f t="shared" si="70"/>
        <v/>
      </c>
      <c r="Y357" s="60" t="str">
        <f>IF($A357="","",IF(Y$6="NÃO",0,IF(A357=0,Tabela!$H$23,IF(Y$7="mensal",Tabela!$H$23,IF(AND(MONTH(ESTRUTURA!C357)=MONTH(ESTRUTURA!$F$3),A357&gt;0),Tabela!$H$23,0)))))</f>
        <v/>
      </c>
      <c r="Z357" s="30" t="str">
        <f t="shared" si="70"/>
        <v/>
      </c>
      <c r="AA357" s="60" t="str">
        <f>IF($A357="","",IF(AA$6="NÃO",0,Tabela!$H$25*nm_séries))</f>
        <v/>
      </c>
      <c r="AB357" s="30" t="str">
        <f t="shared" si="70"/>
        <v/>
      </c>
      <c r="AC357" s="60" t="str">
        <f>IF($A357="","",IF(AC$6="NÃO",0,IF(A357=0,Tabela!$H$27,IF(MOD(A357,3)=0,Tabela!$H$27,0))))</f>
        <v/>
      </c>
      <c r="AD357" s="30" t="str">
        <f t="shared" si="70"/>
        <v/>
      </c>
      <c r="AE357" s="60" t="str">
        <f t="shared" si="70"/>
        <v/>
      </c>
      <c r="AF357" s="30" t="str">
        <f>IF($A357="","",IF(AF$6="NÃO",0,IF(AND(MONTH(ESTRUTURA!C357)=MONTH(ESTRUTURA!$F$3),A357&gt;0),Tabela!$H$30,0)))</f>
        <v/>
      </c>
      <c r="AG357" s="60" t="str">
        <f t="shared" si="70"/>
        <v/>
      </c>
      <c r="AH357" s="30" t="str">
        <f t="shared" si="70"/>
        <v/>
      </c>
      <c r="AI357" s="60" t="str">
        <f>IF($A357="","",IF(AI$6="NÃO",0,IF($A357=0,DATEDIF(ESTRUTURA!$F$3,ESTRUTURA!$F$4,"m")*Tabela!$H$33,Tabela!$H$33)))</f>
        <v/>
      </c>
      <c r="AJ357" s="30" t="str">
        <f t="shared" si="62"/>
        <v/>
      </c>
    </row>
    <row r="358" spans="1:36" x14ac:dyDescent="0.2">
      <c r="A358" s="66" t="str">
        <f>ESTRUTURA!A358</f>
        <v/>
      </c>
      <c r="B358" s="58">
        <f t="shared" si="68"/>
        <v>0</v>
      </c>
      <c r="C358" s="60" t="str">
        <f t="shared" si="71"/>
        <v/>
      </c>
      <c r="D358" s="30" t="str">
        <f t="shared" si="71"/>
        <v/>
      </c>
      <c r="E358" s="60" t="str">
        <f t="shared" si="71"/>
        <v/>
      </c>
      <c r="F358" s="30" t="str">
        <f>IF($A358="","",IF(F$6="NÃO",0,Tabela!$H$34*ESTRUTURA!$I$4))</f>
        <v/>
      </c>
      <c r="G358" s="60" t="str">
        <f t="shared" si="71"/>
        <v/>
      </c>
      <c r="H358" s="30" t="str">
        <f>IF($A358="","",IF(H$6="NÃO",0,IF($A358=0,DATEDIF(ESTRUTURA!$F$3,ESTRUTURA!$F$4,"m")*Tabela!$H$6,Tabela!$H$6)))</f>
        <v/>
      </c>
      <c r="I358" s="60" t="str">
        <f t="shared" si="71"/>
        <v/>
      </c>
      <c r="J358" s="30" t="str">
        <f>IF($A358="","",IF(J$6="NÃO",0,IF($A358=0,DATEDIF(ESTRUTURA!$F$3,ESTRUTURA!$F$4,"m")*Tabela!$H$8,IF(J$6="NÃO",0,Tabela!$H$8))))</f>
        <v/>
      </c>
      <c r="K358" s="60" t="str">
        <f t="shared" si="71"/>
        <v/>
      </c>
      <c r="L358" s="30" t="str">
        <f t="shared" si="71"/>
        <v/>
      </c>
      <c r="M358" s="60" t="str">
        <f t="shared" si="71"/>
        <v/>
      </c>
      <c r="N358" s="30" t="str">
        <f t="shared" si="71"/>
        <v/>
      </c>
      <c r="O358" s="60" t="str">
        <f t="shared" si="71"/>
        <v/>
      </c>
      <c r="P358" s="30" t="str">
        <f t="shared" si="69"/>
        <v/>
      </c>
      <c r="Q358" s="60" t="str">
        <f t="shared" si="71"/>
        <v/>
      </c>
      <c r="R358" s="30" t="str">
        <f t="shared" si="71"/>
        <v/>
      </c>
      <c r="S358" s="60" t="str">
        <f>IF($A358="","",IF(S$6="NÃO",0,IF($A358=0,DATEDIF(ESTRUTURA!$F$3,ESTRUTURA!$F$4,"m")*Tabela!$H$17,Tabela!$H$17)))</f>
        <v/>
      </c>
      <c r="T358" s="30" t="str">
        <f>IF($A358="","",IF(T$6="NÃO",0,IF($A358=0,DATEDIF(ESTRUTURA!$F$3,ESTRUTURA!$F$4,"m")*Tabela!$H$18,Tabela!$H$18)))</f>
        <v/>
      </c>
      <c r="U358" s="60" t="str">
        <f t="shared" si="70"/>
        <v/>
      </c>
      <c r="V358" s="30" t="str">
        <f>IF($A358="","",IF(V$6="NÃO",0,IF($A358=0,DATEDIF(ESTRUTURA!$F$3,ESTRUTURA!$F$4,"m")*Tabela!$H$20,Tabela!$H$20)))</f>
        <v/>
      </c>
      <c r="W358" s="60" t="str">
        <f t="shared" si="70"/>
        <v/>
      </c>
      <c r="X358" s="30" t="str">
        <f t="shared" si="70"/>
        <v/>
      </c>
      <c r="Y358" s="60" t="str">
        <f>IF($A358="","",IF(Y$6="NÃO",0,IF(A358=0,Tabela!$H$23,IF(Y$7="mensal",Tabela!$H$23,IF(AND(MONTH(ESTRUTURA!C358)=MONTH(ESTRUTURA!$F$3),A358&gt;0),Tabela!$H$23,0)))))</f>
        <v/>
      </c>
      <c r="Z358" s="30" t="str">
        <f t="shared" si="70"/>
        <v/>
      </c>
      <c r="AA358" s="60" t="str">
        <f>IF($A358="","",IF(AA$6="NÃO",0,Tabela!$H$25*nm_séries))</f>
        <v/>
      </c>
      <c r="AB358" s="30" t="str">
        <f t="shared" si="70"/>
        <v/>
      </c>
      <c r="AC358" s="60" t="str">
        <f>IF($A358="","",IF(AC$6="NÃO",0,IF(A358=0,Tabela!$H$27,IF(MOD(A358,3)=0,Tabela!$H$27,0))))</f>
        <v/>
      </c>
      <c r="AD358" s="30" t="str">
        <f t="shared" si="70"/>
        <v/>
      </c>
      <c r="AE358" s="60" t="str">
        <f t="shared" si="70"/>
        <v/>
      </c>
      <c r="AF358" s="30" t="str">
        <f>IF($A358="","",IF(AF$6="NÃO",0,IF(AND(MONTH(ESTRUTURA!C358)=MONTH(ESTRUTURA!$F$3),A358&gt;0),Tabela!$H$30,0)))</f>
        <v/>
      </c>
      <c r="AG358" s="60" t="str">
        <f t="shared" si="70"/>
        <v/>
      </c>
      <c r="AH358" s="30" t="str">
        <f t="shared" si="70"/>
        <v/>
      </c>
      <c r="AI358" s="60" t="str">
        <f>IF($A358="","",IF(AI$6="NÃO",0,IF($A358=0,DATEDIF(ESTRUTURA!$F$3,ESTRUTURA!$F$4,"m")*Tabela!$H$33,Tabela!$H$33)))</f>
        <v/>
      </c>
      <c r="AJ358" s="30" t="str">
        <f t="shared" si="62"/>
        <v/>
      </c>
    </row>
    <row r="359" spans="1:36" x14ac:dyDescent="0.2">
      <c r="A359" s="66" t="str">
        <f>ESTRUTURA!A359</f>
        <v/>
      </c>
      <c r="B359" s="58">
        <f t="shared" si="68"/>
        <v>0</v>
      </c>
      <c r="C359" s="60" t="str">
        <f t="shared" si="71"/>
        <v/>
      </c>
      <c r="D359" s="30" t="str">
        <f t="shared" si="71"/>
        <v/>
      </c>
      <c r="E359" s="60" t="str">
        <f t="shared" si="71"/>
        <v/>
      </c>
      <c r="F359" s="30" t="str">
        <f>IF($A359="","",IF(F$6="NÃO",0,Tabela!$H$34*ESTRUTURA!$I$4))</f>
        <v/>
      </c>
      <c r="G359" s="60" t="str">
        <f t="shared" si="71"/>
        <v/>
      </c>
      <c r="H359" s="30" t="str">
        <f>IF($A359="","",IF(H$6="NÃO",0,IF($A359=0,DATEDIF(ESTRUTURA!$F$3,ESTRUTURA!$F$4,"m")*Tabela!$H$6,Tabela!$H$6)))</f>
        <v/>
      </c>
      <c r="I359" s="60" t="str">
        <f t="shared" si="71"/>
        <v/>
      </c>
      <c r="J359" s="30" t="str">
        <f>IF($A359="","",IF(J$6="NÃO",0,IF($A359=0,DATEDIF(ESTRUTURA!$F$3,ESTRUTURA!$F$4,"m")*Tabela!$H$8,IF(J$6="NÃO",0,Tabela!$H$8))))</f>
        <v/>
      </c>
      <c r="K359" s="60" t="str">
        <f t="shared" si="71"/>
        <v/>
      </c>
      <c r="L359" s="30" t="str">
        <f t="shared" si="71"/>
        <v/>
      </c>
      <c r="M359" s="60" t="str">
        <f t="shared" si="71"/>
        <v/>
      </c>
      <c r="N359" s="30" t="str">
        <f t="shared" si="71"/>
        <v/>
      </c>
      <c r="O359" s="60" t="str">
        <f t="shared" si="71"/>
        <v/>
      </c>
      <c r="P359" s="30" t="str">
        <f t="shared" si="69"/>
        <v/>
      </c>
      <c r="Q359" s="60" t="str">
        <f t="shared" si="71"/>
        <v/>
      </c>
      <c r="R359" s="30" t="str">
        <f t="shared" si="71"/>
        <v/>
      </c>
      <c r="S359" s="60" t="str">
        <f>IF($A359="","",IF(S$6="NÃO",0,IF($A359=0,DATEDIF(ESTRUTURA!$F$3,ESTRUTURA!$F$4,"m")*Tabela!$H$17,Tabela!$H$17)))</f>
        <v/>
      </c>
      <c r="T359" s="30" t="str">
        <f>IF($A359="","",IF(T$6="NÃO",0,IF($A359=0,DATEDIF(ESTRUTURA!$F$3,ESTRUTURA!$F$4,"m")*Tabela!$H$18,Tabela!$H$18)))</f>
        <v/>
      </c>
      <c r="U359" s="60" t="str">
        <f t="shared" si="70"/>
        <v/>
      </c>
      <c r="V359" s="30" t="str">
        <f>IF($A359="","",IF(V$6="NÃO",0,IF($A359=0,DATEDIF(ESTRUTURA!$F$3,ESTRUTURA!$F$4,"m")*Tabela!$H$20,Tabela!$H$20)))</f>
        <v/>
      </c>
      <c r="W359" s="60" t="str">
        <f t="shared" si="70"/>
        <v/>
      </c>
      <c r="X359" s="30" t="str">
        <f t="shared" si="70"/>
        <v/>
      </c>
      <c r="Y359" s="60" t="str">
        <f>IF($A359="","",IF(Y$6="NÃO",0,IF(A359=0,Tabela!$H$23,IF(Y$7="mensal",Tabela!$H$23,IF(AND(MONTH(ESTRUTURA!C359)=MONTH(ESTRUTURA!$F$3),A359&gt;0),Tabela!$H$23,0)))))</f>
        <v/>
      </c>
      <c r="Z359" s="30" t="str">
        <f t="shared" si="70"/>
        <v/>
      </c>
      <c r="AA359" s="60" t="str">
        <f>IF($A359="","",IF(AA$6="NÃO",0,Tabela!$H$25*nm_séries))</f>
        <v/>
      </c>
      <c r="AB359" s="30" t="str">
        <f t="shared" si="70"/>
        <v/>
      </c>
      <c r="AC359" s="60" t="str">
        <f>IF($A359="","",IF(AC$6="NÃO",0,IF(A359=0,Tabela!$H$27,IF(MOD(A359,3)=0,Tabela!$H$27,0))))</f>
        <v/>
      </c>
      <c r="AD359" s="30" t="str">
        <f t="shared" si="70"/>
        <v/>
      </c>
      <c r="AE359" s="60" t="str">
        <f t="shared" si="70"/>
        <v/>
      </c>
      <c r="AF359" s="30" t="str">
        <f>IF($A359="","",IF(AF$6="NÃO",0,IF(AND(MONTH(ESTRUTURA!C359)=MONTH(ESTRUTURA!$F$3),A359&gt;0),Tabela!$H$30,0)))</f>
        <v/>
      </c>
      <c r="AG359" s="60" t="str">
        <f t="shared" si="70"/>
        <v/>
      </c>
      <c r="AH359" s="30" t="str">
        <f t="shared" si="70"/>
        <v/>
      </c>
      <c r="AI359" s="60" t="str">
        <f>IF($A359="","",IF(AI$6="NÃO",0,IF($A359=0,DATEDIF(ESTRUTURA!$F$3,ESTRUTURA!$F$4,"m")*Tabela!$H$33,Tabela!$H$33)))</f>
        <v/>
      </c>
      <c r="AJ359" s="30" t="str">
        <f t="shared" si="62"/>
        <v/>
      </c>
    </row>
    <row r="360" spans="1:36" x14ac:dyDescent="0.2">
      <c r="A360" s="66" t="str">
        <f>ESTRUTURA!A360</f>
        <v/>
      </c>
      <c r="B360" s="58">
        <f t="shared" si="68"/>
        <v>0</v>
      </c>
      <c r="C360" s="60" t="str">
        <f t="shared" si="71"/>
        <v/>
      </c>
      <c r="D360" s="30" t="str">
        <f t="shared" si="71"/>
        <v/>
      </c>
      <c r="E360" s="60" t="str">
        <f t="shared" si="71"/>
        <v/>
      </c>
      <c r="F360" s="30" t="str">
        <f>IF($A360="","",IF(F$6="NÃO",0,Tabela!$H$34*ESTRUTURA!$I$4))</f>
        <v/>
      </c>
      <c r="G360" s="60" t="str">
        <f t="shared" si="71"/>
        <v/>
      </c>
      <c r="H360" s="30" t="str">
        <f>IF($A360="","",IF(H$6="NÃO",0,IF($A360=0,DATEDIF(ESTRUTURA!$F$3,ESTRUTURA!$F$4,"m")*Tabela!$H$6,Tabela!$H$6)))</f>
        <v/>
      </c>
      <c r="I360" s="60" t="str">
        <f t="shared" si="71"/>
        <v/>
      </c>
      <c r="J360" s="30" t="str">
        <f>IF($A360="","",IF(J$6="NÃO",0,IF($A360=0,DATEDIF(ESTRUTURA!$F$3,ESTRUTURA!$F$4,"m")*Tabela!$H$8,IF(J$6="NÃO",0,Tabela!$H$8))))</f>
        <v/>
      </c>
      <c r="K360" s="60" t="str">
        <f t="shared" si="71"/>
        <v/>
      </c>
      <c r="L360" s="30" t="str">
        <f t="shared" si="71"/>
        <v/>
      </c>
      <c r="M360" s="60" t="str">
        <f t="shared" si="71"/>
        <v/>
      </c>
      <c r="N360" s="30" t="str">
        <f t="shared" si="71"/>
        <v/>
      </c>
      <c r="O360" s="60" t="str">
        <f t="shared" si="71"/>
        <v/>
      </c>
      <c r="P360" s="30" t="str">
        <f t="shared" si="69"/>
        <v/>
      </c>
      <c r="Q360" s="60" t="str">
        <f t="shared" si="71"/>
        <v/>
      </c>
      <c r="R360" s="30" t="str">
        <f t="shared" si="71"/>
        <v/>
      </c>
      <c r="S360" s="60" t="str">
        <f>IF($A360="","",IF(S$6="NÃO",0,IF($A360=0,DATEDIF(ESTRUTURA!$F$3,ESTRUTURA!$F$4,"m")*Tabela!$H$17,Tabela!$H$17)))</f>
        <v/>
      </c>
      <c r="T360" s="30" t="str">
        <f>IF($A360="","",IF(T$6="NÃO",0,IF($A360=0,DATEDIF(ESTRUTURA!$F$3,ESTRUTURA!$F$4,"m")*Tabela!$H$18,Tabela!$H$18)))</f>
        <v/>
      </c>
      <c r="U360" s="60" t="str">
        <f t="shared" si="70"/>
        <v/>
      </c>
      <c r="V360" s="30" t="str">
        <f>IF($A360="","",IF(V$6="NÃO",0,IF($A360=0,DATEDIF(ESTRUTURA!$F$3,ESTRUTURA!$F$4,"m")*Tabela!$H$20,Tabela!$H$20)))</f>
        <v/>
      </c>
      <c r="W360" s="60" t="str">
        <f t="shared" si="70"/>
        <v/>
      </c>
      <c r="X360" s="30" t="str">
        <f t="shared" si="70"/>
        <v/>
      </c>
      <c r="Y360" s="60" t="str">
        <f>IF($A360="","",IF(Y$6="NÃO",0,IF(A360=0,Tabela!$H$23,IF(Y$7="mensal",Tabela!$H$23,IF(AND(MONTH(ESTRUTURA!C360)=MONTH(ESTRUTURA!$F$3),A360&gt;0),Tabela!$H$23,0)))))</f>
        <v/>
      </c>
      <c r="Z360" s="30" t="str">
        <f t="shared" si="70"/>
        <v/>
      </c>
      <c r="AA360" s="60" t="str">
        <f>IF($A360="","",IF(AA$6="NÃO",0,Tabela!$H$25*nm_séries))</f>
        <v/>
      </c>
      <c r="AB360" s="30" t="str">
        <f t="shared" si="70"/>
        <v/>
      </c>
      <c r="AC360" s="60" t="str">
        <f>IF($A360="","",IF(AC$6="NÃO",0,IF(A360=0,Tabela!$H$27,IF(MOD(A360,3)=0,Tabela!$H$27,0))))</f>
        <v/>
      </c>
      <c r="AD360" s="30" t="str">
        <f t="shared" si="70"/>
        <v/>
      </c>
      <c r="AE360" s="60" t="str">
        <f t="shared" si="70"/>
        <v/>
      </c>
      <c r="AF360" s="30" t="str">
        <f>IF($A360="","",IF(AF$6="NÃO",0,IF(AND(MONTH(ESTRUTURA!C360)=MONTH(ESTRUTURA!$F$3),A360&gt;0),Tabela!$H$30,0)))</f>
        <v/>
      </c>
      <c r="AG360" s="60" t="str">
        <f t="shared" si="70"/>
        <v/>
      </c>
      <c r="AH360" s="30" t="str">
        <f t="shared" si="70"/>
        <v/>
      </c>
      <c r="AI360" s="60" t="str">
        <f>IF($A360="","",IF(AI$6="NÃO",0,IF($A360=0,DATEDIF(ESTRUTURA!$F$3,ESTRUTURA!$F$4,"m")*Tabela!$H$33,Tabela!$H$33)))</f>
        <v/>
      </c>
      <c r="AJ360" s="30" t="str">
        <f t="shared" si="62"/>
        <v/>
      </c>
    </row>
    <row r="361" spans="1:36" x14ac:dyDescent="0.2">
      <c r="A361" s="66" t="str">
        <f>ESTRUTURA!A361</f>
        <v/>
      </c>
      <c r="B361" s="58">
        <f t="shared" si="68"/>
        <v>0</v>
      </c>
      <c r="C361" s="60" t="str">
        <f t="shared" si="71"/>
        <v/>
      </c>
      <c r="D361" s="30" t="str">
        <f t="shared" si="71"/>
        <v/>
      </c>
      <c r="E361" s="60" t="str">
        <f t="shared" si="71"/>
        <v/>
      </c>
      <c r="F361" s="30" t="str">
        <f>IF($A361="","",IF(F$6="NÃO",0,Tabela!$H$34*ESTRUTURA!$I$4))</f>
        <v/>
      </c>
      <c r="G361" s="60" t="str">
        <f t="shared" si="71"/>
        <v/>
      </c>
      <c r="H361" s="30" t="str">
        <f>IF($A361="","",IF(H$6="NÃO",0,IF($A361=0,DATEDIF(ESTRUTURA!$F$3,ESTRUTURA!$F$4,"m")*Tabela!$H$6,Tabela!$H$6)))</f>
        <v/>
      </c>
      <c r="I361" s="60" t="str">
        <f t="shared" si="71"/>
        <v/>
      </c>
      <c r="J361" s="30" t="str">
        <f>IF($A361="","",IF(J$6="NÃO",0,IF($A361=0,DATEDIF(ESTRUTURA!$F$3,ESTRUTURA!$F$4,"m")*Tabela!$H$8,IF(J$6="NÃO",0,Tabela!$H$8))))</f>
        <v/>
      </c>
      <c r="K361" s="60" t="str">
        <f t="shared" si="71"/>
        <v/>
      </c>
      <c r="L361" s="30" t="str">
        <f t="shared" si="71"/>
        <v/>
      </c>
      <c r="M361" s="60" t="str">
        <f t="shared" si="71"/>
        <v/>
      </c>
      <c r="N361" s="30" t="str">
        <f t="shared" si="71"/>
        <v/>
      </c>
      <c r="O361" s="60" t="str">
        <f t="shared" si="71"/>
        <v/>
      </c>
      <c r="P361" s="30" t="str">
        <f t="shared" si="69"/>
        <v/>
      </c>
      <c r="Q361" s="60" t="str">
        <f t="shared" si="71"/>
        <v/>
      </c>
      <c r="R361" s="30" t="str">
        <f t="shared" si="71"/>
        <v/>
      </c>
      <c r="S361" s="60" t="str">
        <f>IF($A361="","",IF(S$6="NÃO",0,IF($A361=0,DATEDIF(ESTRUTURA!$F$3,ESTRUTURA!$F$4,"m")*Tabela!$H$17,Tabela!$H$17)))</f>
        <v/>
      </c>
      <c r="T361" s="30" t="str">
        <f>IF($A361="","",IF(T$6="NÃO",0,IF($A361=0,DATEDIF(ESTRUTURA!$F$3,ESTRUTURA!$F$4,"m")*Tabela!$H$18,Tabela!$H$18)))</f>
        <v/>
      </c>
      <c r="U361" s="60" t="str">
        <f t="shared" si="70"/>
        <v/>
      </c>
      <c r="V361" s="30" t="str">
        <f>IF($A361="","",IF(V$6="NÃO",0,IF($A361=0,DATEDIF(ESTRUTURA!$F$3,ESTRUTURA!$F$4,"m")*Tabela!$H$20,Tabela!$H$20)))</f>
        <v/>
      </c>
      <c r="W361" s="60" t="str">
        <f t="shared" si="70"/>
        <v/>
      </c>
      <c r="X361" s="30" t="str">
        <f t="shared" si="70"/>
        <v/>
      </c>
      <c r="Y361" s="60" t="str">
        <f>IF($A361="","",IF(Y$6="NÃO",0,IF(A361=0,Tabela!$H$23,IF(Y$7="mensal",Tabela!$H$23,IF(AND(MONTH(ESTRUTURA!C361)=MONTH(ESTRUTURA!$F$3),A361&gt;0),Tabela!$H$23,0)))))</f>
        <v/>
      </c>
      <c r="Z361" s="30" t="str">
        <f t="shared" si="70"/>
        <v/>
      </c>
      <c r="AA361" s="60" t="str">
        <f>IF($A361="","",IF(AA$6="NÃO",0,Tabela!$H$25*nm_séries))</f>
        <v/>
      </c>
      <c r="AB361" s="30" t="str">
        <f t="shared" si="70"/>
        <v/>
      </c>
      <c r="AC361" s="60" t="str">
        <f>IF($A361="","",IF(AC$6="NÃO",0,IF(A361=0,Tabela!$H$27,IF(MOD(A361,3)=0,Tabela!$H$27,0))))</f>
        <v/>
      </c>
      <c r="AD361" s="30" t="str">
        <f t="shared" si="70"/>
        <v/>
      </c>
      <c r="AE361" s="60" t="str">
        <f t="shared" si="70"/>
        <v/>
      </c>
      <c r="AF361" s="30" t="str">
        <f>IF($A361="","",IF(AF$6="NÃO",0,IF(AND(MONTH(ESTRUTURA!C361)=MONTH(ESTRUTURA!$F$3),A361&gt;0),Tabela!$H$30,0)))</f>
        <v/>
      </c>
      <c r="AG361" s="60" t="str">
        <f t="shared" si="70"/>
        <v/>
      </c>
      <c r="AH361" s="30" t="str">
        <f t="shared" si="70"/>
        <v/>
      </c>
      <c r="AI361" s="60" t="str">
        <f>IF($A361="","",IF(AI$6="NÃO",0,IF($A361=0,DATEDIF(ESTRUTURA!$F$3,ESTRUTURA!$F$4,"m")*Tabela!$H$33,Tabela!$H$33)))</f>
        <v/>
      </c>
      <c r="AJ361" s="30" t="str">
        <f t="shared" si="62"/>
        <v/>
      </c>
    </row>
    <row r="362" spans="1:36" x14ac:dyDescent="0.2">
      <c r="A362" s="66" t="str">
        <f>ESTRUTURA!A362</f>
        <v/>
      </c>
      <c r="B362" s="58">
        <f t="shared" si="68"/>
        <v>0</v>
      </c>
      <c r="C362" s="60" t="str">
        <f t="shared" si="71"/>
        <v/>
      </c>
      <c r="D362" s="30" t="str">
        <f t="shared" si="71"/>
        <v/>
      </c>
      <c r="E362" s="60" t="str">
        <f t="shared" si="71"/>
        <v/>
      </c>
      <c r="F362" s="30" t="str">
        <f>IF($A362="","",IF(F$6="NÃO",0,Tabela!$H$34*ESTRUTURA!$I$4))</f>
        <v/>
      </c>
      <c r="G362" s="60" t="str">
        <f t="shared" si="71"/>
        <v/>
      </c>
      <c r="H362" s="30" t="str">
        <f>IF($A362="","",IF(H$6="NÃO",0,IF($A362=0,DATEDIF(ESTRUTURA!$F$3,ESTRUTURA!$F$4,"m")*Tabela!$H$6,Tabela!$H$6)))</f>
        <v/>
      </c>
      <c r="I362" s="60" t="str">
        <f t="shared" si="71"/>
        <v/>
      </c>
      <c r="J362" s="30" t="str">
        <f>IF($A362="","",IF(J$6="NÃO",0,IF($A362=0,DATEDIF(ESTRUTURA!$F$3,ESTRUTURA!$F$4,"m")*Tabela!$H$8,IF(J$6="NÃO",0,Tabela!$H$8))))</f>
        <v/>
      </c>
      <c r="K362" s="60" t="str">
        <f t="shared" si="71"/>
        <v/>
      </c>
      <c r="L362" s="30" t="str">
        <f t="shared" si="71"/>
        <v/>
      </c>
      <c r="M362" s="60" t="str">
        <f t="shared" si="71"/>
        <v/>
      </c>
      <c r="N362" s="30" t="str">
        <f t="shared" si="71"/>
        <v/>
      </c>
      <c r="O362" s="60" t="str">
        <f t="shared" si="71"/>
        <v/>
      </c>
      <c r="P362" s="30" t="str">
        <f t="shared" si="69"/>
        <v/>
      </c>
      <c r="Q362" s="60" t="str">
        <f t="shared" si="71"/>
        <v/>
      </c>
      <c r="R362" s="30" t="str">
        <f t="shared" si="71"/>
        <v/>
      </c>
      <c r="S362" s="60" t="str">
        <f>IF($A362="","",IF(S$6="NÃO",0,IF($A362=0,DATEDIF(ESTRUTURA!$F$3,ESTRUTURA!$F$4,"m")*Tabela!$H$17,Tabela!$H$17)))</f>
        <v/>
      </c>
      <c r="T362" s="30" t="str">
        <f>IF($A362="","",IF(T$6="NÃO",0,IF($A362=0,DATEDIF(ESTRUTURA!$F$3,ESTRUTURA!$F$4,"m")*Tabela!$H$18,Tabela!$H$18)))</f>
        <v/>
      </c>
      <c r="U362" s="60" t="str">
        <f t="shared" si="70"/>
        <v/>
      </c>
      <c r="V362" s="30" t="str">
        <f>IF($A362="","",IF(V$6="NÃO",0,IF($A362=0,DATEDIF(ESTRUTURA!$F$3,ESTRUTURA!$F$4,"m")*Tabela!$H$20,Tabela!$H$20)))</f>
        <v/>
      </c>
      <c r="W362" s="60" t="str">
        <f t="shared" si="70"/>
        <v/>
      </c>
      <c r="X362" s="30" t="str">
        <f t="shared" si="70"/>
        <v/>
      </c>
      <c r="Y362" s="60" t="str">
        <f>IF($A362="","",IF(Y$6="NÃO",0,IF(A362=0,Tabela!$H$23,IF(Y$7="mensal",Tabela!$H$23,IF(AND(MONTH(ESTRUTURA!C362)=MONTH(ESTRUTURA!$F$3),A362&gt;0),Tabela!$H$23,0)))))</f>
        <v/>
      </c>
      <c r="Z362" s="30" t="str">
        <f t="shared" si="70"/>
        <v/>
      </c>
      <c r="AA362" s="60" t="str">
        <f>IF($A362="","",IF(AA$6="NÃO",0,Tabela!$H$25*nm_séries))</f>
        <v/>
      </c>
      <c r="AB362" s="30" t="str">
        <f t="shared" si="70"/>
        <v/>
      </c>
      <c r="AC362" s="60" t="str">
        <f>IF($A362="","",IF(AC$6="NÃO",0,IF(A362=0,Tabela!$H$27,IF(MOD(A362,3)=0,Tabela!$H$27,0))))</f>
        <v/>
      </c>
      <c r="AD362" s="30" t="str">
        <f t="shared" si="70"/>
        <v/>
      </c>
      <c r="AE362" s="60" t="str">
        <f t="shared" si="70"/>
        <v/>
      </c>
      <c r="AF362" s="30" t="str">
        <f>IF($A362="","",IF(AF$6="NÃO",0,IF(AND(MONTH(ESTRUTURA!C362)=MONTH(ESTRUTURA!$F$3),A362&gt;0),Tabela!$H$30,0)))</f>
        <v/>
      </c>
      <c r="AG362" s="60" t="str">
        <f t="shared" si="70"/>
        <v/>
      </c>
      <c r="AH362" s="30" t="str">
        <f t="shared" si="70"/>
        <v/>
      </c>
      <c r="AI362" s="60" t="str">
        <f>IF($A362="","",IF(AI$6="NÃO",0,IF($A362=0,DATEDIF(ESTRUTURA!$F$3,ESTRUTURA!$F$4,"m")*Tabela!$H$33,Tabela!$H$33)))</f>
        <v/>
      </c>
      <c r="AJ362" s="30" t="str">
        <f t="shared" si="62"/>
        <v/>
      </c>
    </row>
    <row r="363" spans="1:36" x14ac:dyDescent="0.2">
      <c r="A363" s="66" t="str">
        <f>ESTRUTURA!A363</f>
        <v/>
      </c>
      <c r="B363" s="58">
        <f t="shared" si="68"/>
        <v>0</v>
      </c>
      <c r="C363" s="60" t="str">
        <f t="shared" si="71"/>
        <v/>
      </c>
      <c r="D363" s="30" t="str">
        <f t="shared" si="71"/>
        <v/>
      </c>
      <c r="E363" s="60" t="str">
        <f t="shared" si="71"/>
        <v/>
      </c>
      <c r="F363" s="30" t="str">
        <f>IF($A363="","",IF(F$6="NÃO",0,Tabela!$H$34*ESTRUTURA!$I$4))</f>
        <v/>
      </c>
      <c r="G363" s="60" t="str">
        <f t="shared" si="71"/>
        <v/>
      </c>
      <c r="H363" s="30" t="str">
        <f>IF($A363="","",IF(H$6="NÃO",0,IF($A363=0,DATEDIF(ESTRUTURA!$F$3,ESTRUTURA!$F$4,"m")*Tabela!$H$6,Tabela!$H$6)))</f>
        <v/>
      </c>
      <c r="I363" s="60" t="str">
        <f t="shared" si="71"/>
        <v/>
      </c>
      <c r="J363" s="30" t="str">
        <f>IF($A363="","",IF(J$6="NÃO",0,IF($A363=0,DATEDIF(ESTRUTURA!$F$3,ESTRUTURA!$F$4,"m")*Tabela!$H$8,IF(J$6="NÃO",0,Tabela!$H$8))))</f>
        <v/>
      </c>
      <c r="K363" s="60" t="str">
        <f t="shared" si="71"/>
        <v/>
      </c>
      <c r="L363" s="30" t="str">
        <f t="shared" si="71"/>
        <v/>
      </c>
      <c r="M363" s="60" t="str">
        <f t="shared" si="71"/>
        <v/>
      </c>
      <c r="N363" s="30" t="str">
        <f t="shared" si="71"/>
        <v/>
      </c>
      <c r="O363" s="60" t="str">
        <f t="shared" si="71"/>
        <v/>
      </c>
      <c r="P363" s="30" t="str">
        <f t="shared" si="69"/>
        <v/>
      </c>
      <c r="Q363" s="60" t="str">
        <f t="shared" si="71"/>
        <v/>
      </c>
      <c r="R363" s="30" t="str">
        <f t="shared" si="71"/>
        <v/>
      </c>
      <c r="S363" s="60" t="str">
        <f>IF($A363="","",IF(S$6="NÃO",0,IF($A363=0,DATEDIF(ESTRUTURA!$F$3,ESTRUTURA!$F$4,"m")*Tabela!$H$17,Tabela!$H$17)))</f>
        <v/>
      </c>
      <c r="T363" s="30" t="str">
        <f>IF($A363="","",IF(T$6="NÃO",0,IF($A363=0,DATEDIF(ESTRUTURA!$F$3,ESTRUTURA!$F$4,"m")*Tabela!$H$18,Tabela!$H$18)))</f>
        <v/>
      </c>
      <c r="U363" s="60" t="str">
        <f t="shared" ref="U363:AH371" si="72">IF($A363="","",IF(U$6="NÃO",0,0))</f>
        <v/>
      </c>
      <c r="V363" s="30" t="str">
        <f>IF($A363="","",IF(V$6="NÃO",0,IF($A363=0,DATEDIF(ESTRUTURA!$F$3,ESTRUTURA!$F$4,"m")*Tabela!$H$20,Tabela!$H$20)))</f>
        <v/>
      </c>
      <c r="W363" s="60" t="str">
        <f t="shared" si="72"/>
        <v/>
      </c>
      <c r="X363" s="30" t="str">
        <f t="shared" si="72"/>
        <v/>
      </c>
      <c r="Y363" s="60" t="str">
        <f>IF($A363="","",IF(Y$6="NÃO",0,IF(A363=0,Tabela!$H$23,IF(Y$7="mensal",Tabela!$H$23,IF(AND(MONTH(ESTRUTURA!C363)=MONTH(ESTRUTURA!$F$3),A363&gt;0),Tabela!$H$23,0)))))</f>
        <v/>
      </c>
      <c r="Z363" s="30" t="str">
        <f t="shared" si="72"/>
        <v/>
      </c>
      <c r="AA363" s="60" t="str">
        <f>IF($A363="","",IF(AA$6="NÃO",0,Tabela!$H$25*nm_séries))</f>
        <v/>
      </c>
      <c r="AB363" s="30" t="str">
        <f t="shared" si="72"/>
        <v/>
      </c>
      <c r="AC363" s="60" t="str">
        <f>IF($A363="","",IF(AC$6="NÃO",0,IF(A363=0,Tabela!$H$27,IF(MOD(A363,3)=0,Tabela!$H$27,0))))</f>
        <v/>
      </c>
      <c r="AD363" s="30" t="str">
        <f t="shared" si="72"/>
        <v/>
      </c>
      <c r="AE363" s="60" t="str">
        <f t="shared" si="72"/>
        <v/>
      </c>
      <c r="AF363" s="30" t="str">
        <f>IF($A363="","",IF(AF$6="NÃO",0,IF(AND(MONTH(ESTRUTURA!C363)=MONTH(ESTRUTURA!$F$3),A363&gt;0),Tabela!$H$30,0)))</f>
        <v/>
      </c>
      <c r="AG363" s="60" t="str">
        <f t="shared" si="72"/>
        <v/>
      </c>
      <c r="AH363" s="30" t="str">
        <f t="shared" si="72"/>
        <v/>
      </c>
      <c r="AI363" s="60" t="str">
        <f>IF($A363="","",IF(AI$6="NÃO",0,IF($A363=0,DATEDIF(ESTRUTURA!$F$3,ESTRUTURA!$F$4,"m")*Tabela!$H$33,Tabela!$H$33)))</f>
        <v/>
      </c>
      <c r="AJ363" s="30" t="str">
        <f t="shared" si="62"/>
        <v/>
      </c>
    </row>
    <row r="364" spans="1:36" x14ac:dyDescent="0.2">
      <c r="A364" s="66" t="str">
        <f>ESTRUTURA!A364</f>
        <v/>
      </c>
      <c r="B364" s="58">
        <f t="shared" si="68"/>
        <v>0</v>
      </c>
      <c r="C364" s="60" t="str">
        <f t="shared" ref="C364:R371" si="73">IF($A364="","",IF(C$6="NÃO",0,0))</f>
        <v/>
      </c>
      <c r="D364" s="30" t="str">
        <f t="shared" si="73"/>
        <v/>
      </c>
      <c r="E364" s="60" t="str">
        <f t="shared" si="73"/>
        <v/>
      </c>
      <c r="F364" s="30" t="str">
        <f>IF($A364="","",IF(F$6="NÃO",0,Tabela!$H$34*ESTRUTURA!$I$4))</f>
        <v/>
      </c>
      <c r="G364" s="60" t="str">
        <f t="shared" si="73"/>
        <v/>
      </c>
      <c r="H364" s="30" t="str">
        <f>IF($A364="","",IF(H$6="NÃO",0,IF($A364=0,DATEDIF(ESTRUTURA!$F$3,ESTRUTURA!$F$4,"m")*Tabela!$H$6,Tabela!$H$6)))</f>
        <v/>
      </c>
      <c r="I364" s="60" t="str">
        <f t="shared" si="73"/>
        <v/>
      </c>
      <c r="J364" s="30" t="str">
        <f>IF($A364="","",IF(J$6="NÃO",0,IF($A364=0,DATEDIF(ESTRUTURA!$F$3,ESTRUTURA!$F$4,"m")*Tabela!$H$8,IF(J$6="NÃO",0,Tabela!$H$8))))</f>
        <v/>
      </c>
      <c r="K364" s="60" t="str">
        <f t="shared" si="73"/>
        <v/>
      </c>
      <c r="L364" s="30" t="str">
        <f t="shared" si="73"/>
        <v/>
      </c>
      <c r="M364" s="60" t="str">
        <f t="shared" si="73"/>
        <v/>
      </c>
      <c r="N364" s="30" t="str">
        <f t="shared" si="73"/>
        <v/>
      </c>
      <c r="O364" s="60" t="str">
        <f t="shared" si="73"/>
        <v/>
      </c>
      <c r="P364" s="30" t="str">
        <f t="shared" si="73"/>
        <v/>
      </c>
      <c r="Q364" s="60" t="str">
        <f t="shared" si="73"/>
        <v/>
      </c>
      <c r="R364" s="30" t="str">
        <f t="shared" si="73"/>
        <v/>
      </c>
      <c r="S364" s="60" t="str">
        <f>IF($A364="","",IF(S$6="NÃO",0,IF($A364=0,DATEDIF(ESTRUTURA!$F$3,ESTRUTURA!$F$4,"m")*Tabela!$H$17,Tabela!$H$17)))</f>
        <v/>
      </c>
      <c r="T364" s="30" t="str">
        <f>IF($A364="","",IF(T$6="NÃO",0,IF($A364=0,DATEDIF(ESTRUTURA!$F$3,ESTRUTURA!$F$4,"m")*Tabela!$H$18,Tabela!$H$18)))</f>
        <v/>
      </c>
      <c r="U364" s="60" t="str">
        <f t="shared" si="72"/>
        <v/>
      </c>
      <c r="V364" s="30" t="str">
        <f>IF($A364="","",IF(V$6="NÃO",0,IF($A364=0,DATEDIF(ESTRUTURA!$F$3,ESTRUTURA!$F$4,"m")*Tabela!$H$20,Tabela!$H$20)))</f>
        <v/>
      </c>
      <c r="W364" s="60" t="str">
        <f t="shared" si="72"/>
        <v/>
      </c>
      <c r="X364" s="30" t="str">
        <f t="shared" si="72"/>
        <v/>
      </c>
      <c r="Y364" s="60" t="str">
        <f>IF($A364="","",IF(Y$6="NÃO",0,IF(A364=0,Tabela!$H$23,IF(Y$7="mensal",Tabela!$H$23,IF(AND(MONTH(ESTRUTURA!C364)=MONTH(ESTRUTURA!$F$3),A364&gt;0),Tabela!$H$23,0)))))</f>
        <v/>
      </c>
      <c r="Z364" s="30" t="str">
        <f t="shared" si="72"/>
        <v/>
      </c>
      <c r="AA364" s="60" t="str">
        <f>IF($A364="","",IF(AA$6="NÃO",0,Tabela!$H$25*nm_séries))</f>
        <v/>
      </c>
      <c r="AB364" s="30" t="str">
        <f t="shared" si="72"/>
        <v/>
      </c>
      <c r="AC364" s="60" t="str">
        <f>IF($A364="","",IF(AC$6="NÃO",0,IF(A364=0,Tabela!$H$27,IF(MOD(A364,3)=0,Tabela!$H$27,0))))</f>
        <v/>
      </c>
      <c r="AD364" s="30" t="str">
        <f t="shared" si="72"/>
        <v/>
      </c>
      <c r="AE364" s="60" t="str">
        <f t="shared" si="72"/>
        <v/>
      </c>
      <c r="AF364" s="30" t="str">
        <f>IF($A364="","",IF(AF$6="NÃO",0,IF(AND(MONTH(ESTRUTURA!C364)=MONTH(ESTRUTURA!$F$3),A364&gt;0),Tabela!$H$30,0)))</f>
        <v/>
      </c>
      <c r="AG364" s="60" t="str">
        <f t="shared" si="72"/>
        <v/>
      </c>
      <c r="AH364" s="30" t="str">
        <f t="shared" si="72"/>
        <v/>
      </c>
      <c r="AI364" s="60" t="str">
        <f>IF($A364="","",IF(AI$6="NÃO",0,IF($A364=0,DATEDIF(ESTRUTURA!$F$3,ESTRUTURA!$F$4,"m")*Tabela!$H$33,Tabela!$H$33)))</f>
        <v/>
      </c>
      <c r="AJ364" s="30" t="str">
        <f t="shared" si="62"/>
        <v/>
      </c>
    </row>
    <row r="365" spans="1:36" x14ac:dyDescent="0.2">
      <c r="A365" s="66" t="str">
        <f>ESTRUTURA!A365</f>
        <v/>
      </c>
      <c r="B365" s="58">
        <f t="shared" si="68"/>
        <v>0</v>
      </c>
      <c r="C365" s="60" t="str">
        <f t="shared" si="73"/>
        <v/>
      </c>
      <c r="D365" s="30" t="str">
        <f t="shared" si="73"/>
        <v/>
      </c>
      <c r="E365" s="60" t="str">
        <f t="shared" si="73"/>
        <v/>
      </c>
      <c r="F365" s="30" t="str">
        <f>IF($A365="","",IF(F$6="NÃO",0,Tabela!$H$34*ESTRUTURA!$I$4))</f>
        <v/>
      </c>
      <c r="G365" s="60" t="str">
        <f t="shared" si="73"/>
        <v/>
      </c>
      <c r="H365" s="30" t="str">
        <f>IF($A365="","",IF(H$6="NÃO",0,IF($A365=0,DATEDIF(ESTRUTURA!$F$3,ESTRUTURA!$F$4,"m")*Tabela!$H$6,Tabela!$H$6)))</f>
        <v/>
      </c>
      <c r="I365" s="60" t="str">
        <f t="shared" si="73"/>
        <v/>
      </c>
      <c r="J365" s="30" t="str">
        <f>IF($A365="","",IF(J$6="NÃO",0,IF($A365=0,DATEDIF(ESTRUTURA!$F$3,ESTRUTURA!$F$4,"m")*Tabela!$H$8,IF(J$6="NÃO",0,Tabela!$H$8))))</f>
        <v/>
      </c>
      <c r="K365" s="60" t="str">
        <f t="shared" si="73"/>
        <v/>
      </c>
      <c r="L365" s="30" t="str">
        <f t="shared" si="73"/>
        <v/>
      </c>
      <c r="M365" s="60" t="str">
        <f t="shared" si="73"/>
        <v/>
      </c>
      <c r="N365" s="30" t="str">
        <f t="shared" si="73"/>
        <v/>
      </c>
      <c r="O365" s="60" t="str">
        <f t="shared" si="73"/>
        <v/>
      </c>
      <c r="P365" s="30" t="str">
        <f t="shared" si="73"/>
        <v/>
      </c>
      <c r="Q365" s="60" t="str">
        <f t="shared" si="73"/>
        <v/>
      </c>
      <c r="R365" s="30" t="str">
        <f t="shared" si="73"/>
        <v/>
      </c>
      <c r="S365" s="60" t="str">
        <f>IF($A365="","",IF(S$6="NÃO",0,IF($A365=0,DATEDIF(ESTRUTURA!$F$3,ESTRUTURA!$F$4,"m")*Tabela!$H$17,Tabela!$H$17)))</f>
        <v/>
      </c>
      <c r="T365" s="30" t="str">
        <f>IF($A365="","",IF(T$6="NÃO",0,IF($A365=0,DATEDIF(ESTRUTURA!$F$3,ESTRUTURA!$F$4,"m")*Tabela!$H$18,Tabela!$H$18)))</f>
        <v/>
      </c>
      <c r="U365" s="60" t="str">
        <f t="shared" si="72"/>
        <v/>
      </c>
      <c r="V365" s="30" t="str">
        <f>IF($A365="","",IF(V$6="NÃO",0,IF($A365=0,DATEDIF(ESTRUTURA!$F$3,ESTRUTURA!$F$4,"m")*Tabela!$H$20,Tabela!$H$20)))</f>
        <v/>
      </c>
      <c r="W365" s="60" t="str">
        <f t="shared" si="72"/>
        <v/>
      </c>
      <c r="X365" s="30" t="str">
        <f t="shared" si="72"/>
        <v/>
      </c>
      <c r="Y365" s="60" t="str">
        <f>IF($A365="","",IF(Y$6="NÃO",0,IF(A365=0,Tabela!$H$23,IF(Y$7="mensal",Tabela!$H$23,IF(AND(MONTH(ESTRUTURA!C365)=MONTH(ESTRUTURA!$F$3),A365&gt;0),Tabela!$H$23,0)))))</f>
        <v/>
      </c>
      <c r="Z365" s="30" t="str">
        <f t="shared" si="72"/>
        <v/>
      </c>
      <c r="AA365" s="60" t="str">
        <f>IF($A365="","",IF(AA$6="NÃO",0,Tabela!$H$25*nm_séries))</f>
        <v/>
      </c>
      <c r="AB365" s="30" t="str">
        <f t="shared" si="72"/>
        <v/>
      </c>
      <c r="AC365" s="60" t="str">
        <f>IF($A365="","",IF(AC$6="NÃO",0,IF(A365=0,Tabela!$H$27,IF(MOD(A365,3)=0,Tabela!$H$27,0))))</f>
        <v/>
      </c>
      <c r="AD365" s="30" t="str">
        <f t="shared" si="72"/>
        <v/>
      </c>
      <c r="AE365" s="60" t="str">
        <f t="shared" si="72"/>
        <v/>
      </c>
      <c r="AF365" s="30" t="str">
        <f>IF($A365="","",IF(AF$6="NÃO",0,IF(AND(MONTH(ESTRUTURA!C365)=MONTH(ESTRUTURA!$F$3),A365&gt;0),Tabela!$H$30,0)))</f>
        <v/>
      </c>
      <c r="AG365" s="60" t="str">
        <f t="shared" si="72"/>
        <v/>
      </c>
      <c r="AH365" s="30" t="str">
        <f t="shared" si="72"/>
        <v/>
      </c>
      <c r="AI365" s="60" t="str">
        <f>IF($A365="","",IF(AI$6="NÃO",0,IF($A365=0,DATEDIF(ESTRUTURA!$F$3,ESTRUTURA!$F$4,"m")*Tabela!$H$33,Tabela!$H$33)))</f>
        <v/>
      </c>
      <c r="AJ365" s="30" t="str">
        <f t="shared" si="62"/>
        <v/>
      </c>
    </row>
    <row r="366" spans="1:36" x14ac:dyDescent="0.2">
      <c r="A366" s="66" t="str">
        <f>ESTRUTURA!A366</f>
        <v/>
      </c>
      <c r="B366" s="58">
        <f t="shared" si="68"/>
        <v>0</v>
      </c>
      <c r="C366" s="60" t="str">
        <f t="shared" si="73"/>
        <v/>
      </c>
      <c r="D366" s="30" t="str">
        <f t="shared" si="73"/>
        <v/>
      </c>
      <c r="E366" s="60" t="str">
        <f t="shared" si="73"/>
        <v/>
      </c>
      <c r="F366" s="30" t="str">
        <f>IF($A366="","",IF(F$6="NÃO",0,Tabela!$H$34*ESTRUTURA!$I$4))</f>
        <v/>
      </c>
      <c r="G366" s="60" t="str">
        <f t="shared" si="73"/>
        <v/>
      </c>
      <c r="H366" s="30" t="str">
        <f>IF($A366="","",IF(H$6="NÃO",0,IF($A366=0,DATEDIF(ESTRUTURA!$F$3,ESTRUTURA!$F$4,"m")*Tabela!$H$6,Tabela!$H$6)))</f>
        <v/>
      </c>
      <c r="I366" s="60" t="str">
        <f t="shared" si="73"/>
        <v/>
      </c>
      <c r="J366" s="30" t="str">
        <f>IF($A366="","",IF(J$6="NÃO",0,IF($A366=0,DATEDIF(ESTRUTURA!$F$3,ESTRUTURA!$F$4,"m")*Tabela!$H$8,IF(J$6="NÃO",0,Tabela!$H$8))))</f>
        <v/>
      </c>
      <c r="K366" s="60" t="str">
        <f t="shared" si="73"/>
        <v/>
      </c>
      <c r="L366" s="30" t="str">
        <f t="shared" si="73"/>
        <v/>
      </c>
      <c r="M366" s="60" t="str">
        <f t="shared" si="73"/>
        <v/>
      </c>
      <c r="N366" s="30" t="str">
        <f t="shared" si="73"/>
        <v/>
      </c>
      <c r="O366" s="60" t="str">
        <f t="shared" si="73"/>
        <v/>
      </c>
      <c r="P366" s="30" t="str">
        <f t="shared" si="73"/>
        <v/>
      </c>
      <c r="Q366" s="60" t="str">
        <f t="shared" si="73"/>
        <v/>
      </c>
      <c r="R366" s="30" t="str">
        <f t="shared" si="73"/>
        <v/>
      </c>
      <c r="S366" s="60" t="str">
        <f>IF($A366="","",IF(S$6="NÃO",0,IF($A366=0,DATEDIF(ESTRUTURA!$F$3,ESTRUTURA!$F$4,"m")*Tabela!$H$17,Tabela!$H$17)))</f>
        <v/>
      </c>
      <c r="T366" s="30" t="str">
        <f>IF($A366="","",IF(T$6="NÃO",0,IF($A366=0,DATEDIF(ESTRUTURA!$F$3,ESTRUTURA!$F$4,"m")*Tabela!$H$18,Tabela!$H$18)))</f>
        <v/>
      </c>
      <c r="U366" s="60" t="str">
        <f t="shared" si="72"/>
        <v/>
      </c>
      <c r="V366" s="30" t="str">
        <f>IF($A366="","",IF(V$6="NÃO",0,IF($A366=0,DATEDIF(ESTRUTURA!$F$3,ESTRUTURA!$F$4,"m")*Tabela!$H$20,Tabela!$H$20)))</f>
        <v/>
      </c>
      <c r="W366" s="60" t="str">
        <f t="shared" si="72"/>
        <v/>
      </c>
      <c r="X366" s="30" t="str">
        <f t="shared" si="72"/>
        <v/>
      </c>
      <c r="Y366" s="60" t="str">
        <f>IF($A366="","",IF(Y$6="NÃO",0,IF(A366=0,Tabela!$H$23,IF(Y$7="mensal",Tabela!$H$23,IF(AND(MONTH(ESTRUTURA!C366)=MONTH(ESTRUTURA!$F$3),A366&gt;0),Tabela!$H$23,0)))))</f>
        <v/>
      </c>
      <c r="Z366" s="30" t="str">
        <f t="shared" si="72"/>
        <v/>
      </c>
      <c r="AA366" s="60" t="str">
        <f>IF($A366="","",IF(AA$6="NÃO",0,Tabela!$H$25*nm_séries))</f>
        <v/>
      </c>
      <c r="AB366" s="30" t="str">
        <f t="shared" si="72"/>
        <v/>
      </c>
      <c r="AC366" s="60" t="str">
        <f>IF($A366="","",IF(AC$6="NÃO",0,IF(A366=0,Tabela!$H$27,IF(MOD(A366,3)=0,Tabela!$H$27,0))))</f>
        <v/>
      </c>
      <c r="AD366" s="30" t="str">
        <f t="shared" si="72"/>
        <v/>
      </c>
      <c r="AE366" s="60" t="str">
        <f t="shared" si="72"/>
        <v/>
      </c>
      <c r="AF366" s="30" t="str">
        <f>IF($A366="","",IF(AF$6="NÃO",0,IF(AND(MONTH(ESTRUTURA!C366)=MONTH(ESTRUTURA!$F$3),A366&gt;0),Tabela!$H$30,0)))</f>
        <v/>
      </c>
      <c r="AG366" s="60" t="str">
        <f t="shared" si="72"/>
        <v/>
      </c>
      <c r="AH366" s="30" t="str">
        <f t="shared" si="72"/>
        <v/>
      </c>
      <c r="AI366" s="60" t="str">
        <f>IF($A366="","",IF(AI$6="NÃO",0,IF($A366=0,DATEDIF(ESTRUTURA!$F$3,ESTRUTURA!$F$4,"m")*Tabela!$H$33,Tabela!$H$33)))</f>
        <v/>
      </c>
      <c r="AJ366" s="30" t="str">
        <f t="shared" si="62"/>
        <v/>
      </c>
    </row>
    <row r="367" spans="1:36" x14ac:dyDescent="0.2">
      <c r="A367" s="66" t="str">
        <f>ESTRUTURA!A367</f>
        <v/>
      </c>
      <c r="B367" s="58">
        <f t="shared" si="68"/>
        <v>0</v>
      </c>
      <c r="C367" s="60" t="str">
        <f t="shared" si="73"/>
        <v/>
      </c>
      <c r="D367" s="30" t="str">
        <f t="shared" si="73"/>
        <v/>
      </c>
      <c r="E367" s="60" t="str">
        <f t="shared" si="73"/>
        <v/>
      </c>
      <c r="F367" s="30" t="str">
        <f>IF($A367="","",IF(F$6="NÃO",0,Tabela!$H$34*ESTRUTURA!$I$4))</f>
        <v/>
      </c>
      <c r="G367" s="60" t="str">
        <f t="shared" si="73"/>
        <v/>
      </c>
      <c r="H367" s="30" t="str">
        <f>IF($A367="","",IF(H$6="NÃO",0,IF($A367=0,DATEDIF(ESTRUTURA!$F$3,ESTRUTURA!$F$4,"m")*Tabela!$H$6,Tabela!$H$6)))</f>
        <v/>
      </c>
      <c r="I367" s="60" t="str">
        <f t="shared" si="73"/>
        <v/>
      </c>
      <c r="J367" s="30" t="str">
        <f>IF($A367="","",IF(J$6="NÃO",0,IF($A367=0,DATEDIF(ESTRUTURA!$F$3,ESTRUTURA!$F$4,"m")*Tabela!$H$8,IF(J$6="NÃO",0,Tabela!$H$8))))</f>
        <v/>
      </c>
      <c r="K367" s="60" t="str">
        <f t="shared" si="73"/>
        <v/>
      </c>
      <c r="L367" s="30" t="str">
        <f t="shared" si="73"/>
        <v/>
      </c>
      <c r="M367" s="60" t="str">
        <f t="shared" si="73"/>
        <v/>
      </c>
      <c r="N367" s="30" t="str">
        <f t="shared" si="73"/>
        <v/>
      </c>
      <c r="O367" s="60" t="str">
        <f t="shared" si="73"/>
        <v/>
      </c>
      <c r="P367" s="30" t="str">
        <f t="shared" si="73"/>
        <v/>
      </c>
      <c r="Q367" s="60" t="str">
        <f t="shared" si="73"/>
        <v/>
      </c>
      <c r="R367" s="30" t="str">
        <f t="shared" si="73"/>
        <v/>
      </c>
      <c r="S367" s="60" t="str">
        <f>IF($A367="","",IF(S$6="NÃO",0,IF($A367=0,DATEDIF(ESTRUTURA!$F$3,ESTRUTURA!$F$4,"m")*Tabela!$H$17,Tabela!$H$17)))</f>
        <v/>
      </c>
      <c r="T367" s="30" t="str">
        <f>IF($A367="","",IF(T$6="NÃO",0,IF($A367=0,DATEDIF(ESTRUTURA!$F$3,ESTRUTURA!$F$4,"m")*Tabela!$H$18,Tabela!$H$18)))</f>
        <v/>
      </c>
      <c r="U367" s="60" t="str">
        <f t="shared" si="72"/>
        <v/>
      </c>
      <c r="V367" s="30" t="str">
        <f>IF($A367="","",IF(V$6="NÃO",0,IF($A367=0,DATEDIF(ESTRUTURA!$F$3,ESTRUTURA!$F$4,"m")*Tabela!$H$20,Tabela!$H$20)))</f>
        <v/>
      </c>
      <c r="W367" s="60" t="str">
        <f t="shared" si="72"/>
        <v/>
      </c>
      <c r="X367" s="30" t="str">
        <f t="shared" si="72"/>
        <v/>
      </c>
      <c r="Y367" s="60" t="str">
        <f>IF($A367="","",IF(Y$6="NÃO",0,IF(A367=0,Tabela!$H$23,IF(Y$7="mensal",Tabela!$H$23,IF(AND(MONTH(ESTRUTURA!C367)=MONTH(ESTRUTURA!$F$3),A367&gt;0),Tabela!$H$23,0)))))</f>
        <v/>
      </c>
      <c r="Z367" s="30" t="str">
        <f t="shared" si="72"/>
        <v/>
      </c>
      <c r="AA367" s="60" t="str">
        <f>IF($A367="","",IF(AA$6="NÃO",0,Tabela!$H$25*nm_séries))</f>
        <v/>
      </c>
      <c r="AB367" s="30" t="str">
        <f t="shared" si="72"/>
        <v/>
      </c>
      <c r="AC367" s="60" t="str">
        <f>IF($A367="","",IF(AC$6="NÃO",0,IF(A367=0,Tabela!$H$27,IF(MOD(A367,3)=0,Tabela!$H$27,0))))</f>
        <v/>
      </c>
      <c r="AD367" s="30" t="str">
        <f t="shared" si="72"/>
        <v/>
      </c>
      <c r="AE367" s="60" t="str">
        <f t="shared" si="72"/>
        <v/>
      </c>
      <c r="AF367" s="30" t="str">
        <f>IF($A367="","",IF(AF$6="NÃO",0,IF(AND(MONTH(ESTRUTURA!C367)=MONTH(ESTRUTURA!$F$3),A367&gt;0),Tabela!$H$30,0)))</f>
        <v/>
      </c>
      <c r="AG367" s="60" t="str">
        <f t="shared" si="72"/>
        <v/>
      </c>
      <c r="AH367" s="30" t="str">
        <f t="shared" si="72"/>
        <v/>
      </c>
      <c r="AI367" s="60" t="str">
        <f>IF($A367="","",IF(AI$6="NÃO",0,IF($A367=0,DATEDIF(ESTRUTURA!$F$3,ESTRUTURA!$F$4,"m")*Tabela!$H$33,Tabela!$H$33)))</f>
        <v/>
      </c>
      <c r="AJ367" s="30" t="str">
        <f t="shared" si="62"/>
        <v/>
      </c>
    </row>
    <row r="368" spans="1:36" x14ac:dyDescent="0.2">
      <c r="A368" s="66" t="str">
        <f>ESTRUTURA!A368</f>
        <v/>
      </c>
      <c r="B368" s="58">
        <f t="shared" si="68"/>
        <v>0</v>
      </c>
      <c r="C368" s="60" t="str">
        <f t="shared" si="73"/>
        <v/>
      </c>
      <c r="D368" s="30" t="str">
        <f t="shared" si="73"/>
        <v/>
      </c>
      <c r="E368" s="60" t="str">
        <f t="shared" si="73"/>
        <v/>
      </c>
      <c r="F368" s="30" t="str">
        <f>IF($A368="","",IF(F$6="NÃO",0,Tabela!$H$34*ESTRUTURA!$I$4))</f>
        <v/>
      </c>
      <c r="G368" s="60" t="str">
        <f t="shared" si="73"/>
        <v/>
      </c>
      <c r="H368" s="30" t="str">
        <f>IF($A368="","",IF(H$6="NÃO",0,IF($A368=0,DATEDIF(ESTRUTURA!$F$3,ESTRUTURA!$F$4,"m")*Tabela!$H$6,Tabela!$H$6)))</f>
        <v/>
      </c>
      <c r="I368" s="60" t="str">
        <f t="shared" si="73"/>
        <v/>
      </c>
      <c r="J368" s="30" t="str">
        <f>IF($A368="","",IF(J$6="NÃO",0,IF($A368=0,DATEDIF(ESTRUTURA!$F$3,ESTRUTURA!$F$4,"m")*Tabela!$H$8,IF(J$6="NÃO",0,Tabela!$H$8))))</f>
        <v/>
      </c>
      <c r="K368" s="60" t="str">
        <f t="shared" si="73"/>
        <v/>
      </c>
      <c r="L368" s="30" t="str">
        <f t="shared" si="73"/>
        <v/>
      </c>
      <c r="M368" s="60" t="str">
        <f t="shared" si="73"/>
        <v/>
      </c>
      <c r="N368" s="30" t="str">
        <f t="shared" si="73"/>
        <v/>
      </c>
      <c r="O368" s="60" t="str">
        <f t="shared" si="73"/>
        <v/>
      </c>
      <c r="P368" s="30" t="str">
        <f t="shared" si="73"/>
        <v/>
      </c>
      <c r="Q368" s="60" t="str">
        <f t="shared" si="73"/>
        <v/>
      </c>
      <c r="R368" s="30" t="str">
        <f t="shared" si="73"/>
        <v/>
      </c>
      <c r="S368" s="60" t="str">
        <f>IF($A368="","",IF(S$6="NÃO",0,IF($A368=0,DATEDIF(ESTRUTURA!$F$3,ESTRUTURA!$F$4,"m")*Tabela!$H$17,Tabela!$H$17)))</f>
        <v/>
      </c>
      <c r="T368" s="30" t="str">
        <f>IF($A368="","",IF(T$6="NÃO",0,IF($A368=0,DATEDIF(ESTRUTURA!$F$3,ESTRUTURA!$F$4,"m")*Tabela!$H$18,Tabela!$H$18)))</f>
        <v/>
      </c>
      <c r="U368" s="60" t="str">
        <f t="shared" si="72"/>
        <v/>
      </c>
      <c r="V368" s="30" t="str">
        <f>IF($A368="","",IF(V$6="NÃO",0,IF($A368=0,DATEDIF(ESTRUTURA!$F$3,ESTRUTURA!$F$4,"m")*Tabela!$H$20,Tabela!$H$20)))</f>
        <v/>
      </c>
      <c r="W368" s="60" t="str">
        <f t="shared" si="72"/>
        <v/>
      </c>
      <c r="X368" s="30" t="str">
        <f t="shared" si="72"/>
        <v/>
      </c>
      <c r="Y368" s="60" t="str">
        <f>IF($A368="","",IF(Y$6="NÃO",0,IF(A368=0,Tabela!$H$23,IF(Y$7="mensal",Tabela!$H$23,IF(AND(MONTH(ESTRUTURA!C368)=MONTH(ESTRUTURA!$F$3),A368&gt;0),Tabela!$H$23,0)))))</f>
        <v/>
      </c>
      <c r="Z368" s="30" t="str">
        <f t="shared" si="72"/>
        <v/>
      </c>
      <c r="AA368" s="60" t="str">
        <f>IF($A368="","",IF(AA$6="NÃO",0,Tabela!$H$25*nm_séries))</f>
        <v/>
      </c>
      <c r="AB368" s="30" t="str">
        <f t="shared" si="72"/>
        <v/>
      </c>
      <c r="AC368" s="60" t="str">
        <f>IF($A368="","",IF(AC$6="NÃO",0,IF(A368=0,Tabela!$H$27,IF(MOD(A368,3)=0,Tabela!$H$27,0))))</f>
        <v/>
      </c>
      <c r="AD368" s="30" t="str">
        <f t="shared" si="72"/>
        <v/>
      </c>
      <c r="AE368" s="60" t="str">
        <f t="shared" si="72"/>
        <v/>
      </c>
      <c r="AF368" s="30" t="str">
        <f>IF($A368="","",IF(AF$6="NÃO",0,IF(AND(MONTH(ESTRUTURA!C368)=MONTH(ESTRUTURA!$F$3),A368&gt;0),Tabela!$H$30,0)))</f>
        <v/>
      </c>
      <c r="AG368" s="60" t="str">
        <f t="shared" si="72"/>
        <v/>
      </c>
      <c r="AH368" s="30" t="str">
        <f t="shared" si="72"/>
        <v/>
      </c>
      <c r="AI368" s="60" t="str">
        <f>IF($A368="","",IF(AI$6="NÃO",0,IF($A368=0,DATEDIF(ESTRUTURA!$F$3,ESTRUTURA!$F$4,"m")*Tabela!$H$33,Tabela!$H$33)))</f>
        <v/>
      </c>
      <c r="AJ368" s="30" t="str">
        <f t="shared" si="62"/>
        <v/>
      </c>
    </row>
    <row r="369" spans="1:36" x14ac:dyDescent="0.2">
      <c r="A369" s="66" t="str">
        <f>ESTRUTURA!A369</f>
        <v/>
      </c>
      <c r="B369" s="58">
        <f t="shared" si="68"/>
        <v>0</v>
      </c>
      <c r="C369" s="60" t="str">
        <f t="shared" si="73"/>
        <v/>
      </c>
      <c r="D369" s="30" t="str">
        <f t="shared" si="73"/>
        <v/>
      </c>
      <c r="E369" s="60" t="str">
        <f t="shared" si="73"/>
        <v/>
      </c>
      <c r="F369" s="30" t="str">
        <f>IF($A369="","",IF(F$6="NÃO",0,Tabela!$H$34*ESTRUTURA!$I$4))</f>
        <v/>
      </c>
      <c r="G369" s="60" t="str">
        <f t="shared" si="73"/>
        <v/>
      </c>
      <c r="H369" s="30" t="str">
        <f>IF($A369="","",IF(H$6="NÃO",0,IF($A369=0,DATEDIF(ESTRUTURA!$F$3,ESTRUTURA!$F$4,"m")*Tabela!$H$6,Tabela!$H$6)))</f>
        <v/>
      </c>
      <c r="I369" s="60" t="str">
        <f t="shared" si="73"/>
        <v/>
      </c>
      <c r="J369" s="30" t="str">
        <f>IF($A369="","",IF(J$6="NÃO",0,IF($A369=0,DATEDIF(ESTRUTURA!$F$3,ESTRUTURA!$F$4,"m")*Tabela!$H$8,IF(J$6="NÃO",0,Tabela!$H$8))))</f>
        <v/>
      </c>
      <c r="K369" s="60" t="str">
        <f t="shared" si="73"/>
        <v/>
      </c>
      <c r="L369" s="30" t="str">
        <f t="shared" si="73"/>
        <v/>
      </c>
      <c r="M369" s="60" t="str">
        <f t="shared" si="73"/>
        <v/>
      </c>
      <c r="N369" s="30" t="str">
        <f t="shared" si="73"/>
        <v/>
      </c>
      <c r="O369" s="60" t="str">
        <f t="shared" si="73"/>
        <v/>
      </c>
      <c r="P369" s="30" t="str">
        <f t="shared" si="73"/>
        <v/>
      </c>
      <c r="Q369" s="60" t="str">
        <f t="shared" si="73"/>
        <v/>
      </c>
      <c r="R369" s="30" t="str">
        <f t="shared" si="73"/>
        <v/>
      </c>
      <c r="S369" s="60" t="str">
        <f>IF($A369="","",IF(S$6="NÃO",0,IF($A369=0,DATEDIF(ESTRUTURA!$F$3,ESTRUTURA!$F$4,"m")*Tabela!$H$17,Tabela!$H$17)))</f>
        <v/>
      </c>
      <c r="T369" s="30" t="str">
        <f>IF($A369="","",IF(T$6="NÃO",0,IF($A369=0,DATEDIF(ESTRUTURA!$F$3,ESTRUTURA!$F$4,"m")*Tabela!$H$18,Tabela!$H$18)))</f>
        <v/>
      </c>
      <c r="U369" s="60" t="str">
        <f t="shared" si="72"/>
        <v/>
      </c>
      <c r="V369" s="30" t="str">
        <f>IF($A369="","",IF(V$6="NÃO",0,IF($A369=0,DATEDIF(ESTRUTURA!$F$3,ESTRUTURA!$F$4,"m")*Tabela!$H$20,Tabela!$H$20)))</f>
        <v/>
      </c>
      <c r="W369" s="60" t="str">
        <f t="shared" si="72"/>
        <v/>
      </c>
      <c r="X369" s="30" t="str">
        <f t="shared" si="72"/>
        <v/>
      </c>
      <c r="Y369" s="60" t="str">
        <f>IF($A369="","",IF(Y$6="NÃO",0,IF(A369=0,Tabela!$H$23,IF(Y$7="mensal",Tabela!$H$23,IF(AND(MONTH(ESTRUTURA!C369)=MONTH(ESTRUTURA!$F$3),A369&gt;0),Tabela!$H$23,0)))))</f>
        <v/>
      </c>
      <c r="Z369" s="30" t="str">
        <f t="shared" si="72"/>
        <v/>
      </c>
      <c r="AA369" s="60" t="str">
        <f>IF($A369="","",IF(AA$6="NÃO",0,Tabela!$H$25*nm_séries))</f>
        <v/>
      </c>
      <c r="AB369" s="30" t="str">
        <f t="shared" si="72"/>
        <v/>
      </c>
      <c r="AC369" s="60" t="str">
        <f>IF($A369="","",IF(AC$6="NÃO",0,IF(A369=0,Tabela!$H$27,IF(MOD(A369,3)=0,Tabela!$H$27,0))))</f>
        <v/>
      </c>
      <c r="AD369" s="30" t="str">
        <f t="shared" si="72"/>
        <v/>
      </c>
      <c r="AE369" s="60" t="str">
        <f t="shared" si="72"/>
        <v/>
      </c>
      <c r="AF369" s="30" t="str">
        <f>IF($A369="","",IF(AF$6="NÃO",0,IF(AND(MONTH(ESTRUTURA!C369)=MONTH(ESTRUTURA!$F$3),A369&gt;0),Tabela!$H$30,0)))</f>
        <v/>
      </c>
      <c r="AG369" s="60" t="str">
        <f t="shared" si="72"/>
        <v/>
      </c>
      <c r="AH369" s="30" t="str">
        <f t="shared" si="72"/>
        <v/>
      </c>
      <c r="AI369" s="60" t="str">
        <f>IF($A369="","",IF(AI$6="NÃO",0,IF($A369=0,DATEDIF(ESTRUTURA!$F$3,ESTRUTURA!$F$4,"m")*Tabela!$H$33,Tabela!$H$33)))</f>
        <v/>
      </c>
      <c r="AJ369" s="30" t="str">
        <f t="shared" si="62"/>
        <v/>
      </c>
    </row>
    <row r="370" spans="1:36" x14ac:dyDescent="0.2">
      <c r="A370" s="66" t="str">
        <f>ESTRUTURA!A370</f>
        <v/>
      </c>
      <c r="B370" s="58">
        <f t="shared" si="68"/>
        <v>0</v>
      </c>
      <c r="C370" s="60" t="str">
        <f t="shared" si="73"/>
        <v/>
      </c>
      <c r="D370" s="30" t="str">
        <f t="shared" si="73"/>
        <v/>
      </c>
      <c r="E370" s="60" t="str">
        <f t="shared" si="73"/>
        <v/>
      </c>
      <c r="F370" s="30" t="str">
        <f>IF($A370="","",IF(F$6="NÃO",0,Tabela!$H$34*ESTRUTURA!$I$4))</f>
        <v/>
      </c>
      <c r="G370" s="60" t="str">
        <f t="shared" si="73"/>
        <v/>
      </c>
      <c r="H370" s="30" t="str">
        <f>IF($A370="","",IF(H$6="NÃO",0,IF($A370=0,DATEDIF(ESTRUTURA!$F$3,ESTRUTURA!$F$4,"m")*Tabela!$H$6,Tabela!$H$6)))</f>
        <v/>
      </c>
      <c r="I370" s="60" t="str">
        <f t="shared" si="73"/>
        <v/>
      </c>
      <c r="J370" s="30" t="str">
        <f>IF($A370="","",IF(J$6="NÃO",0,IF($A370=0,DATEDIF(ESTRUTURA!$F$3,ESTRUTURA!$F$4,"m")*Tabela!$H$8,IF(J$6="NÃO",0,Tabela!$H$8))))</f>
        <v/>
      </c>
      <c r="K370" s="60" t="str">
        <f t="shared" si="73"/>
        <v/>
      </c>
      <c r="L370" s="30" t="str">
        <f t="shared" si="73"/>
        <v/>
      </c>
      <c r="M370" s="60" t="str">
        <f t="shared" si="73"/>
        <v/>
      </c>
      <c r="N370" s="30" t="str">
        <f t="shared" si="73"/>
        <v/>
      </c>
      <c r="O370" s="60" t="str">
        <f t="shared" si="73"/>
        <v/>
      </c>
      <c r="P370" s="30" t="str">
        <f t="shared" si="73"/>
        <v/>
      </c>
      <c r="Q370" s="60" t="str">
        <f t="shared" si="73"/>
        <v/>
      </c>
      <c r="R370" s="30" t="str">
        <f t="shared" si="73"/>
        <v/>
      </c>
      <c r="S370" s="60" t="str">
        <f>IF($A370="","",IF(S$6="NÃO",0,IF($A370=0,DATEDIF(ESTRUTURA!$F$3,ESTRUTURA!$F$4,"m")*Tabela!$H$17,Tabela!$H$17)))</f>
        <v/>
      </c>
      <c r="T370" s="30" t="str">
        <f>IF($A370="","",IF(T$6="NÃO",0,IF($A370=0,DATEDIF(ESTRUTURA!$F$3,ESTRUTURA!$F$4,"m")*Tabela!$H$18,Tabela!$H$18)))</f>
        <v/>
      </c>
      <c r="U370" s="60" t="str">
        <f t="shared" si="72"/>
        <v/>
      </c>
      <c r="V370" s="30" t="str">
        <f>IF($A370="","",IF(V$6="NÃO",0,IF($A370=0,DATEDIF(ESTRUTURA!$F$3,ESTRUTURA!$F$4,"m")*Tabela!$H$20,Tabela!$H$20)))</f>
        <v/>
      </c>
      <c r="W370" s="60" t="str">
        <f t="shared" si="72"/>
        <v/>
      </c>
      <c r="X370" s="30" t="str">
        <f t="shared" si="72"/>
        <v/>
      </c>
      <c r="Y370" s="60" t="str">
        <f>IF($A370="","",IF(Y$6="NÃO",0,IF(A370=0,Tabela!$H$23,IF(Y$7="mensal",Tabela!$H$23,IF(AND(MONTH(ESTRUTURA!C370)=MONTH(ESTRUTURA!$F$3),A370&gt;0),Tabela!$H$23,0)))))</f>
        <v/>
      </c>
      <c r="Z370" s="30" t="str">
        <f t="shared" si="72"/>
        <v/>
      </c>
      <c r="AA370" s="60" t="str">
        <f>IF($A370="","",IF(AA$6="NÃO",0,Tabela!$H$25*nm_séries))</f>
        <v/>
      </c>
      <c r="AB370" s="30" t="str">
        <f t="shared" si="72"/>
        <v/>
      </c>
      <c r="AC370" s="60" t="str">
        <f>IF($A370="","",IF(AC$6="NÃO",0,IF(A370=0,Tabela!$H$27,IF(MOD(A370,3)=0,Tabela!$H$27,0))))</f>
        <v/>
      </c>
      <c r="AD370" s="30" t="str">
        <f t="shared" si="72"/>
        <v/>
      </c>
      <c r="AE370" s="60" t="str">
        <f t="shared" si="72"/>
        <v/>
      </c>
      <c r="AF370" s="30" t="str">
        <f>IF($A370="","",IF(AF$6="NÃO",0,IF(AND(MONTH(ESTRUTURA!C370)=MONTH(ESTRUTURA!$F$3),A370&gt;0),Tabela!$H$30,0)))</f>
        <v/>
      </c>
      <c r="AG370" s="60" t="str">
        <f t="shared" si="72"/>
        <v/>
      </c>
      <c r="AH370" s="30" t="str">
        <f t="shared" si="72"/>
        <v/>
      </c>
      <c r="AI370" s="60" t="str">
        <f>IF($A370="","",IF(AI$6="NÃO",0,IF($A370=0,DATEDIF(ESTRUTURA!$F$3,ESTRUTURA!$F$4,"m")*Tabela!$H$33,Tabela!$H$33)))</f>
        <v/>
      </c>
      <c r="AJ370" s="30" t="str">
        <f t="shared" si="62"/>
        <v/>
      </c>
    </row>
    <row r="371" spans="1:36" x14ac:dyDescent="0.2">
      <c r="A371" s="66" t="str">
        <f>ESTRUTURA!A371</f>
        <v/>
      </c>
      <c r="B371" s="58">
        <f t="shared" si="68"/>
        <v>0</v>
      </c>
      <c r="C371" s="60" t="str">
        <f t="shared" si="73"/>
        <v/>
      </c>
      <c r="D371" s="30" t="str">
        <f t="shared" si="73"/>
        <v/>
      </c>
      <c r="E371" s="60" t="str">
        <f t="shared" si="73"/>
        <v/>
      </c>
      <c r="F371" s="30" t="str">
        <f>IF($A371="","",IF(F$6="NÃO",0,Tabela!$H$34*ESTRUTURA!$I$4))</f>
        <v/>
      </c>
      <c r="G371" s="60" t="str">
        <f t="shared" si="73"/>
        <v/>
      </c>
      <c r="H371" s="30" t="str">
        <f>IF($A371="","",IF(H$6="NÃO",0,IF($A371=0,DATEDIF(ESTRUTURA!$F$3,ESTRUTURA!$F$4,"m")*Tabela!$H$6,Tabela!$H$6)))</f>
        <v/>
      </c>
      <c r="I371" s="60" t="str">
        <f t="shared" si="73"/>
        <v/>
      </c>
      <c r="J371" s="30" t="str">
        <f>IF($A371="","",IF(J$6="NÃO",0,IF($A371=0,DATEDIF(ESTRUTURA!$F$3,ESTRUTURA!$F$4,"m")*Tabela!$H$8,IF(J$6="NÃO",0,Tabela!$H$8))))</f>
        <v/>
      </c>
      <c r="K371" s="60" t="str">
        <f t="shared" si="73"/>
        <v/>
      </c>
      <c r="L371" s="30" t="str">
        <f t="shared" si="73"/>
        <v/>
      </c>
      <c r="M371" s="60" t="str">
        <f t="shared" si="73"/>
        <v/>
      </c>
      <c r="N371" s="30" t="str">
        <f t="shared" si="73"/>
        <v/>
      </c>
      <c r="O371" s="60" t="str">
        <f t="shared" si="73"/>
        <v/>
      </c>
      <c r="P371" s="30" t="str">
        <f t="shared" si="73"/>
        <v/>
      </c>
      <c r="Q371" s="60" t="str">
        <f t="shared" si="73"/>
        <v/>
      </c>
      <c r="R371" s="30" t="str">
        <f t="shared" si="73"/>
        <v/>
      </c>
      <c r="S371" s="60" t="str">
        <f>IF($A371="","",IF(S$6="NÃO",0,IF($A371=0,DATEDIF(ESTRUTURA!$F$3,ESTRUTURA!$F$4,"m")*Tabela!$H$17,Tabela!$H$17)))</f>
        <v/>
      </c>
      <c r="T371" s="30" t="str">
        <f>IF($A371="","",IF(T$6="NÃO",0,IF($A371=0,DATEDIF(ESTRUTURA!$F$3,ESTRUTURA!$F$4,"m")*Tabela!$H$18,Tabela!$H$18)))</f>
        <v/>
      </c>
      <c r="U371" s="60" t="str">
        <f t="shared" si="72"/>
        <v/>
      </c>
      <c r="V371" s="30" t="str">
        <f>IF($A371="","",IF(V$6="NÃO",0,IF($A371=0,DATEDIF(ESTRUTURA!$F$3,ESTRUTURA!$F$4,"m")*Tabela!$H$20,Tabela!$H$20)))</f>
        <v/>
      </c>
      <c r="W371" s="60" t="str">
        <f t="shared" si="72"/>
        <v/>
      </c>
      <c r="X371" s="30" t="str">
        <f t="shared" si="72"/>
        <v/>
      </c>
      <c r="Y371" s="60" t="str">
        <f>IF($A371="","",IF(Y$6="NÃO",0,IF(A371=0,Tabela!$H$23,IF(Y$7="mensal",Tabela!$H$23,IF(AND(MONTH(ESTRUTURA!C371)=MONTH(ESTRUTURA!$F$3),A371&gt;0),Tabela!$H$23,0)))))</f>
        <v/>
      </c>
      <c r="Z371" s="30" t="str">
        <f t="shared" si="72"/>
        <v/>
      </c>
      <c r="AA371" s="60" t="str">
        <f>IF($A371="","",IF(AA$6="NÃO",0,Tabela!$H$25*nm_séries))</f>
        <v/>
      </c>
      <c r="AB371" s="30" t="str">
        <f t="shared" si="72"/>
        <v/>
      </c>
      <c r="AC371" s="60" t="str">
        <f>IF($A371="","",IF(AC$6="NÃO",0,IF(A371=0,Tabela!$H$27,IF(MOD(A371,3)=0,Tabela!$H$27,0))))</f>
        <v/>
      </c>
      <c r="AD371" s="30" t="str">
        <f t="shared" si="72"/>
        <v/>
      </c>
      <c r="AE371" s="60" t="str">
        <f t="shared" si="72"/>
        <v/>
      </c>
      <c r="AF371" s="30" t="str">
        <f>IF($A371="","",IF(AF$6="NÃO",0,IF(AND(MONTH(ESTRUTURA!C371)=MONTH(ESTRUTURA!$F$3),A371&gt;0),Tabela!$H$30,0)))</f>
        <v/>
      </c>
      <c r="AG371" s="60" t="str">
        <f t="shared" si="72"/>
        <v/>
      </c>
      <c r="AH371" s="30" t="str">
        <f t="shared" si="72"/>
        <v/>
      </c>
      <c r="AI371" s="60" t="str">
        <f>IF($A371="","",IF(AI$6="NÃO",0,IF($A371=0,DATEDIF(ESTRUTURA!$F$3,ESTRUTURA!$F$4,"m")*Tabela!$H$33,Tabela!$H$33)))</f>
        <v/>
      </c>
      <c r="AJ371" s="30" t="str">
        <f t="shared" si="62"/>
        <v/>
      </c>
    </row>
  </sheetData>
  <conditionalFormatting sqref="A32:A193">
    <cfRule type="containsBlanks" dxfId="26" priority="88">
      <formula>LEN(TRIM(A32))=0</formula>
    </cfRule>
  </conditionalFormatting>
  <conditionalFormatting sqref="A12:B12 A13:A218">
    <cfRule type="containsBlanks" dxfId="25" priority="85">
      <formula>LEN(TRIM(A12))=0</formula>
    </cfRule>
  </conditionalFormatting>
  <conditionalFormatting sqref="C12">
    <cfRule type="containsBlanks" dxfId="24" priority="64">
      <formula>LEN(TRIM(C12))=0</formula>
    </cfRule>
  </conditionalFormatting>
  <conditionalFormatting sqref="D12">
    <cfRule type="containsBlanks" dxfId="23" priority="63">
      <formula>LEN(TRIM(D12))=0</formula>
    </cfRule>
  </conditionalFormatting>
  <conditionalFormatting sqref="A219:A371">
    <cfRule type="containsBlanks" dxfId="22" priority="62">
      <formula>LEN(TRIM(A219))=0</formula>
    </cfRule>
  </conditionalFormatting>
  <conditionalFormatting sqref="C13:C371">
    <cfRule type="containsBlanks" dxfId="21" priority="44">
      <formula>LEN(TRIM(C13))=0</formula>
    </cfRule>
  </conditionalFormatting>
  <conditionalFormatting sqref="D13:D371">
    <cfRule type="containsBlanks" dxfId="20" priority="43">
      <formula>LEN(TRIM(D13))=0</formula>
    </cfRule>
  </conditionalFormatting>
  <conditionalFormatting sqref="B13:B371">
    <cfRule type="containsBlanks" dxfId="19" priority="16">
      <formula>LEN(TRIM(B13))=0</formula>
    </cfRule>
  </conditionalFormatting>
  <conditionalFormatting sqref="C6">
    <cfRule type="cellIs" dxfId="18" priority="14" operator="equal">
      <formula>"NÃO"</formula>
    </cfRule>
    <cfRule type="cellIs" dxfId="17" priority="15" operator="equal">
      <formula>"SIM"</formula>
    </cfRule>
  </conditionalFormatting>
  <conditionalFormatting sqref="E12 G12 I12 K12 M12 O12 Q12 S12 U12 W12 Y12 AA12 AC12 AE12 AG12 AI12">
    <cfRule type="containsBlanks" dxfId="16" priority="9">
      <formula>LEN(TRIM(E12))=0</formula>
    </cfRule>
  </conditionalFormatting>
  <conditionalFormatting sqref="H12 L12 N12 P12 R12 T12 V12 X12 Z12 AB12 AD12 AF12 AH12 AJ12">
    <cfRule type="containsBlanks" dxfId="15" priority="8">
      <formula>LEN(TRIM(H12))=0</formula>
    </cfRule>
  </conditionalFormatting>
  <conditionalFormatting sqref="E13:E371 G13:G371 I13:I371 K13:K371 M13:M371 O13:O371 Q13:Q371 S13:S371 U13:U371 W13:W371 Y13:Y371 AA13:AA371 AC13:AC371 AE13:AE371 AG13:AG371 AI13:AI371">
    <cfRule type="containsBlanks" dxfId="14" priority="7">
      <formula>LEN(TRIM(E13))=0</formula>
    </cfRule>
  </conditionalFormatting>
  <conditionalFormatting sqref="H13:H371 L13:L371 N13:N371 P13:P371 R13:R371 T13:T371 V13:V371 X13:X371 Z13:Z371 AB13:AB371 AD13:AD371 AF13:AF371 AH13:AH371 AJ13:AJ371">
    <cfRule type="containsBlanks" dxfId="13" priority="6">
      <formula>LEN(TRIM(H13))=0</formula>
    </cfRule>
  </conditionalFormatting>
  <conditionalFormatting sqref="F11:F371">
    <cfRule type="containsBlanks" dxfId="12" priority="3">
      <formula>LEN(TRIM(F11))=0</formula>
    </cfRule>
  </conditionalFormatting>
  <conditionalFormatting sqref="D6:AJ6">
    <cfRule type="cellIs" dxfId="11" priority="1" operator="equal">
      <formula>"NÃO"</formula>
    </cfRule>
    <cfRule type="cellIs" dxfId="10" priority="2" operator="equal">
      <formula>"SIM"</formula>
    </cfRule>
  </conditionalFormatting>
  <dataValidations count="1">
    <dataValidation type="list" allowBlank="1" showInputMessage="1" showErrorMessage="1" sqref="C2 C6:AJ6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H12:H371 R11 S12:S371 V12:V371 AA12:AA371 AF12:AF371 AI12:AI371 F12:F371 Y12:Y371 AC12:AC37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4:Q370"/>
  <sheetViews>
    <sheetView showGridLines="0" zoomScale="55" zoomScaleNormal="55" workbookViewId="0">
      <selection activeCell="N34" sqref="N34"/>
    </sheetView>
  </sheetViews>
  <sheetFormatPr defaultRowHeight="16.5" x14ac:dyDescent="0.3"/>
  <cols>
    <col min="1" max="4" width="17" customWidth="1"/>
    <col min="5" max="5" width="18.25" bestFit="1" customWidth="1"/>
    <col min="7" max="10" width="17" customWidth="1"/>
    <col min="11" max="11" width="18.25" bestFit="1" customWidth="1"/>
    <col min="13" max="16" width="17" customWidth="1"/>
    <col min="17" max="17" width="18.25" bestFit="1" customWidth="1"/>
  </cols>
  <sheetData>
    <row r="4" spans="1:17" x14ac:dyDescent="0.3">
      <c r="A4" s="229" t="s">
        <v>511</v>
      </c>
      <c r="B4" s="229"/>
      <c r="C4" s="230">
        <f>sd_se</f>
        <v>0</v>
      </c>
      <c r="D4" s="230"/>
      <c r="E4" s="83"/>
      <c r="F4" s="83"/>
      <c r="G4" s="229" t="s">
        <v>511</v>
      </c>
      <c r="H4" s="229"/>
      <c r="I4" s="230">
        <f>sd_subp</f>
        <v>0</v>
      </c>
      <c r="J4" s="230"/>
      <c r="K4" s="83"/>
      <c r="L4" s="83"/>
      <c r="M4" s="229" t="s">
        <v>511</v>
      </c>
      <c r="N4" s="229"/>
      <c r="O4" s="230">
        <f>sd_sub</f>
        <v>0</v>
      </c>
      <c r="P4" s="230"/>
      <c r="Q4" s="83"/>
    </row>
    <row r="5" spans="1:17" x14ac:dyDescent="0.3">
      <c r="A5" s="229" t="s">
        <v>512</v>
      </c>
      <c r="B5" s="229"/>
      <c r="C5" s="231">
        <f>IFERROR(IF(C4=C7*TRUNC(C4/C7,8),TRUNC(C4/C7,8),IF(C4&lt;C7*TRUNC(C4/C7,8),TRUNC(C4/C7,8)-0.00000001,TRUNC(C4/C7,8)+0.00000001)),0)</f>
        <v>0</v>
      </c>
      <c r="D5" s="231"/>
      <c r="E5" s="83"/>
      <c r="F5" s="83"/>
      <c r="G5" s="229" t="s">
        <v>512</v>
      </c>
      <c r="H5" s="229"/>
      <c r="I5" s="231">
        <f>IFERROR(IF(I4=I7*TRUNC(I4/I7,8),TRUNC(I4/I7,8),IF(I4&lt;I7*TRUNC(I4/I7,8),TRUNC(I4/I7,8)-0.00000001,TRUNC(I4/I7,8)+0.00000001)),0)</f>
        <v>0</v>
      </c>
      <c r="J5" s="231"/>
      <c r="K5" s="83"/>
      <c r="L5" s="83"/>
      <c r="M5" s="229" t="s">
        <v>512</v>
      </c>
      <c r="N5" s="229"/>
      <c r="O5" s="231">
        <f>IFERROR(IF(O4=O7*TRUNC(O4/O7,8),TRUNC(O4/O7,8),IF(O4&lt;O7*TRUNC(O4/O7,8),TRUNC(O4/O7,8)-0.00000001,TRUNC(O4/O7,8)+0.00000001)),0)</f>
        <v>0</v>
      </c>
      <c r="P5" s="231"/>
      <c r="Q5" s="83"/>
    </row>
    <row r="6" spans="1:17" x14ac:dyDescent="0.3">
      <c r="A6" s="229" t="s">
        <v>513</v>
      </c>
      <c r="B6" s="229"/>
      <c r="C6" s="228">
        <f>tx_se</f>
        <v>0.2</v>
      </c>
      <c r="D6" s="228"/>
      <c r="E6" s="83"/>
      <c r="F6" s="83"/>
      <c r="G6" s="229" t="s">
        <v>513</v>
      </c>
      <c r="H6" s="229"/>
      <c r="I6" s="228">
        <f>tx_subp</f>
        <v>0</v>
      </c>
      <c r="J6" s="228"/>
      <c r="K6" s="83"/>
      <c r="L6" s="83"/>
      <c r="M6" s="229" t="s">
        <v>513</v>
      </c>
      <c r="N6" s="229"/>
      <c r="O6" s="228">
        <f>tx_sub</f>
        <v>0</v>
      </c>
      <c r="P6" s="228"/>
      <c r="Q6" s="83"/>
    </row>
    <row r="7" spans="1:17" x14ac:dyDescent="0.3">
      <c r="A7" s="229" t="s">
        <v>514</v>
      </c>
      <c r="B7" s="229"/>
      <c r="C7" s="185">
        <f>ROUNDDOWN(C4/50000,0)</f>
        <v>0</v>
      </c>
      <c r="D7" s="185"/>
      <c r="E7" s="83"/>
      <c r="F7" s="83"/>
      <c r="G7" s="229" t="s">
        <v>514</v>
      </c>
      <c r="H7" s="229"/>
      <c r="I7" s="185">
        <f>ROUNDDOWN(I4/50000,0)</f>
        <v>0</v>
      </c>
      <c r="J7" s="185"/>
      <c r="K7" s="83"/>
      <c r="L7" s="83"/>
      <c r="M7" s="229" t="s">
        <v>514</v>
      </c>
      <c r="N7" s="229"/>
      <c r="O7" s="185">
        <f>ROUNDDOWN(O4/50000,0)</f>
        <v>0</v>
      </c>
      <c r="P7" s="185"/>
      <c r="Q7" s="83"/>
    </row>
    <row r="8" spans="1:17" x14ac:dyDescent="0.3">
      <c r="C8" s="114"/>
      <c r="D8" s="114"/>
      <c r="I8" s="114"/>
      <c r="J8" s="114"/>
      <c r="O8" s="114"/>
      <c r="P8" s="114"/>
    </row>
    <row r="9" spans="1:17" ht="17.25" x14ac:dyDescent="0.3">
      <c r="A9" s="232" t="s">
        <v>425</v>
      </c>
      <c r="B9" s="233"/>
      <c r="C9" s="233"/>
      <c r="D9" s="233"/>
      <c r="E9" s="234"/>
      <c r="G9" s="232" t="s">
        <v>486</v>
      </c>
      <c r="H9" s="233"/>
      <c r="I9" s="233"/>
      <c r="J9" s="233"/>
      <c r="K9" s="234"/>
      <c r="M9" s="232" t="s">
        <v>487</v>
      </c>
      <c r="N9" s="233"/>
      <c r="O9" s="233"/>
      <c r="P9" s="233"/>
      <c r="Q9" s="234"/>
    </row>
    <row r="10" spans="1:17" x14ac:dyDescent="0.3">
      <c r="A10" s="95" t="s">
        <v>510</v>
      </c>
      <c r="B10" s="95" t="s">
        <v>506</v>
      </c>
      <c r="C10" s="95" t="s">
        <v>507</v>
      </c>
      <c r="D10" s="95" t="s">
        <v>508</v>
      </c>
      <c r="E10" s="95" t="s">
        <v>509</v>
      </c>
      <c r="G10" s="95" t="s">
        <v>510</v>
      </c>
      <c r="H10" s="95" t="s">
        <v>506</v>
      </c>
      <c r="I10" s="95" t="s">
        <v>507</v>
      </c>
      <c r="J10" s="95" t="s">
        <v>508</v>
      </c>
      <c r="K10" s="95" t="s">
        <v>509</v>
      </c>
      <c r="M10" s="95" t="s">
        <v>510</v>
      </c>
      <c r="N10" s="95" t="s">
        <v>506</v>
      </c>
      <c r="O10" s="95" t="s">
        <v>507</v>
      </c>
      <c r="P10" s="95" t="s">
        <v>508</v>
      </c>
      <c r="Q10" s="95" t="s">
        <v>509</v>
      </c>
    </row>
    <row r="11" spans="1:17" x14ac:dyDescent="0.3">
      <c r="A11" s="110" t="str">
        <f>IF(ESTRUTURA!A12&gt;prazo_se,"",ESTRUTURA!A12)</f>
        <v/>
      </c>
      <c r="B11" s="111" t="str">
        <f>IF(A11="","",ESTRUTURA!C12)</f>
        <v/>
      </c>
      <c r="C11" s="111" t="str">
        <f>IF(A11="","",ESTRUTURA!E12)</f>
        <v/>
      </c>
      <c r="D11" s="113" t="str">
        <f>IF($A11="","",IF(A11=prazo_se,1,IFERROR(TRUNC(ESTRUTURA!R12/ESTRUTURA!T11,6),0)*100))</f>
        <v/>
      </c>
      <c r="E11" s="112"/>
      <c r="G11" s="110" t="str">
        <f>IF(ESTRUTURA!A12&gt;prazo_subp,"",ESTRUTURA!A12)</f>
        <v/>
      </c>
      <c r="H11" s="111" t="str">
        <f>IF(G11="","",ESTRUTURA!C12)</f>
        <v/>
      </c>
      <c r="I11" s="111" t="str">
        <f>IF(G11="","",ESTRUTURA!E12)</f>
        <v/>
      </c>
      <c r="J11" s="113" t="str">
        <f>IF($G11="","",IF(G11=prazo_subp,1,IFERROR(TRUNC(ESTRUTURA!Y12/ESTRUTURA!AA11,6),0)*100))</f>
        <v/>
      </c>
      <c r="K11" s="112"/>
      <c r="M11" s="110" t="str">
        <f>IF(ESTRUTURA!A12&gt;prazo_sub,"",ESTRUTURA!A12)</f>
        <v/>
      </c>
      <c r="N11" s="111" t="str">
        <f>IF(M11="","",ESTRUTURA!C12)</f>
        <v/>
      </c>
      <c r="O11" s="111" t="str">
        <f>IF(M11="","",ESTRUTURA!E12)</f>
        <v/>
      </c>
      <c r="P11" s="113" t="str">
        <f>IF($M11="","",IF(M11=prazo_sub,1,IFERROR(TRUNC(ESTRUTURA!AE12/ESTRUTURA!AG11,6),0)*100))</f>
        <v/>
      </c>
      <c r="Q11" s="112"/>
    </row>
    <row r="12" spans="1:17" x14ac:dyDescent="0.3">
      <c r="A12" s="110" t="str">
        <f>IF(ESTRUTURA!A13&gt;prazo_se,"",ESTRUTURA!A13)</f>
        <v/>
      </c>
      <c r="B12" s="111" t="str">
        <f>ESTRUTURA!C13</f>
        <v/>
      </c>
      <c r="C12" s="111" t="str">
        <f>ESTRUTURA!E13</f>
        <v/>
      </c>
      <c r="D12" s="113" t="str">
        <f>IF($A12="","",IF(A12=prazo_se,1,IFERROR(TRUNC(ESTRUTURA!R13/ESTRUTURA!T12,6),0)*100))</f>
        <v/>
      </c>
      <c r="E12" s="112"/>
      <c r="G12" s="110" t="str">
        <f>IF(ESTRUTURA!A13&gt;prazo_subp,"",ESTRUTURA!A13)</f>
        <v/>
      </c>
      <c r="H12" s="111" t="str">
        <f>IF(G12="","",ESTRUTURA!C13)</f>
        <v/>
      </c>
      <c r="I12" s="111" t="str">
        <f>IF(G12="","",ESTRUTURA!E13)</f>
        <v/>
      </c>
      <c r="J12" s="113" t="str">
        <f>IF($G12="","",IF(G12=prazo_subp,1,IFERROR(TRUNC(ESTRUTURA!Y13/ESTRUTURA!AA12,6),0)*100))</f>
        <v/>
      </c>
      <c r="K12" s="112"/>
      <c r="M12" s="110" t="str">
        <f>ESTRUTURA!M13</f>
        <v/>
      </c>
      <c r="N12" s="111" t="str">
        <f>ESTRUTURA!O13</f>
        <v/>
      </c>
      <c r="O12" s="111" t="str">
        <f>ESTRUTURA!Q13</f>
        <v/>
      </c>
      <c r="P12" s="113" t="str">
        <f>IF($M12="","",IF(M12=prazo_sub,1,IFERROR(TRUNC(ESTRUTURA!AE13/ESTRUTURA!AG12,6),0)*100))</f>
        <v/>
      </c>
      <c r="Q12" s="112"/>
    </row>
    <row r="13" spans="1:17" x14ac:dyDescent="0.3">
      <c r="A13" s="110" t="str">
        <f>IF(ESTRUTURA!A14&gt;prazo_se,"",ESTRUTURA!A14)</f>
        <v/>
      </c>
      <c r="B13" s="111" t="str">
        <f>ESTRUTURA!C14</f>
        <v/>
      </c>
      <c r="C13" s="111" t="str">
        <f>ESTRUTURA!E14</f>
        <v/>
      </c>
      <c r="D13" s="113" t="str">
        <f>IF($A13="","",IF(A13=prazo_se,1,IFERROR(TRUNC(ESTRUTURA!R14/ESTRUTURA!T13,6),0)*100))</f>
        <v/>
      </c>
      <c r="E13" s="112"/>
      <c r="G13" s="110" t="str">
        <f>IF(ESTRUTURA!A14&gt;prazo_subp,"",ESTRUTURA!A14)</f>
        <v/>
      </c>
      <c r="H13" s="111" t="str">
        <f>IF(G13="","",ESTRUTURA!C14)</f>
        <v/>
      </c>
      <c r="I13" s="111" t="str">
        <f>IF(G13="","",ESTRUTURA!E14)</f>
        <v/>
      </c>
      <c r="J13" s="113" t="str">
        <f>IF($G13="","",IF(G13=prazo_subp,1,IFERROR(TRUNC(ESTRUTURA!Y14/ESTRUTURA!AA13,6),0)*100))</f>
        <v/>
      </c>
      <c r="K13" s="112"/>
      <c r="M13" s="110" t="str">
        <f>ESTRUTURA!M14</f>
        <v/>
      </c>
      <c r="N13" s="111" t="str">
        <f>ESTRUTURA!O14</f>
        <v/>
      </c>
      <c r="O13" s="111" t="str">
        <f>ESTRUTURA!Q14</f>
        <v/>
      </c>
      <c r="P13" s="113" t="str">
        <f>IF($M13="","",IF(M13=prazo_sub,1,IFERROR(TRUNC(ESTRUTURA!AE14/ESTRUTURA!AG13,6),0)*100))</f>
        <v/>
      </c>
      <c r="Q13" s="112"/>
    </row>
    <row r="14" spans="1:17" x14ac:dyDescent="0.3">
      <c r="A14" s="110" t="str">
        <f>IF(ESTRUTURA!A15&gt;prazo_se,"",ESTRUTURA!A15)</f>
        <v/>
      </c>
      <c r="B14" s="111" t="str">
        <f>ESTRUTURA!C15</f>
        <v/>
      </c>
      <c r="C14" s="111" t="str">
        <f>ESTRUTURA!E15</f>
        <v/>
      </c>
      <c r="D14" s="113" t="str">
        <f>IF($A14="","",IF(A14=prazo_se,1,IFERROR(TRUNC(ESTRUTURA!R15/ESTRUTURA!T14,6),0)*100))</f>
        <v/>
      </c>
      <c r="E14" s="112"/>
      <c r="G14" s="110" t="str">
        <f>IF(ESTRUTURA!A15&gt;prazo_subp,"",ESTRUTURA!A15)</f>
        <v/>
      </c>
      <c r="H14" s="111" t="str">
        <f>IF(G14="","",ESTRUTURA!C15)</f>
        <v/>
      </c>
      <c r="I14" s="111" t="str">
        <f>IF(G14="","",ESTRUTURA!E15)</f>
        <v/>
      </c>
      <c r="J14" s="113" t="str">
        <f>IF($G14="","",IF(G14=prazo_subp,1,IFERROR(TRUNC(ESTRUTURA!Y15/ESTRUTURA!AA14,6),0)*100))</f>
        <v/>
      </c>
      <c r="K14" s="112"/>
      <c r="M14" s="110" t="str">
        <f>ESTRUTURA!M15</f>
        <v/>
      </c>
      <c r="N14" s="111" t="str">
        <f>ESTRUTURA!O15</f>
        <v/>
      </c>
      <c r="O14" s="111" t="str">
        <f>ESTRUTURA!Q15</f>
        <v/>
      </c>
      <c r="P14" s="113" t="str">
        <f>IF($M14="","",IF(M14=prazo_sub,1,IFERROR(TRUNC(ESTRUTURA!AE15/ESTRUTURA!AG14,6),0)*100))</f>
        <v/>
      </c>
      <c r="Q14" s="112"/>
    </row>
    <row r="15" spans="1:17" x14ac:dyDescent="0.3">
      <c r="A15" s="110" t="str">
        <f>IF(ESTRUTURA!A16&gt;prazo_se,"",ESTRUTURA!A16)</f>
        <v/>
      </c>
      <c r="B15" s="111" t="str">
        <f>ESTRUTURA!C16</f>
        <v/>
      </c>
      <c r="C15" s="111" t="str">
        <f>ESTRUTURA!E16</f>
        <v/>
      </c>
      <c r="D15" s="113" t="str">
        <f>IF($A15="","",IF(A15=prazo_se,1,IFERROR(TRUNC(ESTRUTURA!R16/ESTRUTURA!T15,6),0)*100))</f>
        <v/>
      </c>
      <c r="E15" s="112"/>
      <c r="G15" s="110" t="str">
        <f>IF(ESTRUTURA!A16&gt;prazo_subp,"",ESTRUTURA!A16)</f>
        <v/>
      </c>
      <c r="H15" s="111" t="str">
        <f>IF(G15="","",ESTRUTURA!C16)</f>
        <v/>
      </c>
      <c r="I15" s="111" t="str">
        <f>IF(G15="","",ESTRUTURA!E16)</f>
        <v/>
      </c>
      <c r="J15" s="113" t="str">
        <f>IF($G15="","",IF(G15=prazo_subp,1,IFERROR(TRUNC(ESTRUTURA!Y16/ESTRUTURA!AA15,6),0)*100))</f>
        <v/>
      </c>
      <c r="K15" s="112"/>
      <c r="M15" s="110" t="str">
        <f>ESTRUTURA!M16</f>
        <v/>
      </c>
      <c r="N15" s="111" t="str">
        <f>ESTRUTURA!O16</f>
        <v/>
      </c>
      <c r="O15" s="111" t="str">
        <f>ESTRUTURA!Q16</f>
        <v/>
      </c>
      <c r="P15" s="113" t="str">
        <f>IF($M15="","",IF(M15=prazo_sub,1,IFERROR(TRUNC(ESTRUTURA!AE16/ESTRUTURA!AG15,6),0)*100))</f>
        <v/>
      </c>
      <c r="Q15" s="112"/>
    </row>
    <row r="16" spans="1:17" x14ac:dyDescent="0.3">
      <c r="A16" s="110" t="str">
        <f>IF(ESTRUTURA!A17&gt;prazo_se,"",ESTRUTURA!A17)</f>
        <v/>
      </c>
      <c r="B16" s="111" t="str">
        <f>ESTRUTURA!C17</f>
        <v/>
      </c>
      <c r="C16" s="111" t="str">
        <f>ESTRUTURA!E17</f>
        <v/>
      </c>
      <c r="D16" s="113" t="str">
        <f>IF($A16="","",IF(A16=prazo_se,1,IFERROR(TRUNC(ESTRUTURA!R17/ESTRUTURA!T16,6),0)*100))</f>
        <v/>
      </c>
      <c r="E16" s="112"/>
      <c r="G16" s="110" t="str">
        <f>IF(ESTRUTURA!A17&gt;prazo_subp,"",ESTRUTURA!A17)</f>
        <v/>
      </c>
      <c r="H16" s="111" t="str">
        <f>IF(G16="","",ESTRUTURA!C17)</f>
        <v/>
      </c>
      <c r="I16" s="111" t="str">
        <f>IF(G16="","",ESTRUTURA!E17)</f>
        <v/>
      </c>
      <c r="J16" s="113" t="str">
        <f>IF($G16="","",IF(G16=prazo_subp,1,IFERROR(TRUNC(ESTRUTURA!Y17/ESTRUTURA!AA16,6),0)*100))</f>
        <v/>
      </c>
      <c r="K16" s="112"/>
      <c r="M16" s="110" t="str">
        <f>ESTRUTURA!M17</f>
        <v/>
      </c>
      <c r="N16" s="111" t="str">
        <f>ESTRUTURA!O17</f>
        <v/>
      </c>
      <c r="O16" s="111" t="str">
        <f>ESTRUTURA!Q17</f>
        <v/>
      </c>
      <c r="P16" s="113" t="str">
        <f>IF($M16="","",IF(M16=prazo_sub,1,IFERROR(TRUNC(ESTRUTURA!AE17/ESTRUTURA!AG16,6),0)*100))</f>
        <v/>
      </c>
      <c r="Q16" s="112"/>
    </row>
    <row r="17" spans="1:17" x14ac:dyDescent="0.3">
      <c r="A17" s="110" t="str">
        <f>IF(ESTRUTURA!A18&gt;prazo_se,"",ESTRUTURA!A18)</f>
        <v/>
      </c>
      <c r="B17" s="111" t="str">
        <f>ESTRUTURA!C18</f>
        <v/>
      </c>
      <c r="C17" s="111" t="str">
        <f>ESTRUTURA!E18</f>
        <v/>
      </c>
      <c r="D17" s="113" t="str">
        <f>IF($A17="","",IF(A17=prazo_se,1,IFERROR(TRUNC(ESTRUTURA!R18/ESTRUTURA!T17,6),0)*100))</f>
        <v/>
      </c>
      <c r="E17" s="112"/>
      <c r="G17" s="110" t="str">
        <f>IF(ESTRUTURA!A18&gt;prazo_subp,"",ESTRUTURA!A18)</f>
        <v/>
      </c>
      <c r="H17" s="111" t="str">
        <f>IF(G17="","",ESTRUTURA!C18)</f>
        <v/>
      </c>
      <c r="I17" s="111" t="str">
        <f>IF(G17="","",ESTRUTURA!E18)</f>
        <v/>
      </c>
      <c r="J17" s="113" t="str">
        <f>IF($G17="","",IF(G17=prazo_subp,1,IFERROR(TRUNC(ESTRUTURA!Y18/ESTRUTURA!AA17,6),0)*100))</f>
        <v/>
      </c>
      <c r="K17" s="112"/>
      <c r="M17" s="110" t="str">
        <f>ESTRUTURA!M18</f>
        <v/>
      </c>
      <c r="N17" s="111" t="str">
        <f>ESTRUTURA!O18</f>
        <v/>
      </c>
      <c r="O17" s="111" t="str">
        <f>ESTRUTURA!Q18</f>
        <v/>
      </c>
      <c r="P17" s="113" t="str">
        <f>IF($M17="","",IF(M17=prazo_sub,1,IFERROR(TRUNC(ESTRUTURA!AE18/ESTRUTURA!AG17,6),0)*100))</f>
        <v/>
      </c>
      <c r="Q17" s="112"/>
    </row>
    <row r="18" spans="1:17" x14ac:dyDescent="0.3">
      <c r="A18" s="110" t="str">
        <f>IF(ESTRUTURA!A19&gt;prazo_se,"",ESTRUTURA!A19)</f>
        <v/>
      </c>
      <c r="B18" s="111" t="str">
        <f>ESTRUTURA!C19</f>
        <v/>
      </c>
      <c r="C18" s="111" t="str">
        <f>ESTRUTURA!E19</f>
        <v/>
      </c>
      <c r="D18" s="113" t="str">
        <f>IF($A18="","",IF(A18=prazo_se,1,IFERROR(TRUNC(ESTRUTURA!R19/ESTRUTURA!T18,6),0)*100))</f>
        <v/>
      </c>
      <c r="E18" s="112"/>
      <c r="G18" s="110" t="str">
        <f>IF(ESTRUTURA!A19&gt;prazo_subp,"",ESTRUTURA!A19)</f>
        <v/>
      </c>
      <c r="H18" s="111" t="str">
        <f>IF(G18="","",ESTRUTURA!C19)</f>
        <v/>
      </c>
      <c r="I18" s="111" t="str">
        <f>IF(G18="","",ESTRUTURA!E19)</f>
        <v/>
      </c>
      <c r="J18" s="113" t="str">
        <f>IF($G18="","",IF(G18=prazo_subp,1,IFERROR(TRUNC(ESTRUTURA!Y19/ESTRUTURA!AA18,6),0)*100))</f>
        <v/>
      </c>
      <c r="K18" s="112"/>
      <c r="M18" s="110" t="str">
        <f>ESTRUTURA!M19</f>
        <v/>
      </c>
      <c r="N18" s="111" t="str">
        <f>ESTRUTURA!O19</f>
        <v/>
      </c>
      <c r="O18" s="111" t="str">
        <f>ESTRUTURA!Q19</f>
        <v/>
      </c>
      <c r="P18" s="113" t="str">
        <f>IF($M18="","",IF(M18=prazo_sub,1,IFERROR(TRUNC(ESTRUTURA!AE19/ESTRUTURA!AG18,6),0)*100))</f>
        <v/>
      </c>
      <c r="Q18" s="112"/>
    </row>
    <row r="19" spans="1:17" x14ac:dyDescent="0.3">
      <c r="A19" s="110" t="str">
        <f>IF(ESTRUTURA!A20&gt;prazo_se,"",ESTRUTURA!A20)</f>
        <v/>
      </c>
      <c r="B19" s="111" t="str">
        <f>ESTRUTURA!C20</f>
        <v/>
      </c>
      <c r="C19" s="111" t="str">
        <f>ESTRUTURA!E20</f>
        <v/>
      </c>
      <c r="D19" s="113" t="str">
        <f>IF($A19="","",IF(A19=prazo_se,1,IFERROR(TRUNC(ESTRUTURA!R20/ESTRUTURA!T19,6),0)*100))</f>
        <v/>
      </c>
      <c r="E19" s="112"/>
      <c r="G19" s="110" t="str">
        <f>IF(ESTRUTURA!A20&gt;prazo_subp,"",ESTRUTURA!A20)</f>
        <v/>
      </c>
      <c r="H19" s="111" t="str">
        <f>IF(G19="","",ESTRUTURA!C20)</f>
        <v/>
      </c>
      <c r="I19" s="111" t="str">
        <f>IF(G19="","",ESTRUTURA!E20)</f>
        <v/>
      </c>
      <c r="J19" s="113" t="str">
        <f>IF($G19="","",IF(G19=prazo_subp,1,IFERROR(TRUNC(ESTRUTURA!Y20/ESTRUTURA!AA19,6),0)*100))</f>
        <v/>
      </c>
      <c r="K19" s="112"/>
      <c r="M19" s="110" t="str">
        <f>ESTRUTURA!M20</f>
        <v/>
      </c>
      <c r="N19" s="111" t="str">
        <f>ESTRUTURA!O20</f>
        <v/>
      </c>
      <c r="O19" s="111" t="str">
        <f>ESTRUTURA!Q20</f>
        <v/>
      </c>
      <c r="P19" s="113" t="str">
        <f>IF($M19="","",IF(M19=prazo_sub,1,IFERROR(TRUNC(ESTRUTURA!AE20/ESTRUTURA!AG19,6),0)*100))</f>
        <v/>
      </c>
      <c r="Q19" s="112"/>
    </row>
    <row r="20" spans="1:17" x14ac:dyDescent="0.3">
      <c r="A20" s="110" t="str">
        <f>IF(ESTRUTURA!A21&gt;prazo_se,"",ESTRUTURA!A21)</f>
        <v/>
      </c>
      <c r="B20" s="111" t="str">
        <f>ESTRUTURA!C21</f>
        <v/>
      </c>
      <c r="C20" s="111" t="str">
        <f>ESTRUTURA!E21</f>
        <v/>
      </c>
      <c r="D20" s="113" t="str">
        <f>IF($A20="","",IF(A20=prazo_se,1,IFERROR(TRUNC(ESTRUTURA!R21/ESTRUTURA!T20,6),0)*100))</f>
        <v/>
      </c>
      <c r="E20" s="112"/>
      <c r="G20" s="110" t="str">
        <f>IF(ESTRUTURA!A21&gt;prazo_subp,"",ESTRUTURA!A21)</f>
        <v/>
      </c>
      <c r="H20" s="111" t="str">
        <f>IF(G20="","",ESTRUTURA!C21)</f>
        <v/>
      </c>
      <c r="I20" s="111" t="str">
        <f>IF(G20="","",ESTRUTURA!E21)</f>
        <v/>
      </c>
      <c r="J20" s="113" t="str">
        <f>IF($G20="","",IF(G20=prazo_subp,1,IFERROR(TRUNC(ESTRUTURA!Y21/ESTRUTURA!AA20,6),0)*100))</f>
        <v/>
      </c>
      <c r="K20" s="112"/>
      <c r="M20" s="110" t="str">
        <f>ESTRUTURA!M21</f>
        <v/>
      </c>
      <c r="N20" s="111" t="str">
        <f>ESTRUTURA!O21</f>
        <v/>
      </c>
      <c r="O20" s="111" t="str">
        <f>ESTRUTURA!Q21</f>
        <v/>
      </c>
      <c r="P20" s="113" t="str">
        <f>IF($M20="","",IF(M20=prazo_sub,1,IFERROR(TRUNC(ESTRUTURA!AE21/ESTRUTURA!AG20,6),0)*100))</f>
        <v/>
      </c>
      <c r="Q20" s="112"/>
    </row>
    <row r="21" spans="1:17" x14ac:dyDescent="0.3">
      <c r="A21" s="110" t="str">
        <f>IF(ESTRUTURA!A22&gt;prazo_se,"",ESTRUTURA!A22)</f>
        <v/>
      </c>
      <c r="B21" s="111" t="str">
        <f>ESTRUTURA!C22</f>
        <v/>
      </c>
      <c r="C21" s="111" t="str">
        <f>ESTRUTURA!E22</f>
        <v/>
      </c>
      <c r="D21" s="113" t="str">
        <f>IF($A21="","",IF(A21=prazo_se,1,IFERROR(TRUNC(ESTRUTURA!R22/ESTRUTURA!T21,6),0)*100))</f>
        <v/>
      </c>
      <c r="E21" s="112"/>
      <c r="G21" s="110" t="str">
        <f>IF(ESTRUTURA!A22&gt;prazo_subp,"",ESTRUTURA!A22)</f>
        <v/>
      </c>
      <c r="H21" s="111" t="str">
        <f>IF(G21="","",ESTRUTURA!C22)</f>
        <v/>
      </c>
      <c r="I21" s="111" t="str">
        <f>IF(G21="","",ESTRUTURA!E22)</f>
        <v/>
      </c>
      <c r="J21" s="113" t="str">
        <f>IF($G21="","",IF(G21=prazo_subp,1,IFERROR(TRUNC(ESTRUTURA!Y22/ESTRUTURA!AA21,6),0)*100))</f>
        <v/>
      </c>
      <c r="K21" s="112"/>
      <c r="M21" s="110" t="str">
        <f>ESTRUTURA!M22</f>
        <v/>
      </c>
      <c r="N21" s="111" t="str">
        <f>ESTRUTURA!O22</f>
        <v/>
      </c>
      <c r="O21" s="111" t="str">
        <f>ESTRUTURA!Q22</f>
        <v/>
      </c>
      <c r="P21" s="113" t="str">
        <f>IF($M21="","",IF(M21=prazo_sub,1,IFERROR(TRUNC(ESTRUTURA!AE22/ESTRUTURA!AG21,6),0)*100))</f>
        <v/>
      </c>
      <c r="Q21" s="112"/>
    </row>
    <row r="22" spans="1:17" x14ac:dyDescent="0.3">
      <c r="A22" s="110" t="str">
        <f>IF(ESTRUTURA!A23&gt;prazo_se,"",ESTRUTURA!A23)</f>
        <v/>
      </c>
      <c r="B22" s="111" t="str">
        <f>ESTRUTURA!C23</f>
        <v/>
      </c>
      <c r="C22" s="111" t="str">
        <f>ESTRUTURA!E23</f>
        <v/>
      </c>
      <c r="D22" s="113" t="str">
        <f>IF($A22="","",IF(A22=prazo_se,1,IFERROR(TRUNC(ESTRUTURA!R23/ESTRUTURA!T22,6),0)*100))</f>
        <v/>
      </c>
      <c r="E22" s="112"/>
      <c r="G22" s="110" t="str">
        <f>IF(ESTRUTURA!A23&gt;prazo_subp,"",ESTRUTURA!A23)</f>
        <v/>
      </c>
      <c r="H22" s="111" t="str">
        <f>IF(G22="","",ESTRUTURA!C23)</f>
        <v/>
      </c>
      <c r="I22" s="111" t="str">
        <f>IF(G22="","",ESTRUTURA!E23)</f>
        <v/>
      </c>
      <c r="J22" s="113" t="str">
        <f>IF($G22="","",IF(G22=prazo_subp,1,IFERROR(TRUNC(ESTRUTURA!Y23/ESTRUTURA!AA22,6),0)*100))</f>
        <v/>
      </c>
      <c r="K22" s="112"/>
      <c r="M22" s="110" t="str">
        <f>ESTRUTURA!M23</f>
        <v/>
      </c>
      <c r="N22" s="111" t="str">
        <f>ESTRUTURA!O23</f>
        <v/>
      </c>
      <c r="O22" s="111" t="str">
        <f>ESTRUTURA!Q23</f>
        <v/>
      </c>
      <c r="P22" s="113" t="str">
        <f>IF($M22="","",IF(M22=prazo_sub,1,IFERROR(TRUNC(ESTRUTURA!AE23/ESTRUTURA!AG22,6),0)*100))</f>
        <v/>
      </c>
      <c r="Q22" s="112"/>
    </row>
    <row r="23" spans="1:17" x14ac:dyDescent="0.3">
      <c r="A23" s="110" t="str">
        <f>IF(ESTRUTURA!A24&gt;prazo_se,"",ESTRUTURA!A24)</f>
        <v/>
      </c>
      <c r="B23" s="111" t="str">
        <f>ESTRUTURA!C24</f>
        <v/>
      </c>
      <c r="C23" s="111" t="str">
        <f>ESTRUTURA!E24</f>
        <v/>
      </c>
      <c r="D23" s="113" t="str">
        <f>IF($A23="","",IF(A23=prazo_se,1,IFERROR(TRUNC(ESTRUTURA!R24/ESTRUTURA!T23,6),0)*100))</f>
        <v/>
      </c>
      <c r="E23" s="112"/>
      <c r="G23" s="110" t="str">
        <f>IF(ESTRUTURA!A24&gt;prazo_subp,"",ESTRUTURA!A24)</f>
        <v/>
      </c>
      <c r="H23" s="111" t="str">
        <f>IF(G23="","",ESTRUTURA!C24)</f>
        <v/>
      </c>
      <c r="I23" s="111" t="str">
        <f>IF(G23="","",ESTRUTURA!E24)</f>
        <v/>
      </c>
      <c r="J23" s="113" t="str">
        <f>IF($G23="","",IF(G23=prazo_subp,1,IFERROR(TRUNC(ESTRUTURA!Y24/ESTRUTURA!AA23,6),0)*100))</f>
        <v/>
      </c>
      <c r="K23" s="112"/>
      <c r="M23" s="110" t="str">
        <f>ESTRUTURA!M24</f>
        <v/>
      </c>
      <c r="N23" s="111" t="str">
        <f>ESTRUTURA!O24</f>
        <v/>
      </c>
      <c r="O23" s="111" t="str">
        <f>ESTRUTURA!Q24</f>
        <v/>
      </c>
      <c r="P23" s="113" t="str">
        <f>IF($M23="","",IF(M23=prazo_sub,1,IFERROR(TRUNC(ESTRUTURA!AE24/ESTRUTURA!AG23,6),0)*100))</f>
        <v/>
      </c>
      <c r="Q23" s="112"/>
    </row>
    <row r="24" spans="1:17" x14ac:dyDescent="0.3">
      <c r="A24" s="110" t="str">
        <f>IF(ESTRUTURA!A25&gt;prazo_se,"",ESTRUTURA!A25)</f>
        <v/>
      </c>
      <c r="B24" s="111" t="str">
        <f>ESTRUTURA!C25</f>
        <v/>
      </c>
      <c r="C24" s="111" t="str">
        <f>ESTRUTURA!E25</f>
        <v/>
      </c>
      <c r="D24" s="113" t="str">
        <f>IF($A24="","",IF(A24=prazo_se,1,IFERROR(TRUNC(ESTRUTURA!R25/ESTRUTURA!T24,6),0)*100))</f>
        <v/>
      </c>
      <c r="E24" s="112"/>
      <c r="G24" s="110" t="str">
        <f>IF(ESTRUTURA!A25&gt;prazo_subp,"",ESTRUTURA!A25)</f>
        <v/>
      </c>
      <c r="H24" s="111" t="str">
        <f>IF(G24="","",ESTRUTURA!C25)</f>
        <v/>
      </c>
      <c r="I24" s="111" t="str">
        <f>IF(G24="","",ESTRUTURA!E25)</f>
        <v/>
      </c>
      <c r="J24" s="113" t="str">
        <f>IF($G24="","",IF(G24=prazo_subp,1,IFERROR(TRUNC(ESTRUTURA!Y25/ESTRUTURA!AA24,6),0)*100))</f>
        <v/>
      </c>
      <c r="K24" s="112"/>
      <c r="M24" s="110" t="str">
        <f>ESTRUTURA!M25</f>
        <v/>
      </c>
      <c r="N24" s="111" t="str">
        <f>ESTRUTURA!O25</f>
        <v/>
      </c>
      <c r="O24" s="111" t="str">
        <f>ESTRUTURA!Q25</f>
        <v/>
      </c>
      <c r="P24" s="113" t="str">
        <f>IF($M24="","",IF(M24=prazo_sub,1,IFERROR(TRUNC(ESTRUTURA!AE25/ESTRUTURA!AG24,6),0)*100))</f>
        <v/>
      </c>
      <c r="Q24" s="112"/>
    </row>
    <row r="25" spans="1:17" x14ac:dyDescent="0.3">
      <c r="A25" s="110" t="str">
        <f>IF(ESTRUTURA!A26&gt;prazo_se,"",ESTRUTURA!A26)</f>
        <v/>
      </c>
      <c r="B25" s="111" t="str">
        <f>ESTRUTURA!C26</f>
        <v/>
      </c>
      <c r="C25" s="111" t="str">
        <f>ESTRUTURA!E26</f>
        <v/>
      </c>
      <c r="D25" s="113" t="str">
        <f>IF($A25="","",IF(A25=prazo_se,1,IFERROR(TRUNC(ESTRUTURA!R26/ESTRUTURA!T25,6),0)*100))</f>
        <v/>
      </c>
      <c r="E25" s="112"/>
      <c r="G25" s="110" t="str">
        <f>IF(ESTRUTURA!A26&gt;prazo_subp,"",ESTRUTURA!A26)</f>
        <v/>
      </c>
      <c r="H25" s="111" t="str">
        <f>IF(G25="","",ESTRUTURA!C26)</f>
        <v/>
      </c>
      <c r="I25" s="111" t="str">
        <f>IF(G25="","",ESTRUTURA!E26)</f>
        <v/>
      </c>
      <c r="J25" s="113" t="str">
        <f>IF($G25="","",IF(G25=prazo_subp,1,IFERROR(TRUNC(ESTRUTURA!Y26/ESTRUTURA!AA25,6),0)*100))</f>
        <v/>
      </c>
      <c r="K25" s="112"/>
      <c r="M25" s="110" t="str">
        <f>ESTRUTURA!M26</f>
        <v/>
      </c>
      <c r="N25" s="111" t="str">
        <f>ESTRUTURA!O26</f>
        <v/>
      </c>
      <c r="O25" s="111" t="str">
        <f>ESTRUTURA!Q26</f>
        <v/>
      </c>
      <c r="P25" s="113" t="str">
        <f>IF($M25="","",IF(M25=prazo_sub,1,IFERROR(TRUNC(ESTRUTURA!AE26/ESTRUTURA!AG25,6),0)*100))</f>
        <v/>
      </c>
      <c r="Q25" s="112"/>
    </row>
    <row r="26" spans="1:17" x14ac:dyDescent="0.3">
      <c r="A26" s="110" t="str">
        <f>IF(ESTRUTURA!A27&gt;prazo_se,"",ESTRUTURA!A27)</f>
        <v/>
      </c>
      <c r="B26" s="111" t="str">
        <f>ESTRUTURA!C27</f>
        <v/>
      </c>
      <c r="C26" s="111" t="str">
        <f>ESTRUTURA!E27</f>
        <v/>
      </c>
      <c r="D26" s="113" t="str">
        <f>IF($A26="","",IF(A26=prazo_se,1,IFERROR(TRUNC(ESTRUTURA!R27/ESTRUTURA!T26,6),0)*100))</f>
        <v/>
      </c>
      <c r="E26" s="112"/>
      <c r="G26" s="110" t="str">
        <f>IF(ESTRUTURA!A27&gt;prazo_subp,"",ESTRUTURA!A27)</f>
        <v/>
      </c>
      <c r="H26" s="111" t="str">
        <f>IF(G26="","",ESTRUTURA!C27)</f>
        <v/>
      </c>
      <c r="I26" s="111" t="str">
        <f>IF(G26="","",ESTRUTURA!E27)</f>
        <v/>
      </c>
      <c r="J26" s="113" t="str">
        <f>IF($G26="","",IF(G26=prazo_subp,1,IFERROR(TRUNC(ESTRUTURA!Y27/ESTRUTURA!AA26,6),0)*100))</f>
        <v/>
      </c>
      <c r="K26" s="112"/>
      <c r="M26" s="110" t="str">
        <f>ESTRUTURA!M27</f>
        <v/>
      </c>
      <c r="N26" s="111" t="str">
        <f>ESTRUTURA!O27</f>
        <v/>
      </c>
      <c r="O26" s="111" t="str">
        <f>ESTRUTURA!Q27</f>
        <v/>
      </c>
      <c r="P26" s="113" t="str">
        <f>IF($M26="","",IF(M26=prazo_sub,1,IFERROR(TRUNC(ESTRUTURA!AE27/ESTRUTURA!AG26,6),0)*100))</f>
        <v/>
      </c>
      <c r="Q26" s="112"/>
    </row>
    <row r="27" spans="1:17" x14ac:dyDescent="0.3">
      <c r="A27" s="110" t="str">
        <f>IF(ESTRUTURA!A28&gt;prazo_se,"",ESTRUTURA!A28)</f>
        <v/>
      </c>
      <c r="B27" s="111" t="str">
        <f>ESTRUTURA!C28</f>
        <v/>
      </c>
      <c r="C27" s="111" t="str">
        <f>ESTRUTURA!E28</f>
        <v/>
      </c>
      <c r="D27" s="113" t="str">
        <f>IF($A27="","",IF(A27=prazo_se,1,IFERROR(TRUNC(ESTRUTURA!R28/ESTRUTURA!T27,6),0)*100))</f>
        <v/>
      </c>
      <c r="E27" s="112"/>
      <c r="G27" s="110" t="str">
        <f>IF(ESTRUTURA!A28&gt;prazo_subp,"",ESTRUTURA!A28)</f>
        <v/>
      </c>
      <c r="H27" s="111" t="str">
        <f>IF(G27="","",ESTRUTURA!C28)</f>
        <v/>
      </c>
      <c r="I27" s="111" t="str">
        <f>IF(G27="","",ESTRUTURA!E28)</f>
        <v/>
      </c>
      <c r="J27" s="113" t="str">
        <f>IF($G27="","",IF(G27=prazo_subp,1,IFERROR(TRUNC(ESTRUTURA!Y28/ESTRUTURA!AA27,6),0)*100))</f>
        <v/>
      </c>
      <c r="K27" s="112"/>
      <c r="M27" s="110" t="str">
        <f>ESTRUTURA!M28</f>
        <v/>
      </c>
      <c r="N27" s="111" t="str">
        <f>ESTRUTURA!O28</f>
        <v/>
      </c>
      <c r="O27" s="111" t="str">
        <f>ESTRUTURA!Q28</f>
        <v/>
      </c>
      <c r="P27" s="113" t="str">
        <f>IF($M27="","",IF(M27=prazo_sub,1,IFERROR(TRUNC(ESTRUTURA!AE28/ESTRUTURA!AG27,6),0)*100))</f>
        <v/>
      </c>
      <c r="Q27" s="112"/>
    </row>
    <row r="28" spans="1:17" x14ac:dyDescent="0.3">
      <c r="A28" s="110" t="str">
        <f>IF(ESTRUTURA!A29&gt;prazo_se,"",ESTRUTURA!A29)</f>
        <v/>
      </c>
      <c r="B28" s="111" t="str">
        <f>ESTRUTURA!C29</f>
        <v/>
      </c>
      <c r="C28" s="111" t="str">
        <f>ESTRUTURA!E29</f>
        <v/>
      </c>
      <c r="D28" s="113" t="str">
        <f>IF($A28="","",IF(A28=prazo_se,1,IFERROR(TRUNC(ESTRUTURA!R29/ESTRUTURA!T28,6),0)*100))</f>
        <v/>
      </c>
      <c r="E28" s="112"/>
      <c r="G28" s="110" t="str">
        <f>IF(ESTRUTURA!A29&gt;prazo_subp,"",ESTRUTURA!A29)</f>
        <v/>
      </c>
      <c r="H28" s="111" t="str">
        <f>IF(G28="","",ESTRUTURA!C29)</f>
        <v/>
      </c>
      <c r="I28" s="111" t="str">
        <f>IF(G28="","",ESTRUTURA!E29)</f>
        <v/>
      </c>
      <c r="J28" s="113" t="str">
        <f>IF($G28="","",IF(G28=prazo_subp,1,IFERROR(TRUNC(ESTRUTURA!Y29/ESTRUTURA!AA28,6),0)*100))</f>
        <v/>
      </c>
      <c r="K28" s="112"/>
      <c r="M28" s="110" t="str">
        <f>ESTRUTURA!M29</f>
        <v/>
      </c>
      <c r="N28" s="111" t="str">
        <f>ESTRUTURA!O29</f>
        <v/>
      </c>
      <c r="O28" s="111" t="str">
        <f>ESTRUTURA!Q29</f>
        <v/>
      </c>
      <c r="P28" s="113" t="str">
        <f>IF($M28="","",IF(M28=prazo_sub,1,IFERROR(TRUNC(ESTRUTURA!AE29/ESTRUTURA!AG28,6),0)*100))</f>
        <v/>
      </c>
      <c r="Q28" s="112"/>
    </row>
    <row r="29" spans="1:17" x14ac:dyDescent="0.3">
      <c r="A29" s="110" t="str">
        <f>IF(ESTRUTURA!A30&gt;prazo_se,"",ESTRUTURA!A30)</f>
        <v/>
      </c>
      <c r="B29" s="111" t="str">
        <f>ESTRUTURA!C30</f>
        <v/>
      </c>
      <c r="C29" s="111" t="str">
        <f>ESTRUTURA!E30</f>
        <v/>
      </c>
      <c r="D29" s="113" t="str">
        <f>IF($A29="","",IF(A29=prazo_se,1,IFERROR(TRUNC(ESTRUTURA!R30/ESTRUTURA!T29,6),0)*100))</f>
        <v/>
      </c>
      <c r="E29" s="112"/>
      <c r="G29" s="110" t="str">
        <f>IF(ESTRUTURA!A30&gt;prazo_subp,"",ESTRUTURA!A30)</f>
        <v/>
      </c>
      <c r="H29" s="111" t="str">
        <f>IF(G29="","",ESTRUTURA!C30)</f>
        <v/>
      </c>
      <c r="I29" s="111" t="str">
        <f>IF(G29="","",ESTRUTURA!E30)</f>
        <v/>
      </c>
      <c r="J29" s="113" t="str">
        <f>IF($G29="","",IF(G29=prazo_subp,1,IFERROR(TRUNC(ESTRUTURA!Y30/ESTRUTURA!AA29,6),0)*100))</f>
        <v/>
      </c>
      <c r="K29" s="112"/>
      <c r="M29" s="110" t="str">
        <f>ESTRUTURA!M30</f>
        <v/>
      </c>
      <c r="N29" s="111" t="str">
        <f>ESTRUTURA!O30</f>
        <v/>
      </c>
      <c r="O29" s="111" t="str">
        <f>ESTRUTURA!Q30</f>
        <v/>
      </c>
      <c r="P29" s="113" t="str">
        <f>IF($M29="","",IF(M29=prazo_sub,1,IFERROR(TRUNC(ESTRUTURA!AE30/ESTRUTURA!AG29,6),0)*100))</f>
        <v/>
      </c>
      <c r="Q29" s="112"/>
    </row>
    <row r="30" spans="1:17" x14ac:dyDescent="0.3">
      <c r="A30" s="110" t="str">
        <f>IF(ESTRUTURA!A31&gt;prazo_se,"",ESTRUTURA!A31)</f>
        <v/>
      </c>
      <c r="B30" s="111" t="str">
        <f>ESTRUTURA!C31</f>
        <v/>
      </c>
      <c r="C30" s="111" t="str">
        <f>ESTRUTURA!E31</f>
        <v/>
      </c>
      <c r="D30" s="113" t="str">
        <f>IF($A30="","",IF(A30=prazo_se,1,IFERROR(TRUNC(ESTRUTURA!R31/ESTRUTURA!T30,6),0)*100))</f>
        <v/>
      </c>
      <c r="E30" s="112"/>
      <c r="G30" s="110" t="str">
        <f>IF(ESTRUTURA!A31&gt;prazo_subp,"",ESTRUTURA!A31)</f>
        <v/>
      </c>
      <c r="H30" s="111" t="str">
        <f>IF(G30="","",ESTRUTURA!C31)</f>
        <v/>
      </c>
      <c r="I30" s="111" t="str">
        <f>IF(G30="","",ESTRUTURA!E31)</f>
        <v/>
      </c>
      <c r="J30" s="113" t="str">
        <f>IF($G30="","",IF(G30=prazo_subp,1,IFERROR(TRUNC(ESTRUTURA!Y31/ESTRUTURA!AA30,6),0)*100))</f>
        <v/>
      </c>
      <c r="K30" s="112"/>
      <c r="M30" s="110" t="str">
        <f>ESTRUTURA!M31</f>
        <v/>
      </c>
      <c r="N30" s="111" t="str">
        <f>ESTRUTURA!O31</f>
        <v/>
      </c>
      <c r="O30" s="111" t="str">
        <f>ESTRUTURA!Q31</f>
        <v/>
      </c>
      <c r="P30" s="113" t="str">
        <f>IF($M30="","",IF(M30=prazo_sub,1,IFERROR(TRUNC(ESTRUTURA!AE31/ESTRUTURA!AG30,6),0)*100))</f>
        <v/>
      </c>
      <c r="Q30" s="112"/>
    </row>
    <row r="31" spans="1:17" x14ac:dyDescent="0.3">
      <c r="A31" s="110" t="str">
        <f>IF(ESTRUTURA!A32&gt;prazo_se,"",ESTRUTURA!A32)</f>
        <v/>
      </c>
      <c r="B31" s="111" t="str">
        <f>ESTRUTURA!C32</f>
        <v/>
      </c>
      <c r="C31" s="111" t="str">
        <f>ESTRUTURA!E32</f>
        <v/>
      </c>
      <c r="D31" s="113" t="str">
        <f>IF($A31="","",IF(A31=prazo_se,1,IFERROR(TRUNC(ESTRUTURA!R32/ESTRUTURA!T31,6),0)*100))</f>
        <v/>
      </c>
      <c r="E31" s="112"/>
      <c r="G31" s="110" t="str">
        <f>IF(ESTRUTURA!A32&gt;prazo_subp,"",ESTRUTURA!A32)</f>
        <v/>
      </c>
      <c r="H31" s="111" t="str">
        <f>IF(G31="","",ESTRUTURA!C32)</f>
        <v/>
      </c>
      <c r="I31" s="111" t="str">
        <f>IF(G31="","",ESTRUTURA!E32)</f>
        <v/>
      </c>
      <c r="J31" s="113" t="str">
        <f>IF($G31="","",IF(G31=prazo_subp,1,IFERROR(TRUNC(ESTRUTURA!Y32/ESTRUTURA!AA31,6),0)*100))</f>
        <v/>
      </c>
      <c r="K31" s="112"/>
      <c r="M31" s="110" t="str">
        <f>ESTRUTURA!M32</f>
        <v/>
      </c>
      <c r="N31" s="111" t="str">
        <f>ESTRUTURA!O32</f>
        <v/>
      </c>
      <c r="O31" s="111" t="str">
        <f>ESTRUTURA!Q32</f>
        <v/>
      </c>
      <c r="P31" s="113" t="str">
        <f>IF($M31="","",IF(M31=prazo_sub,1,IFERROR(TRUNC(ESTRUTURA!AE32/ESTRUTURA!AG31,6),0)*100))</f>
        <v/>
      </c>
      <c r="Q31" s="112"/>
    </row>
    <row r="32" spans="1:17" x14ac:dyDescent="0.3">
      <c r="A32" s="110" t="str">
        <f>IF(ESTRUTURA!A33&gt;prazo_se,"",ESTRUTURA!A33)</f>
        <v/>
      </c>
      <c r="B32" s="111" t="str">
        <f>ESTRUTURA!C33</f>
        <v/>
      </c>
      <c r="C32" s="111" t="str">
        <f>ESTRUTURA!E33</f>
        <v/>
      </c>
      <c r="D32" s="113" t="str">
        <f>IF($A32="","",IF(A32=prazo_se,1,IFERROR(TRUNC(ESTRUTURA!R33/ESTRUTURA!T32,6),0)*100))</f>
        <v/>
      </c>
      <c r="E32" s="112"/>
      <c r="G32" s="110" t="str">
        <f>IF(ESTRUTURA!A33&gt;prazo_subp,"",ESTRUTURA!A33)</f>
        <v/>
      </c>
      <c r="H32" s="111" t="str">
        <f>IF(G32="","",ESTRUTURA!C33)</f>
        <v/>
      </c>
      <c r="I32" s="111" t="str">
        <f>IF(G32="","",ESTRUTURA!E33)</f>
        <v/>
      </c>
      <c r="J32" s="113" t="str">
        <f>IF($G32="","",IF(G32=prazo_subp,1,IFERROR(TRUNC(ESTRUTURA!Y33/ESTRUTURA!AA32,6),0)*100))</f>
        <v/>
      </c>
      <c r="K32" s="112"/>
      <c r="M32" s="110" t="str">
        <f>ESTRUTURA!M33</f>
        <v/>
      </c>
      <c r="N32" s="111" t="str">
        <f>ESTRUTURA!O33</f>
        <v/>
      </c>
      <c r="O32" s="111" t="str">
        <f>ESTRUTURA!Q33</f>
        <v/>
      </c>
      <c r="P32" s="113" t="str">
        <f>IF($M32="","",IF(M32=prazo_sub,1,IFERROR(TRUNC(ESTRUTURA!AE33/ESTRUTURA!AG32,6),0)*100))</f>
        <v/>
      </c>
      <c r="Q32" s="112"/>
    </row>
    <row r="33" spans="1:17" x14ac:dyDescent="0.3">
      <c r="A33" s="110" t="str">
        <f>IF(ESTRUTURA!A34&gt;prazo_se,"",ESTRUTURA!A34)</f>
        <v/>
      </c>
      <c r="B33" s="111" t="str">
        <f>ESTRUTURA!C34</f>
        <v/>
      </c>
      <c r="C33" s="111" t="str">
        <f>ESTRUTURA!E34</f>
        <v/>
      </c>
      <c r="D33" s="113" t="str">
        <f>IF($A33="","",IF(A33=prazo_se,1,IFERROR(TRUNC(ESTRUTURA!R34/ESTRUTURA!T33,6),0)*100))</f>
        <v/>
      </c>
      <c r="E33" s="112"/>
      <c r="G33" s="110" t="str">
        <f>IF(ESTRUTURA!A34&gt;prazo_subp,"",ESTRUTURA!A34)</f>
        <v/>
      </c>
      <c r="H33" s="111" t="str">
        <f>IF(G33="","",ESTRUTURA!C34)</f>
        <v/>
      </c>
      <c r="I33" s="111" t="str">
        <f>IF(G33="","",ESTRUTURA!E34)</f>
        <v/>
      </c>
      <c r="J33" s="113" t="str">
        <f>IF($G33="","",IF(G33=prazo_subp,1,IFERROR(TRUNC(ESTRUTURA!Y34/ESTRUTURA!AA33,6),0)*100))</f>
        <v/>
      </c>
      <c r="K33" s="112"/>
      <c r="M33" s="110" t="str">
        <f>ESTRUTURA!M34</f>
        <v/>
      </c>
      <c r="N33" s="111" t="str">
        <f>ESTRUTURA!O34</f>
        <v/>
      </c>
      <c r="O33" s="111" t="str">
        <f>ESTRUTURA!Q34</f>
        <v/>
      </c>
      <c r="P33" s="113" t="str">
        <f>IF($M33="","",IF(M33=prazo_sub,1,IFERROR(TRUNC(ESTRUTURA!AE34/ESTRUTURA!AG33,6),0)*100))</f>
        <v/>
      </c>
      <c r="Q33" s="112"/>
    </row>
    <row r="34" spans="1:17" x14ac:dyDescent="0.3">
      <c r="A34" s="110" t="str">
        <f>IF(ESTRUTURA!A35&gt;prazo_se,"",ESTRUTURA!A35)</f>
        <v/>
      </c>
      <c r="B34" s="111" t="str">
        <f>ESTRUTURA!C35</f>
        <v/>
      </c>
      <c r="C34" s="111" t="str">
        <f>ESTRUTURA!E35</f>
        <v/>
      </c>
      <c r="D34" s="113" t="str">
        <f>IF($A34="","",IF(A34=prazo_se,1,IFERROR(TRUNC(ESTRUTURA!R35/ESTRUTURA!T34,6),0)*100))</f>
        <v/>
      </c>
      <c r="E34" s="112"/>
      <c r="G34" s="110" t="str">
        <f>IF(ESTRUTURA!A35&gt;prazo_subp,"",ESTRUTURA!A35)</f>
        <v/>
      </c>
      <c r="H34" s="111" t="str">
        <f>IF(G34="","",ESTRUTURA!C35)</f>
        <v/>
      </c>
      <c r="I34" s="111" t="str">
        <f>IF(G34="","",ESTRUTURA!E35)</f>
        <v/>
      </c>
      <c r="J34" s="113" t="str">
        <f>IF($G34="","",IF(G34=prazo_subp,1,IFERROR(TRUNC(ESTRUTURA!Y35/ESTRUTURA!AA34,6),0)*100))</f>
        <v/>
      </c>
      <c r="K34" s="112"/>
      <c r="M34" s="110" t="str">
        <f>ESTRUTURA!M35</f>
        <v/>
      </c>
      <c r="N34" s="111" t="str">
        <f>ESTRUTURA!O35</f>
        <v/>
      </c>
      <c r="O34" s="111" t="str">
        <f>ESTRUTURA!Q35</f>
        <v/>
      </c>
      <c r="P34" s="113" t="str">
        <f>IF($M34="","",IF(M34=prazo_sub,1,IFERROR(TRUNC(ESTRUTURA!AE35/ESTRUTURA!AG34,6),0)*100))</f>
        <v/>
      </c>
      <c r="Q34" s="112"/>
    </row>
    <row r="35" spans="1:17" x14ac:dyDescent="0.3">
      <c r="A35" s="110" t="str">
        <f>IF(ESTRUTURA!A36&gt;prazo_se,"",ESTRUTURA!A36)</f>
        <v/>
      </c>
      <c r="B35" s="111" t="str">
        <f>ESTRUTURA!C36</f>
        <v/>
      </c>
      <c r="C35" s="111" t="str">
        <f>ESTRUTURA!E36</f>
        <v/>
      </c>
      <c r="D35" s="113" t="str">
        <f>IF($A35="","",IF(A35=prazo_se,1,IFERROR(TRUNC(ESTRUTURA!R36/ESTRUTURA!T35,6),0)*100))</f>
        <v/>
      </c>
      <c r="E35" s="112"/>
      <c r="G35" s="110" t="str">
        <f>IF(ESTRUTURA!A36&gt;prazo_subp,"",ESTRUTURA!A36)</f>
        <v/>
      </c>
      <c r="H35" s="111" t="str">
        <f>IF(G35="","",ESTRUTURA!C36)</f>
        <v/>
      </c>
      <c r="I35" s="111" t="str">
        <f>IF(G35="","",ESTRUTURA!E36)</f>
        <v/>
      </c>
      <c r="J35" s="113" t="str">
        <f>IF($G35="","",IF(G35=prazo_subp,1,IFERROR(TRUNC(ESTRUTURA!Y36/ESTRUTURA!AA35,6),0)*100))</f>
        <v/>
      </c>
      <c r="K35" s="112"/>
      <c r="M35" s="110" t="str">
        <f>ESTRUTURA!M36</f>
        <v/>
      </c>
      <c r="N35" s="111" t="str">
        <f>ESTRUTURA!O36</f>
        <v/>
      </c>
      <c r="O35" s="111" t="str">
        <f>ESTRUTURA!Q36</f>
        <v/>
      </c>
      <c r="P35" s="113" t="str">
        <f>IF($M35="","",IF(M35=prazo_sub,1,IFERROR(TRUNC(ESTRUTURA!AE36/ESTRUTURA!AG35,6),0)*100))</f>
        <v/>
      </c>
      <c r="Q35" s="112"/>
    </row>
    <row r="36" spans="1:17" x14ac:dyDescent="0.3">
      <c r="A36" s="110" t="str">
        <f>IF(ESTRUTURA!A37&gt;prazo_se,"",ESTRUTURA!A37)</f>
        <v/>
      </c>
      <c r="B36" s="111" t="str">
        <f>ESTRUTURA!C37</f>
        <v/>
      </c>
      <c r="C36" s="111" t="str">
        <f>ESTRUTURA!E37</f>
        <v/>
      </c>
      <c r="D36" s="113" t="str">
        <f>IF($A36="","",IF(A36=prazo_se,1,IFERROR(TRUNC(ESTRUTURA!R37/ESTRUTURA!T36,6),0)*100))</f>
        <v/>
      </c>
      <c r="E36" s="112"/>
      <c r="G36" s="110" t="str">
        <f>IF(ESTRUTURA!A37&gt;prazo_subp,"",ESTRUTURA!A37)</f>
        <v/>
      </c>
      <c r="H36" s="111" t="str">
        <f>IF(G36="","",ESTRUTURA!C37)</f>
        <v/>
      </c>
      <c r="I36" s="111" t="str">
        <f>IF(G36="","",ESTRUTURA!E37)</f>
        <v/>
      </c>
      <c r="J36" s="113" t="str">
        <f>IF($G36="","",IF(G36=prazo_subp,1,IFERROR(TRUNC(ESTRUTURA!Y37/ESTRUTURA!AA36,6),0)*100))</f>
        <v/>
      </c>
      <c r="K36" s="112"/>
      <c r="M36" s="110" t="str">
        <f>ESTRUTURA!M37</f>
        <v/>
      </c>
      <c r="N36" s="111" t="str">
        <f>ESTRUTURA!O37</f>
        <v/>
      </c>
      <c r="O36" s="111" t="str">
        <f>ESTRUTURA!Q37</f>
        <v/>
      </c>
      <c r="P36" s="113" t="str">
        <f>IF($M36="","",IF(M36=prazo_sub,1,IFERROR(TRUNC(ESTRUTURA!AE37/ESTRUTURA!AG36,6),0)*100))</f>
        <v/>
      </c>
      <c r="Q36" s="112"/>
    </row>
    <row r="37" spans="1:17" x14ac:dyDescent="0.3">
      <c r="A37" s="110" t="str">
        <f>IF(ESTRUTURA!A38&gt;prazo_se,"",ESTRUTURA!A38)</f>
        <v/>
      </c>
      <c r="B37" s="111" t="str">
        <f>ESTRUTURA!C38</f>
        <v/>
      </c>
      <c r="C37" s="111" t="str">
        <f>ESTRUTURA!E38</f>
        <v/>
      </c>
      <c r="D37" s="113" t="str">
        <f>IF($A37="","",IF(A37=prazo_se,1,IFERROR(TRUNC(ESTRUTURA!R38/ESTRUTURA!T37,6),0)*100))</f>
        <v/>
      </c>
      <c r="E37" s="112"/>
      <c r="G37" s="110" t="str">
        <f>IF(ESTRUTURA!A38&gt;prazo_subp,"",ESTRUTURA!A38)</f>
        <v/>
      </c>
      <c r="H37" s="111" t="str">
        <f>IF(G37="","",ESTRUTURA!C38)</f>
        <v/>
      </c>
      <c r="I37" s="111" t="str">
        <f>IF(G37="","",ESTRUTURA!E38)</f>
        <v/>
      </c>
      <c r="J37" s="113" t="str">
        <f>IF($G37="","",IF(G37=prazo_subp,1,IFERROR(TRUNC(ESTRUTURA!Y38/ESTRUTURA!AA37,6),0)*100))</f>
        <v/>
      </c>
      <c r="K37" s="112"/>
      <c r="M37" s="110" t="str">
        <f>ESTRUTURA!M38</f>
        <v/>
      </c>
      <c r="N37" s="111" t="str">
        <f>ESTRUTURA!O38</f>
        <v/>
      </c>
      <c r="O37" s="111" t="str">
        <f>ESTRUTURA!Q38</f>
        <v/>
      </c>
      <c r="P37" s="113" t="str">
        <f>IF($M37="","",IF(M37=prazo_sub,1,IFERROR(TRUNC(ESTRUTURA!AE38/ESTRUTURA!AG37,6),0)*100))</f>
        <v/>
      </c>
      <c r="Q37" s="112"/>
    </row>
    <row r="38" spans="1:17" x14ac:dyDescent="0.3">
      <c r="A38" s="110" t="str">
        <f>IF(ESTRUTURA!A39&gt;prazo_se,"",ESTRUTURA!A39)</f>
        <v/>
      </c>
      <c r="B38" s="111" t="str">
        <f>ESTRUTURA!C39</f>
        <v/>
      </c>
      <c r="C38" s="111" t="str">
        <f>ESTRUTURA!E39</f>
        <v/>
      </c>
      <c r="D38" s="113" t="str">
        <f>IF($A38="","",IF(A38=prazo_se,1,IFERROR(TRUNC(ESTRUTURA!R39/ESTRUTURA!T38,6),0)*100))</f>
        <v/>
      </c>
      <c r="E38" s="112"/>
      <c r="G38" s="110" t="str">
        <f>IF(ESTRUTURA!A39&gt;prazo_subp,"",ESTRUTURA!A39)</f>
        <v/>
      </c>
      <c r="H38" s="111" t="str">
        <f>IF(G38="","",ESTRUTURA!C39)</f>
        <v/>
      </c>
      <c r="I38" s="111" t="str">
        <f>IF(G38="","",ESTRUTURA!E39)</f>
        <v/>
      </c>
      <c r="J38" s="113" t="str">
        <f>IF($G38="","",IF(G38=prazo_subp,1,IFERROR(TRUNC(ESTRUTURA!Y39/ESTRUTURA!AA38,6),0)*100))</f>
        <v/>
      </c>
      <c r="K38" s="112"/>
      <c r="M38" s="110" t="str">
        <f>ESTRUTURA!M39</f>
        <v/>
      </c>
      <c r="N38" s="111" t="str">
        <f>ESTRUTURA!O39</f>
        <v/>
      </c>
      <c r="O38" s="111" t="str">
        <f>ESTRUTURA!Q39</f>
        <v/>
      </c>
      <c r="P38" s="113" t="str">
        <f>IF($M38="","",IF(M38=prazo_sub,1,IFERROR(TRUNC(ESTRUTURA!AE39/ESTRUTURA!AG38,6),0)*100))</f>
        <v/>
      </c>
      <c r="Q38" s="112"/>
    </row>
    <row r="39" spans="1:17" x14ac:dyDescent="0.3">
      <c r="A39" s="110" t="str">
        <f>IF(ESTRUTURA!A40&gt;prazo_se,"",ESTRUTURA!A40)</f>
        <v/>
      </c>
      <c r="B39" s="111" t="str">
        <f>ESTRUTURA!C40</f>
        <v/>
      </c>
      <c r="C39" s="111" t="str">
        <f>ESTRUTURA!E40</f>
        <v/>
      </c>
      <c r="D39" s="113" t="str">
        <f>IF($A39="","",IF(A39=prazo_se,1,IFERROR(TRUNC(ESTRUTURA!R40/ESTRUTURA!T39,6),0)*100))</f>
        <v/>
      </c>
      <c r="E39" s="112"/>
      <c r="G39" s="110" t="str">
        <f>IF(ESTRUTURA!A40&gt;prazo_subp,"",ESTRUTURA!A40)</f>
        <v/>
      </c>
      <c r="H39" s="111" t="str">
        <f>IF(G39="","",ESTRUTURA!C40)</f>
        <v/>
      </c>
      <c r="I39" s="111" t="str">
        <f>IF(G39="","",ESTRUTURA!E40)</f>
        <v/>
      </c>
      <c r="J39" s="113" t="str">
        <f>IF($G39="","",IF(G39=prazo_subp,1,IFERROR(TRUNC(ESTRUTURA!Y40/ESTRUTURA!AA39,6),0)*100))</f>
        <v/>
      </c>
      <c r="K39" s="112"/>
      <c r="M39" s="110" t="str">
        <f>ESTRUTURA!M40</f>
        <v/>
      </c>
      <c r="N39" s="111" t="str">
        <f>ESTRUTURA!O40</f>
        <v/>
      </c>
      <c r="O39" s="111" t="str">
        <f>ESTRUTURA!Q40</f>
        <v/>
      </c>
      <c r="P39" s="113" t="str">
        <f>IF($M39="","",IF(M39=prazo_sub,1,IFERROR(TRUNC(ESTRUTURA!AE40/ESTRUTURA!AG39,6),0)*100))</f>
        <v/>
      </c>
      <c r="Q39" s="112"/>
    </row>
    <row r="40" spans="1:17" x14ac:dyDescent="0.3">
      <c r="A40" s="110" t="str">
        <f>IF(ESTRUTURA!A41&gt;prazo_se,"",ESTRUTURA!A41)</f>
        <v/>
      </c>
      <c r="B40" s="111" t="str">
        <f>ESTRUTURA!C41</f>
        <v/>
      </c>
      <c r="C40" s="111" t="str">
        <f>ESTRUTURA!E41</f>
        <v/>
      </c>
      <c r="D40" s="113" t="str">
        <f>IF($A40="","",IF(A40=prazo_se,1,IFERROR(TRUNC(ESTRUTURA!R41/ESTRUTURA!T40,6),0)*100))</f>
        <v/>
      </c>
      <c r="E40" s="112"/>
      <c r="G40" s="110" t="str">
        <f>IF(ESTRUTURA!A41&gt;prazo_subp,"",ESTRUTURA!A41)</f>
        <v/>
      </c>
      <c r="H40" s="111" t="str">
        <f>IF(G40="","",ESTRUTURA!C41)</f>
        <v/>
      </c>
      <c r="I40" s="111" t="str">
        <f>IF(G40="","",ESTRUTURA!E41)</f>
        <v/>
      </c>
      <c r="J40" s="113" t="str">
        <f>IF($G40="","",IF(G40=prazo_subp,1,IFERROR(TRUNC(ESTRUTURA!Y41/ESTRUTURA!AA40,6),0)*100))</f>
        <v/>
      </c>
      <c r="K40" s="112"/>
      <c r="M40" s="110" t="str">
        <f>ESTRUTURA!M41</f>
        <v/>
      </c>
      <c r="N40" s="111" t="str">
        <f>ESTRUTURA!O41</f>
        <v/>
      </c>
      <c r="O40" s="111" t="str">
        <f>ESTRUTURA!Q41</f>
        <v/>
      </c>
      <c r="P40" s="113" t="str">
        <f>IF($M40="","",IF(M40=prazo_sub,1,IFERROR(TRUNC(ESTRUTURA!AE41/ESTRUTURA!AG40,6),0)*100))</f>
        <v/>
      </c>
      <c r="Q40" s="112"/>
    </row>
    <row r="41" spans="1:17" x14ac:dyDescent="0.3">
      <c r="A41" s="110" t="str">
        <f>IF(ESTRUTURA!A42&gt;prazo_se,"",ESTRUTURA!A42)</f>
        <v/>
      </c>
      <c r="B41" s="111" t="str">
        <f>ESTRUTURA!C42</f>
        <v/>
      </c>
      <c r="C41" s="111" t="str">
        <f>ESTRUTURA!E42</f>
        <v/>
      </c>
      <c r="D41" s="113" t="str">
        <f>IF($A41="","",IF(A41=prazo_se,1,IFERROR(TRUNC(ESTRUTURA!R42/ESTRUTURA!T41,6),0)*100))</f>
        <v/>
      </c>
      <c r="E41" s="112"/>
      <c r="G41" s="110" t="str">
        <f>IF(ESTRUTURA!A42&gt;prazo_subp,"",ESTRUTURA!A42)</f>
        <v/>
      </c>
      <c r="H41" s="111" t="str">
        <f>IF(G41="","",ESTRUTURA!C42)</f>
        <v/>
      </c>
      <c r="I41" s="111" t="str">
        <f>IF(G41="","",ESTRUTURA!E42)</f>
        <v/>
      </c>
      <c r="J41" s="113" t="str">
        <f>IF($G41="","",IF(G41=prazo_subp,1,IFERROR(TRUNC(ESTRUTURA!Y42/ESTRUTURA!AA41,6),0)*100))</f>
        <v/>
      </c>
      <c r="K41" s="112"/>
      <c r="M41" s="110" t="str">
        <f>ESTRUTURA!M42</f>
        <v/>
      </c>
      <c r="N41" s="111" t="str">
        <f>ESTRUTURA!O42</f>
        <v/>
      </c>
      <c r="O41" s="111" t="str">
        <f>ESTRUTURA!Q42</f>
        <v/>
      </c>
      <c r="P41" s="113" t="str">
        <f>IF($M41="","",IF(M41=prazo_sub,1,IFERROR(TRUNC(ESTRUTURA!AE42/ESTRUTURA!AG41,6),0)*100))</f>
        <v/>
      </c>
      <c r="Q41" s="112"/>
    </row>
    <row r="42" spans="1:17" x14ac:dyDescent="0.3">
      <c r="A42" s="110" t="str">
        <f>IF(ESTRUTURA!A43&gt;prazo_se,"",ESTRUTURA!A43)</f>
        <v/>
      </c>
      <c r="B42" s="111" t="str">
        <f>ESTRUTURA!C43</f>
        <v/>
      </c>
      <c r="C42" s="111" t="str">
        <f>ESTRUTURA!E43</f>
        <v/>
      </c>
      <c r="D42" s="113" t="str">
        <f>IF($A42="","",IF(A42=prazo_se,1,IFERROR(TRUNC(ESTRUTURA!R43/ESTRUTURA!T42,6),0)*100))</f>
        <v/>
      </c>
      <c r="E42" s="112"/>
      <c r="G42" s="110" t="str">
        <f>IF(ESTRUTURA!A43&gt;prazo_subp,"",ESTRUTURA!A43)</f>
        <v/>
      </c>
      <c r="H42" s="111" t="str">
        <f>IF(G42="","",ESTRUTURA!C43)</f>
        <v/>
      </c>
      <c r="I42" s="111" t="str">
        <f>IF(G42="","",ESTRUTURA!E43)</f>
        <v/>
      </c>
      <c r="J42" s="113" t="str">
        <f>IF($G42="","",IF(G42=prazo_subp,1,IFERROR(TRUNC(ESTRUTURA!Y43/ESTRUTURA!AA42,6),0)*100))</f>
        <v/>
      </c>
      <c r="K42" s="112"/>
      <c r="M42" s="110" t="str">
        <f>ESTRUTURA!M43</f>
        <v/>
      </c>
      <c r="N42" s="111" t="str">
        <f>ESTRUTURA!O43</f>
        <v/>
      </c>
      <c r="O42" s="111" t="str">
        <f>ESTRUTURA!Q43</f>
        <v/>
      </c>
      <c r="P42" s="113" t="str">
        <f>IF($M42="","",IF(M42=prazo_sub,1,IFERROR(TRUNC(ESTRUTURA!AE43/ESTRUTURA!AG42,6),0)*100))</f>
        <v/>
      </c>
      <c r="Q42" s="112"/>
    </row>
    <row r="43" spans="1:17" x14ac:dyDescent="0.3">
      <c r="A43" s="110" t="str">
        <f>IF(ESTRUTURA!A44&gt;prazo_se,"",ESTRUTURA!A44)</f>
        <v/>
      </c>
      <c r="B43" s="111" t="str">
        <f>ESTRUTURA!C44</f>
        <v/>
      </c>
      <c r="C43" s="111" t="str">
        <f>ESTRUTURA!E44</f>
        <v/>
      </c>
      <c r="D43" s="113" t="str">
        <f>IF($A43="","",IF(A43=prazo_se,1,IFERROR(TRUNC(ESTRUTURA!R44/ESTRUTURA!T43,6),0)*100))</f>
        <v/>
      </c>
      <c r="E43" s="112"/>
      <c r="G43" s="110" t="str">
        <f>IF(ESTRUTURA!A44&gt;prazo_subp,"",ESTRUTURA!A44)</f>
        <v/>
      </c>
      <c r="H43" s="111" t="str">
        <f>IF(G43="","",ESTRUTURA!C44)</f>
        <v/>
      </c>
      <c r="I43" s="111" t="str">
        <f>IF(G43="","",ESTRUTURA!E44)</f>
        <v/>
      </c>
      <c r="J43" s="113" t="str">
        <f>IF($G43="","",IF(G43=prazo_subp,1,IFERROR(TRUNC(ESTRUTURA!Y44/ESTRUTURA!AA43,6),0)*100))</f>
        <v/>
      </c>
      <c r="K43" s="112"/>
      <c r="M43" s="110" t="str">
        <f>ESTRUTURA!M44</f>
        <v/>
      </c>
      <c r="N43" s="111" t="str">
        <f>ESTRUTURA!O44</f>
        <v/>
      </c>
      <c r="O43" s="111" t="str">
        <f>ESTRUTURA!Q44</f>
        <v/>
      </c>
      <c r="P43" s="113" t="str">
        <f>IF($M43="","",IF(M43=prazo_sub,1,IFERROR(TRUNC(ESTRUTURA!AE44/ESTRUTURA!AG43,6),0)*100))</f>
        <v/>
      </c>
      <c r="Q43" s="112"/>
    </row>
    <row r="44" spans="1:17" x14ac:dyDescent="0.3">
      <c r="A44" s="110" t="str">
        <f>IF(ESTRUTURA!A45&gt;prazo_se,"",ESTRUTURA!A45)</f>
        <v/>
      </c>
      <c r="B44" s="111" t="str">
        <f>ESTRUTURA!C45</f>
        <v/>
      </c>
      <c r="C44" s="111" t="str">
        <f>ESTRUTURA!E45</f>
        <v/>
      </c>
      <c r="D44" s="113" t="str">
        <f>IF($A44="","",IF(A44=prazo_se,1,IFERROR(TRUNC(ESTRUTURA!R45/ESTRUTURA!T44,6),0)*100))</f>
        <v/>
      </c>
      <c r="E44" s="112"/>
      <c r="G44" s="110" t="str">
        <f>IF(ESTRUTURA!A45&gt;prazo_subp,"",ESTRUTURA!A45)</f>
        <v/>
      </c>
      <c r="H44" s="111" t="str">
        <f>IF(G44="","",ESTRUTURA!C45)</f>
        <v/>
      </c>
      <c r="I44" s="111" t="str">
        <f>IF(G44="","",ESTRUTURA!E45)</f>
        <v/>
      </c>
      <c r="J44" s="113" t="str">
        <f>IF($G44="","",IF(G44=prazo_subp,1,IFERROR(TRUNC(ESTRUTURA!Y45/ESTRUTURA!AA44,6),0)*100))</f>
        <v/>
      </c>
      <c r="K44" s="112"/>
      <c r="M44" s="110" t="str">
        <f>ESTRUTURA!M45</f>
        <v/>
      </c>
      <c r="N44" s="111" t="str">
        <f>ESTRUTURA!O45</f>
        <v/>
      </c>
      <c r="O44" s="111" t="str">
        <f>ESTRUTURA!Q45</f>
        <v/>
      </c>
      <c r="P44" s="113" t="str">
        <f>IF($M44="","",IF(M44=prazo_sub,1,IFERROR(TRUNC(ESTRUTURA!AE45/ESTRUTURA!AG44,6),0)*100))</f>
        <v/>
      </c>
      <c r="Q44" s="112"/>
    </row>
    <row r="45" spans="1:17" x14ac:dyDescent="0.3">
      <c r="A45" s="110" t="str">
        <f>IF(ESTRUTURA!A46&gt;prazo_se,"",ESTRUTURA!A46)</f>
        <v/>
      </c>
      <c r="B45" s="111" t="str">
        <f>ESTRUTURA!C46</f>
        <v/>
      </c>
      <c r="C45" s="111" t="str">
        <f>ESTRUTURA!E46</f>
        <v/>
      </c>
      <c r="D45" s="113" t="str">
        <f>IF($A45="","",IF(A45=prazo_se,1,IFERROR(TRUNC(ESTRUTURA!R46/ESTRUTURA!T45,6),0)*100))</f>
        <v/>
      </c>
      <c r="E45" s="112"/>
      <c r="G45" s="110" t="str">
        <f>IF(ESTRUTURA!A46&gt;prazo_subp,"",ESTRUTURA!A46)</f>
        <v/>
      </c>
      <c r="H45" s="111" t="str">
        <f>IF(G45="","",ESTRUTURA!C46)</f>
        <v/>
      </c>
      <c r="I45" s="111" t="str">
        <f>IF(G45="","",ESTRUTURA!E46)</f>
        <v/>
      </c>
      <c r="J45" s="113" t="str">
        <f>IF($G45="","",IF(G45=prazo_subp,1,IFERROR(TRUNC(ESTRUTURA!Y46/ESTRUTURA!AA45,6),0)*100))</f>
        <v/>
      </c>
      <c r="K45" s="112"/>
      <c r="M45" s="110" t="str">
        <f>ESTRUTURA!M46</f>
        <v/>
      </c>
      <c r="N45" s="111" t="str">
        <f>ESTRUTURA!O46</f>
        <v/>
      </c>
      <c r="O45" s="111" t="str">
        <f>ESTRUTURA!Q46</f>
        <v/>
      </c>
      <c r="P45" s="113" t="str">
        <f>IF($M45="","",IF(M45=prazo_sub,1,IFERROR(TRUNC(ESTRUTURA!AE46/ESTRUTURA!AG45,6),0)*100))</f>
        <v/>
      </c>
      <c r="Q45" s="112"/>
    </row>
    <row r="46" spans="1:17" x14ac:dyDescent="0.3">
      <c r="A46" s="110" t="str">
        <f>IF(ESTRUTURA!A47&gt;prazo_se,"",ESTRUTURA!A47)</f>
        <v/>
      </c>
      <c r="B46" s="111" t="str">
        <f>ESTRUTURA!C47</f>
        <v/>
      </c>
      <c r="C46" s="111" t="str">
        <f>ESTRUTURA!E47</f>
        <v/>
      </c>
      <c r="D46" s="113" t="str">
        <f>IF($A46="","",IF(A46=prazo_se,1,IFERROR(TRUNC(ESTRUTURA!R47/ESTRUTURA!T46,6),0)*100))</f>
        <v/>
      </c>
      <c r="E46" s="112"/>
      <c r="G46" s="110" t="str">
        <f>IF(ESTRUTURA!A47&gt;prazo_subp,"",ESTRUTURA!A47)</f>
        <v/>
      </c>
      <c r="H46" s="111" t="str">
        <f>IF(G46="","",ESTRUTURA!C47)</f>
        <v/>
      </c>
      <c r="I46" s="111" t="str">
        <f>IF(G46="","",ESTRUTURA!E47)</f>
        <v/>
      </c>
      <c r="J46" s="113" t="str">
        <f>IF($G46="","",IF(G46=prazo_subp,1,IFERROR(TRUNC(ESTRUTURA!Y47/ESTRUTURA!AA46,6),0)*100))</f>
        <v/>
      </c>
      <c r="K46" s="112"/>
      <c r="M46" s="110" t="str">
        <f>ESTRUTURA!M47</f>
        <v/>
      </c>
      <c r="N46" s="111" t="str">
        <f>ESTRUTURA!O47</f>
        <v/>
      </c>
      <c r="O46" s="111" t="str">
        <f>ESTRUTURA!Q47</f>
        <v/>
      </c>
      <c r="P46" s="113" t="str">
        <f>IF($M46="","",IF(M46=prazo_sub,1,IFERROR(TRUNC(ESTRUTURA!AE47/ESTRUTURA!AG46,6),0)*100))</f>
        <v/>
      </c>
      <c r="Q46" s="112"/>
    </row>
    <row r="47" spans="1:17" x14ac:dyDescent="0.3">
      <c r="A47" s="110" t="str">
        <f>IF(ESTRUTURA!A48&gt;prazo_se,"",ESTRUTURA!A48)</f>
        <v/>
      </c>
      <c r="B47" s="111" t="str">
        <f>ESTRUTURA!C48</f>
        <v/>
      </c>
      <c r="C47" s="111" t="str">
        <f>ESTRUTURA!E48</f>
        <v/>
      </c>
      <c r="D47" s="113" t="str">
        <f>IF($A47="","",IF(A47=prazo_se,1,IFERROR(TRUNC(ESTRUTURA!R48/ESTRUTURA!T47,6),0)*100))</f>
        <v/>
      </c>
      <c r="E47" s="112"/>
      <c r="G47" s="110" t="str">
        <f>IF(ESTRUTURA!A48&gt;prazo_subp,"",ESTRUTURA!A48)</f>
        <v/>
      </c>
      <c r="H47" s="111" t="str">
        <f>IF(G47="","",ESTRUTURA!C48)</f>
        <v/>
      </c>
      <c r="I47" s="111" t="str">
        <f>IF(G47="","",ESTRUTURA!E48)</f>
        <v/>
      </c>
      <c r="J47" s="113" t="str">
        <f>IF($G47="","",IF(G47=prazo_subp,1,IFERROR(TRUNC(ESTRUTURA!Y48/ESTRUTURA!AA47,6),0)*100))</f>
        <v/>
      </c>
      <c r="K47" s="112"/>
      <c r="M47" s="110" t="str">
        <f>ESTRUTURA!M48</f>
        <v/>
      </c>
      <c r="N47" s="111" t="str">
        <f>ESTRUTURA!O48</f>
        <v/>
      </c>
      <c r="O47" s="111" t="str">
        <f>ESTRUTURA!Q48</f>
        <v/>
      </c>
      <c r="P47" s="113" t="str">
        <f>IF($M47="","",IF(M47=prazo_sub,1,IFERROR(TRUNC(ESTRUTURA!AE48/ESTRUTURA!AG47,6),0)*100))</f>
        <v/>
      </c>
      <c r="Q47" s="112"/>
    </row>
    <row r="48" spans="1:17" x14ac:dyDescent="0.3">
      <c r="A48" s="110" t="str">
        <f>IF(ESTRUTURA!A49&gt;prazo_se,"",ESTRUTURA!A49)</f>
        <v/>
      </c>
      <c r="B48" s="111" t="str">
        <f>ESTRUTURA!C49</f>
        <v/>
      </c>
      <c r="C48" s="111" t="str">
        <f>ESTRUTURA!E49</f>
        <v/>
      </c>
      <c r="D48" s="113" t="str">
        <f>IF($A48="","",IF(A48=prazo_se,1,IFERROR(TRUNC(ESTRUTURA!R49/ESTRUTURA!T48,6),0)*100))</f>
        <v/>
      </c>
      <c r="E48" s="112"/>
      <c r="G48" s="110" t="str">
        <f>IF(ESTRUTURA!A49&gt;prazo_subp,"",ESTRUTURA!A49)</f>
        <v/>
      </c>
      <c r="H48" s="111" t="str">
        <f>IF(G48="","",ESTRUTURA!C49)</f>
        <v/>
      </c>
      <c r="I48" s="111" t="str">
        <f>IF(G48="","",ESTRUTURA!E49)</f>
        <v/>
      </c>
      <c r="J48" s="113" t="str">
        <f>IF($G48="","",IF(G48=prazo_subp,1,IFERROR(TRUNC(ESTRUTURA!Y49/ESTRUTURA!AA48,6),0)*100))</f>
        <v/>
      </c>
      <c r="K48" s="112"/>
      <c r="M48" s="110" t="str">
        <f>ESTRUTURA!M49</f>
        <v/>
      </c>
      <c r="N48" s="111" t="str">
        <f>ESTRUTURA!O49</f>
        <v/>
      </c>
      <c r="O48" s="111" t="str">
        <f>ESTRUTURA!Q49</f>
        <v/>
      </c>
      <c r="P48" s="113" t="str">
        <f>IF($M48="","",IF(M48=prazo_sub,1,IFERROR(TRUNC(ESTRUTURA!AE49/ESTRUTURA!AG48,6),0)*100))</f>
        <v/>
      </c>
      <c r="Q48" s="112"/>
    </row>
    <row r="49" spans="1:17" x14ac:dyDescent="0.3">
      <c r="A49" s="110" t="str">
        <f>IF(ESTRUTURA!A50&gt;prazo_se,"",ESTRUTURA!A50)</f>
        <v/>
      </c>
      <c r="B49" s="111" t="str">
        <f>ESTRUTURA!C50</f>
        <v/>
      </c>
      <c r="C49" s="111" t="str">
        <f>ESTRUTURA!E50</f>
        <v/>
      </c>
      <c r="D49" s="113" t="str">
        <f>IF($A49="","",IF(A49=prazo_se,1,IFERROR(TRUNC(ESTRUTURA!R50/ESTRUTURA!T49,6),0)*100))</f>
        <v/>
      </c>
      <c r="E49" s="112"/>
      <c r="G49" s="110" t="str">
        <f>IF(ESTRUTURA!A50&gt;prazo_subp,"",ESTRUTURA!A50)</f>
        <v/>
      </c>
      <c r="H49" s="111" t="str">
        <f>IF(G49="","",ESTRUTURA!C50)</f>
        <v/>
      </c>
      <c r="I49" s="111" t="str">
        <f>IF(G49="","",ESTRUTURA!E50)</f>
        <v/>
      </c>
      <c r="J49" s="113" t="str">
        <f>IF($G49="","",IF(G49=prazo_subp,1,IFERROR(TRUNC(ESTRUTURA!Y50/ESTRUTURA!AA49,6),0)*100))</f>
        <v/>
      </c>
      <c r="K49" s="112"/>
      <c r="M49" s="110" t="str">
        <f>ESTRUTURA!M50</f>
        <v/>
      </c>
      <c r="N49" s="111" t="str">
        <f>ESTRUTURA!O50</f>
        <v/>
      </c>
      <c r="O49" s="111" t="str">
        <f>ESTRUTURA!Q50</f>
        <v/>
      </c>
      <c r="P49" s="113" t="str">
        <f>IF($M49="","",IF(M49=prazo_sub,1,IFERROR(TRUNC(ESTRUTURA!AE50/ESTRUTURA!AG49,6),0)*100))</f>
        <v/>
      </c>
      <c r="Q49" s="112"/>
    </row>
    <row r="50" spans="1:17" x14ac:dyDescent="0.3">
      <c r="A50" s="110" t="str">
        <f>IF(ESTRUTURA!A51&gt;prazo_se,"",ESTRUTURA!A51)</f>
        <v/>
      </c>
      <c r="B50" s="111" t="str">
        <f>ESTRUTURA!C51</f>
        <v/>
      </c>
      <c r="C50" s="111" t="str">
        <f>ESTRUTURA!E51</f>
        <v/>
      </c>
      <c r="D50" s="113" t="str">
        <f>IF($A50="","",IF(A50=prazo_se,1,IFERROR(TRUNC(ESTRUTURA!R51/ESTRUTURA!T50,6),0)*100))</f>
        <v/>
      </c>
      <c r="E50" s="112"/>
      <c r="G50" s="110" t="str">
        <f>IF(ESTRUTURA!A51&gt;prazo_subp,"",ESTRUTURA!A51)</f>
        <v/>
      </c>
      <c r="H50" s="111" t="str">
        <f>IF(G50="","",ESTRUTURA!C51)</f>
        <v/>
      </c>
      <c r="I50" s="111" t="str">
        <f>IF(G50="","",ESTRUTURA!E51)</f>
        <v/>
      </c>
      <c r="J50" s="113" t="str">
        <f>IF($G50="","",IF(G50=prazo_subp,1,IFERROR(TRUNC(ESTRUTURA!Y51/ESTRUTURA!AA50,6),0)*100))</f>
        <v/>
      </c>
      <c r="K50" s="112"/>
      <c r="M50" s="110" t="str">
        <f>ESTRUTURA!M51</f>
        <v/>
      </c>
      <c r="N50" s="111" t="str">
        <f>ESTRUTURA!O51</f>
        <v/>
      </c>
      <c r="O50" s="111" t="str">
        <f>ESTRUTURA!Q51</f>
        <v/>
      </c>
      <c r="P50" s="113" t="str">
        <f>IF($M50="","",IF(M50=prazo_sub,1,IFERROR(TRUNC(ESTRUTURA!AE51/ESTRUTURA!AG50,6),0)*100))</f>
        <v/>
      </c>
      <c r="Q50" s="112"/>
    </row>
    <row r="51" spans="1:17" x14ac:dyDescent="0.3">
      <c r="A51" s="110" t="str">
        <f>IF(ESTRUTURA!A52&gt;prazo_se,"",ESTRUTURA!A52)</f>
        <v/>
      </c>
      <c r="B51" s="111" t="str">
        <f>ESTRUTURA!C52</f>
        <v/>
      </c>
      <c r="C51" s="111" t="str">
        <f>ESTRUTURA!E52</f>
        <v/>
      </c>
      <c r="D51" s="113" t="str">
        <f>IF($A51="","",IF(A51=prazo_se,1,IFERROR(TRUNC(ESTRUTURA!R52/ESTRUTURA!T51,6),0)*100))</f>
        <v/>
      </c>
      <c r="E51" s="112"/>
      <c r="G51" s="110" t="str">
        <f>IF(ESTRUTURA!A52&gt;prazo_subp,"",ESTRUTURA!A52)</f>
        <v/>
      </c>
      <c r="H51" s="111" t="str">
        <f>IF(G51="","",ESTRUTURA!C52)</f>
        <v/>
      </c>
      <c r="I51" s="111" t="str">
        <f>IF(G51="","",ESTRUTURA!E52)</f>
        <v/>
      </c>
      <c r="J51" s="113" t="str">
        <f>IF($G51="","",IF(G51=prazo_subp,1,IFERROR(TRUNC(ESTRUTURA!Y52/ESTRUTURA!AA51,6),0)*100))</f>
        <v/>
      </c>
      <c r="K51" s="112"/>
      <c r="M51" s="110" t="str">
        <f>ESTRUTURA!M52</f>
        <v/>
      </c>
      <c r="N51" s="111" t="str">
        <f>ESTRUTURA!O52</f>
        <v/>
      </c>
      <c r="O51" s="111" t="str">
        <f>ESTRUTURA!Q52</f>
        <v/>
      </c>
      <c r="P51" s="113" t="str">
        <f>IF($M51="","",IF(M51=prazo_sub,1,IFERROR(TRUNC(ESTRUTURA!AE52/ESTRUTURA!AG51,6),0)*100))</f>
        <v/>
      </c>
      <c r="Q51" s="112"/>
    </row>
    <row r="52" spans="1:17" x14ac:dyDescent="0.3">
      <c r="A52" s="110" t="str">
        <f>IF(ESTRUTURA!A53&gt;prazo_se,"",ESTRUTURA!A53)</f>
        <v/>
      </c>
      <c r="B52" s="111" t="str">
        <f>ESTRUTURA!C53</f>
        <v/>
      </c>
      <c r="C52" s="111" t="str">
        <f>ESTRUTURA!E53</f>
        <v/>
      </c>
      <c r="D52" s="113" t="str">
        <f>IF($A52="","",IF(A52=prazo_se,1,IFERROR(TRUNC(ESTRUTURA!R53/ESTRUTURA!T52,6),0)*100))</f>
        <v/>
      </c>
      <c r="E52" s="112"/>
      <c r="G52" s="110" t="str">
        <f>IF(ESTRUTURA!A53&gt;prazo_subp,"",ESTRUTURA!A53)</f>
        <v/>
      </c>
      <c r="H52" s="111" t="str">
        <f>IF(G52="","",ESTRUTURA!C53)</f>
        <v/>
      </c>
      <c r="I52" s="111" t="str">
        <f>IF(G52="","",ESTRUTURA!E53)</f>
        <v/>
      </c>
      <c r="J52" s="113" t="str">
        <f>IF($G52="","",IF(G52=prazo_subp,1,IFERROR(TRUNC(ESTRUTURA!Y53/ESTRUTURA!AA52,6),0)*100))</f>
        <v/>
      </c>
      <c r="K52" s="112"/>
      <c r="M52" s="110" t="str">
        <f>ESTRUTURA!M53</f>
        <v/>
      </c>
      <c r="N52" s="111" t="str">
        <f>ESTRUTURA!O53</f>
        <v/>
      </c>
      <c r="O52" s="111" t="str">
        <f>ESTRUTURA!Q53</f>
        <v/>
      </c>
      <c r="P52" s="113" t="str">
        <f>IF($M52="","",IF(M52=prazo_sub,1,IFERROR(TRUNC(ESTRUTURA!AE53/ESTRUTURA!AG52,6),0)*100))</f>
        <v/>
      </c>
      <c r="Q52" s="112"/>
    </row>
    <row r="53" spans="1:17" x14ac:dyDescent="0.3">
      <c r="A53" s="110" t="str">
        <f>IF(ESTRUTURA!A54&gt;prazo_se,"",ESTRUTURA!A54)</f>
        <v/>
      </c>
      <c r="B53" s="111" t="str">
        <f>ESTRUTURA!C54</f>
        <v/>
      </c>
      <c r="C53" s="111" t="str">
        <f>ESTRUTURA!E54</f>
        <v/>
      </c>
      <c r="D53" s="113" t="str">
        <f>IF($A53="","",IF(A53=prazo_se,1,IFERROR(TRUNC(ESTRUTURA!R54/ESTRUTURA!T53,6),0)*100))</f>
        <v/>
      </c>
      <c r="E53" s="112"/>
      <c r="G53" s="110" t="str">
        <f>IF(ESTRUTURA!A54&gt;prazo_subp,"",ESTRUTURA!A54)</f>
        <v/>
      </c>
      <c r="H53" s="111" t="str">
        <f>IF(G53="","",ESTRUTURA!C54)</f>
        <v/>
      </c>
      <c r="I53" s="111" t="str">
        <f>IF(G53="","",ESTRUTURA!E54)</f>
        <v/>
      </c>
      <c r="J53" s="113" t="str">
        <f>IF($G53="","",IF(G53=prazo_subp,1,IFERROR(TRUNC(ESTRUTURA!Y54/ESTRUTURA!AA53,6),0)*100))</f>
        <v/>
      </c>
      <c r="K53" s="112"/>
      <c r="M53" s="110" t="str">
        <f>ESTRUTURA!M54</f>
        <v/>
      </c>
      <c r="N53" s="111" t="str">
        <f>ESTRUTURA!O54</f>
        <v/>
      </c>
      <c r="O53" s="111" t="str">
        <f>ESTRUTURA!Q54</f>
        <v/>
      </c>
      <c r="P53" s="113" t="str">
        <f>IF($M53="","",IF(M53=prazo_sub,1,IFERROR(TRUNC(ESTRUTURA!AE54/ESTRUTURA!AG53,6),0)*100))</f>
        <v/>
      </c>
      <c r="Q53" s="112"/>
    </row>
    <row r="54" spans="1:17" x14ac:dyDescent="0.3">
      <c r="A54" s="110" t="str">
        <f>IF(ESTRUTURA!A55&gt;prazo_se,"",ESTRUTURA!A55)</f>
        <v/>
      </c>
      <c r="B54" s="111" t="str">
        <f>ESTRUTURA!C55</f>
        <v/>
      </c>
      <c r="C54" s="111" t="str">
        <f>ESTRUTURA!E55</f>
        <v/>
      </c>
      <c r="D54" s="113" t="str">
        <f>IF($A54="","",IF(A54=prazo_se,1,IFERROR(TRUNC(ESTRUTURA!R55/ESTRUTURA!T54,6),0)*100))</f>
        <v/>
      </c>
      <c r="E54" s="112"/>
      <c r="G54" s="110" t="str">
        <f>IF(ESTRUTURA!A55&gt;prazo_subp,"",ESTRUTURA!A55)</f>
        <v/>
      </c>
      <c r="H54" s="111" t="str">
        <f>IF(G54="","",ESTRUTURA!C55)</f>
        <v/>
      </c>
      <c r="I54" s="111" t="str">
        <f>IF(G54="","",ESTRUTURA!E55)</f>
        <v/>
      </c>
      <c r="J54" s="113" t="str">
        <f>IF($G54="","",IF(G54=prazo_subp,1,IFERROR(TRUNC(ESTRUTURA!Y55/ESTRUTURA!AA54,6),0)*100))</f>
        <v/>
      </c>
      <c r="K54" s="112"/>
      <c r="M54" s="110" t="str">
        <f>ESTRUTURA!M55</f>
        <v/>
      </c>
      <c r="N54" s="111" t="str">
        <f>ESTRUTURA!O55</f>
        <v/>
      </c>
      <c r="O54" s="111" t="str">
        <f>ESTRUTURA!Q55</f>
        <v/>
      </c>
      <c r="P54" s="113" t="str">
        <f>IF($M54="","",IF(M54=prazo_sub,1,IFERROR(TRUNC(ESTRUTURA!AE55/ESTRUTURA!AG54,6),0)*100))</f>
        <v/>
      </c>
      <c r="Q54" s="112"/>
    </row>
    <row r="55" spans="1:17" x14ac:dyDescent="0.3">
      <c r="A55" s="110" t="str">
        <f>IF(ESTRUTURA!A56&gt;prazo_se,"",ESTRUTURA!A56)</f>
        <v/>
      </c>
      <c r="B55" s="111" t="str">
        <f>ESTRUTURA!C56</f>
        <v/>
      </c>
      <c r="C55" s="111" t="str">
        <f>ESTRUTURA!E56</f>
        <v/>
      </c>
      <c r="D55" s="113" t="str">
        <f>IF($A55="","",IF(A55=prazo_se,1,IFERROR(TRUNC(ESTRUTURA!R56/ESTRUTURA!T55,6),0)*100))</f>
        <v/>
      </c>
      <c r="E55" s="112"/>
      <c r="G55" s="110" t="str">
        <f>IF(ESTRUTURA!A56&gt;prazo_subp,"",ESTRUTURA!A56)</f>
        <v/>
      </c>
      <c r="H55" s="111" t="str">
        <f>IF(G55="","",ESTRUTURA!C56)</f>
        <v/>
      </c>
      <c r="I55" s="111" t="str">
        <f>IF(G55="","",ESTRUTURA!E56)</f>
        <v/>
      </c>
      <c r="J55" s="113" t="str">
        <f>IF($G55="","",IF(G55=prazo_subp,1,IFERROR(TRUNC(ESTRUTURA!Y56/ESTRUTURA!AA55,6),0)*100))</f>
        <v/>
      </c>
      <c r="K55" s="112"/>
      <c r="M55" s="110" t="str">
        <f>ESTRUTURA!M56</f>
        <v/>
      </c>
      <c r="N55" s="111" t="str">
        <f>ESTRUTURA!O56</f>
        <v/>
      </c>
      <c r="O55" s="111" t="str">
        <f>ESTRUTURA!Q56</f>
        <v/>
      </c>
      <c r="P55" s="113" t="str">
        <f>IF($M55="","",IF(M55=prazo_sub,1,IFERROR(TRUNC(ESTRUTURA!AE56/ESTRUTURA!AG55,6),0)*100))</f>
        <v/>
      </c>
      <c r="Q55" s="112"/>
    </row>
    <row r="56" spans="1:17" x14ac:dyDescent="0.3">
      <c r="A56" s="110" t="str">
        <f>IF(ESTRUTURA!A57&gt;prazo_se,"",ESTRUTURA!A57)</f>
        <v/>
      </c>
      <c r="B56" s="111" t="str">
        <f>ESTRUTURA!C57</f>
        <v/>
      </c>
      <c r="C56" s="111" t="str">
        <f>ESTRUTURA!E57</f>
        <v/>
      </c>
      <c r="D56" s="113" t="str">
        <f>IF($A56="","",IF(A56=prazo_se,1,IFERROR(TRUNC(ESTRUTURA!R57/ESTRUTURA!T56,6),0)*100))</f>
        <v/>
      </c>
      <c r="E56" s="112"/>
      <c r="G56" s="110" t="str">
        <f>IF(ESTRUTURA!A57&gt;prazo_subp,"",ESTRUTURA!A57)</f>
        <v/>
      </c>
      <c r="H56" s="111" t="str">
        <f>IF(G56="","",ESTRUTURA!C57)</f>
        <v/>
      </c>
      <c r="I56" s="111" t="str">
        <f>IF(G56="","",ESTRUTURA!E57)</f>
        <v/>
      </c>
      <c r="J56" s="113" t="str">
        <f>IF($G56="","",IF(G56=prazo_subp,1,IFERROR(TRUNC(ESTRUTURA!Y57/ESTRUTURA!AA56,6),0)*100))</f>
        <v/>
      </c>
      <c r="K56" s="112"/>
      <c r="M56" s="110" t="str">
        <f>ESTRUTURA!M57</f>
        <v/>
      </c>
      <c r="N56" s="111" t="str">
        <f>ESTRUTURA!O57</f>
        <v/>
      </c>
      <c r="O56" s="111" t="str">
        <f>ESTRUTURA!Q57</f>
        <v/>
      </c>
      <c r="P56" s="113" t="str">
        <f>IF($M56="","",IF(M56=prazo_sub,1,IFERROR(TRUNC(ESTRUTURA!AE57/ESTRUTURA!AG56,6),0)*100))</f>
        <v/>
      </c>
      <c r="Q56" s="112"/>
    </row>
    <row r="57" spans="1:17" x14ac:dyDescent="0.3">
      <c r="A57" s="110" t="str">
        <f>IF(ESTRUTURA!A58&gt;prazo_se,"",ESTRUTURA!A58)</f>
        <v/>
      </c>
      <c r="B57" s="111" t="str">
        <f>ESTRUTURA!C58</f>
        <v/>
      </c>
      <c r="C57" s="111" t="str">
        <f>ESTRUTURA!E58</f>
        <v/>
      </c>
      <c r="D57" s="113" t="str">
        <f>IF($A57="","",IF(A57=prazo_se,1,IFERROR(TRUNC(ESTRUTURA!R58/ESTRUTURA!T57,6),0)*100))</f>
        <v/>
      </c>
      <c r="E57" s="112"/>
      <c r="G57" s="110" t="str">
        <f>IF(ESTRUTURA!A58&gt;prazo_subp,"",ESTRUTURA!A58)</f>
        <v/>
      </c>
      <c r="H57" s="111" t="str">
        <f>IF(G57="","",ESTRUTURA!C58)</f>
        <v/>
      </c>
      <c r="I57" s="111" t="str">
        <f>IF(G57="","",ESTRUTURA!E58)</f>
        <v/>
      </c>
      <c r="J57" s="113" t="str">
        <f>IF($G57="","",IF(G57=prazo_subp,1,IFERROR(TRUNC(ESTRUTURA!Y58/ESTRUTURA!AA57,6),0)*100))</f>
        <v/>
      </c>
      <c r="K57" s="112"/>
      <c r="M57" s="110" t="str">
        <f>ESTRUTURA!M58</f>
        <v/>
      </c>
      <c r="N57" s="111" t="str">
        <f>ESTRUTURA!O58</f>
        <v/>
      </c>
      <c r="O57" s="111" t="str">
        <f>ESTRUTURA!Q58</f>
        <v/>
      </c>
      <c r="P57" s="113" t="str">
        <f>IF($M57="","",IF(M57=prazo_sub,1,IFERROR(TRUNC(ESTRUTURA!AE58/ESTRUTURA!AG57,6),0)*100))</f>
        <v/>
      </c>
      <c r="Q57" s="112"/>
    </row>
    <row r="58" spans="1:17" x14ac:dyDescent="0.3">
      <c r="A58" s="110" t="str">
        <f>IF(ESTRUTURA!A59&gt;prazo_se,"",ESTRUTURA!A59)</f>
        <v/>
      </c>
      <c r="B58" s="111" t="str">
        <f>ESTRUTURA!C59</f>
        <v/>
      </c>
      <c r="C58" s="111" t="str">
        <f>ESTRUTURA!E59</f>
        <v/>
      </c>
      <c r="D58" s="113" t="str">
        <f>IF($A58="","",IF(A58=prazo_se,1,IFERROR(TRUNC(ESTRUTURA!R59/ESTRUTURA!T58,6),0)*100))</f>
        <v/>
      </c>
      <c r="E58" s="112"/>
      <c r="G58" s="110" t="str">
        <f>IF(ESTRUTURA!A59&gt;prazo_subp,"",ESTRUTURA!A59)</f>
        <v/>
      </c>
      <c r="H58" s="111" t="str">
        <f>IF(G58="","",ESTRUTURA!C59)</f>
        <v/>
      </c>
      <c r="I58" s="111" t="str">
        <f>IF(G58="","",ESTRUTURA!E59)</f>
        <v/>
      </c>
      <c r="J58" s="113" t="str">
        <f>IF($G58="","",IF(G58=prazo_subp,1,IFERROR(TRUNC(ESTRUTURA!Y59/ESTRUTURA!AA58,6),0)*100))</f>
        <v/>
      </c>
      <c r="K58" s="112"/>
      <c r="M58" s="110" t="str">
        <f>ESTRUTURA!M59</f>
        <v/>
      </c>
      <c r="N58" s="111" t="str">
        <f>ESTRUTURA!O59</f>
        <v/>
      </c>
      <c r="O58" s="111" t="str">
        <f>ESTRUTURA!Q59</f>
        <v/>
      </c>
      <c r="P58" s="113" t="str">
        <f>IF($M58="","",IF(M58=prazo_sub,1,IFERROR(TRUNC(ESTRUTURA!AE59/ESTRUTURA!AG58,6),0)*100))</f>
        <v/>
      </c>
      <c r="Q58" s="112"/>
    </row>
    <row r="59" spans="1:17" x14ac:dyDescent="0.3">
      <c r="A59" s="110" t="str">
        <f>IF(ESTRUTURA!A60&gt;prazo_se,"",ESTRUTURA!A60)</f>
        <v/>
      </c>
      <c r="B59" s="111" t="str">
        <f>ESTRUTURA!C60</f>
        <v/>
      </c>
      <c r="C59" s="111" t="str">
        <f>ESTRUTURA!E60</f>
        <v/>
      </c>
      <c r="D59" s="113" t="str">
        <f>IF($A59="","",IF(A59=prazo_se,1,IFERROR(TRUNC(ESTRUTURA!R60/ESTRUTURA!T59,6),0)*100))</f>
        <v/>
      </c>
      <c r="E59" s="112"/>
      <c r="G59" s="110" t="str">
        <f>IF(ESTRUTURA!A60&gt;prazo_subp,"",ESTRUTURA!A60)</f>
        <v/>
      </c>
      <c r="H59" s="111" t="str">
        <f>IF(G59="","",ESTRUTURA!C60)</f>
        <v/>
      </c>
      <c r="I59" s="111" t="str">
        <f>IF(G59="","",ESTRUTURA!E60)</f>
        <v/>
      </c>
      <c r="J59" s="113" t="str">
        <f>IF($G59="","",IF(G59=prazo_subp,1,IFERROR(TRUNC(ESTRUTURA!Y60/ESTRUTURA!AA59,6),0)*100))</f>
        <v/>
      </c>
      <c r="K59" s="112"/>
      <c r="M59" s="110" t="str">
        <f>ESTRUTURA!M60</f>
        <v/>
      </c>
      <c r="N59" s="111" t="str">
        <f>ESTRUTURA!O60</f>
        <v/>
      </c>
      <c r="O59" s="111" t="str">
        <f>ESTRUTURA!Q60</f>
        <v/>
      </c>
      <c r="P59" s="113" t="str">
        <f>IF($M59="","",IF(M59=prazo_sub,1,IFERROR(TRUNC(ESTRUTURA!AE60/ESTRUTURA!AG59,6),0)*100))</f>
        <v/>
      </c>
      <c r="Q59" s="112"/>
    </row>
    <row r="60" spans="1:17" x14ac:dyDescent="0.3">
      <c r="A60" s="110" t="str">
        <f>IF(ESTRUTURA!A61&gt;prazo_se,"",ESTRUTURA!A61)</f>
        <v/>
      </c>
      <c r="B60" s="111" t="str">
        <f>ESTRUTURA!C61</f>
        <v/>
      </c>
      <c r="C60" s="111" t="str">
        <f>ESTRUTURA!E61</f>
        <v/>
      </c>
      <c r="D60" s="113" t="str">
        <f>IF($A60="","",IF(A60=prazo_se,1,IFERROR(TRUNC(ESTRUTURA!R61/ESTRUTURA!T60,6),0)*100))</f>
        <v/>
      </c>
      <c r="E60" s="112"/>
      <c r="G60" s="110" t="str">
        <f>IF(ESTRUTURA!A61&gt;prazo_subp,"",ESTRUTURA!A61)</f>
        <v/>
      </c>
      <c r="H60" s="111" t="str">
        <f>IF(G60="","",ESTRUTURA!C61)</f>
        <v/>
      </c>
      <c r="I60" s="111" t="str">
        <f>IF(G60="","",ESTRUTURA!E61)</f>
        <v/>
      </c>
      <c r="J60" s="113" t="str">
        <f>IF($G60="","",IF(G60=prazo_subp,1,IFERROR(TRUNC(ESTRUTURA!Y61/ESTRUTURA!AA60,6),0)*100))</f>
        <v/>
      </c>
      <c r="K60" s="112"/>
      <c r="M60" s="110" t="str">
        <f>ESTRUTURA!M61</f>
        <v/>
      </c>
      <c r="N60" s="111" t="str">
        <f>ESTRUTURA!O61</f>
        <v/>
      </c>
      <c r="O60" s="111" t="str">
        <f>ESTRUTURA!Q61</f>
        <v/>
      </c>
      <c r="P60" s="113" t="str">
        <f>IF($M60="","",IF(M60=prazo_sub,1,IFERROR(TRUNC(ESTRUTURA!AE61/ESTRUTURA!AG60,6),0)*100))</f>
        <v/>
      </c>
      <c r="Q60" s="112"/>
    </row>
    <row r="61" spans="1:17" x14ac:dyDescent="0.3">
      <c r="A61" s="110" t="str">
        <f>IF(ESTRUTURA!A62&gt;prazo_se,"",ESTRUTURA!A62)</f>
        <v/>
      </c>
      <c r="B61" s="111" t="str">
        <f>ESTRUTURA!C62</f>
        <v/>
      </c>
      <c r="C61" s="111" t="str">
        <f>ESTRUTURA!E62</f>
        <v/>
      </c>
      <c r="D61" s="113" t="str">
        <f>IF($A61="","",IF(A61=prazo_se,1,IFERROR(TRUNC(ESTRUTURA!R62/ESTRUTURA!T61,6),0)*100))</f>
        <v/>
      </c>
      <c r="E61" s="112"/>
      <c r="G61" s="110" t="str">
        <f>IF(ESTRUTURA!A62&gt;prazo_subp,"",ESTRUTURA!A62)</f>
        <v/>
      </c>
      <c r="H61" s="111" t="str">
        <f>IF(G61="","",ESTRUTURA!C62)</f>
        <v/>
      </c>
      <c r="I61" s="111" t="str">
        <f>IF(G61="","",ESTRUTURA!E62)</f>
        <v/>
      </c>
      <c r="J61" s="113" t="str">
        <f>IF($G61="","",IF(G61=prazo_subp,1,IFERROR(TRUNC(ESTRUTURA!Y62/ESTRUTURA!AA61,6),0)*100))</f>
        <v/>
      </c>
      <c r="K61" s="112"/>
      <c r="M61" s="110" t="str">
        <f>ESTRUTURA!M62</f>
        <v/>
      </c>
      <c r="N61" s="111" t="str">
        <f>ESTRUTURA!O62</f>
        <v/>
      </c>
      <c r="O61" s="111" t="str">
        <f>ESTRUTURA!Q62</f>
        <v/>
      </c>
      <c r="P61" s="113" t="str">
        <f>IF($M61="","",IF(M61=prazo_sub,1,IFERROR(TRUNC(ESTRUTURA!AE62/ESTRUTURA!AG61,6),0)*100))</f>
        <v/>
      </c>
      <c r="Q61" s="112"/>
    </row>
    <row r="62" spans="1:17" x14ac:dyDescent="0.3">
      <c r="A62" s="110" t="str">
        <f>IF(ESTRUTURA!A63&gt;prazo_se,"",ESTRUTURA!A63)</f>
        <v/>
      </c>
      <c r="B62" s="111" t="str">
        <f>ESTRUTURA!C63</f>
        <v/>
      </c>
      <c r="C62" s="111" t="str">
        <f>ESTRUTURA!E63</f>
        <v/>
      </c>
      <c r="D62" s="113" t="str">
        <f>IF($A62="","",IF(A62=prazo_se,1,IFERROR(TRUNC(ESTRUTURA!R63/ESTRUTURA!T62,6),0)*100))</f>
        <v/>
      </c>
      <c r="E62" s="112"/>
      <c r="G62" s="110" t="str">
        <f>IF(ESTRUTURA!A63&gt;prazo_subp,"",ESTRUTURA!A63)</f>
        <v/>
      </c>
      <c r="H62" s="111" t="str">
        <f>IF(G62="","",ESTRUTURA!C63)</f>
        <v/>
      </c>
      <c r="I62" s="111" t="str">
        <f>IF(G62="","",ESTRUTURA!E63)</f>
        <v/>
      </c>
      <c r="J62" s="113" t="str">
        <f>IF($G62="","",IF(G62=prazo_subp,1,IFERROR(TRUNC(ESTRUTURA!Y63/ESTRUTURA!AA62,6),0)*100))</f>
        <v/>
      </c>
      <c r="K62" s="112"/>
      <c r="M62" s="110" t="str">
        <f>ESTRUTURA!M63</f>
        <v/>
      </c>
      <c r="N62" s="111" t="str">
        <f>ESTRUTURA!O63</f>
        <v/>
      </c>
      <c r="O62" s="111" t="str">
        <f>ESTRUTURA!Q63</f>
        <v/>
      </c>
      <c r="P62" s="113" t="str">
        <f>IF($M62="","",IF(M62=prazo_sub,1,IFERROR(TRUNC(ESTRUTURA!AE63/ESTRUTURA!AG62,6),0)*100))</f>
        <v/>
      </c>
      <c r="Q62" s="112"/>
    </row>
    <row r="63" spans="1:17" x14ac:dyDescent="0.3">
      <c r="A63" s="110" t="str">
        <f>IF(ESTRUTURA!A64&gt;prazo_se,"",ESTRUTURA!A64)</f>
        <v/>
      </c>
      <c r="B63" s="111" t="str">
        <f>ESTRUTURA!C64</f>
        <v/>
      </c>
      <c r="C63" s="111" t="str">
        <f>ESTRUTURA!E64</f>
        <v/>
      </c>
      <c r="D63" s="113" t="str">
        <f>IF($A63="","",IF(A63=prazo_se,1,IFERROR(TRUNC(ESTRUTURA!R64/ESTRUTURA!T63,6),0)*100))</f>
        <v/>
      </c>
      <c r="E63" s="112"/>
      <c r="G63" s="110" t="str">
        <f>IF(ESTRUTURA!A64&gt;prazo_subp,"",ESTRUTURA!A64)</f>
        <v/>
      </c>
      <c r="H63" s="111" t="str">
        <f>IF(G63="","",ESTRUTURA!C64)</f>
        <v/>
      </c>
      <c r="I63" s="111" t="str">
        <f>IF(G63="","",ESTRUTURA!E64)</f>
        <v/>
      </c>
      <c r="J63" s="113" t="str">
        <f>IF($G63="","",IF(G63=prazo_subp,1,IFERROR(TRUNC(ESTRUTURA!Y64/ESTRUTURA!AA63,6),0)*100))</f>
        <v/>
      </c>
      <c r="K63" s="112"/>
      <c r="M63" s="110" t="str">
        <f>ESTRUTURA!M64</f>
        <v/>
      </c>
      <c r="N63" s="111" t="str">
        <f>ESTRUTURA!O64</f>
        <v/>
      </c>
      <c r="O63" s="111" t="str">
        <f>ESTRUTURA!Q64</f>
        <v/>
      </c>
      <c r="P63" s="113" t="str">
        <f>IF($M63="","",IF(M63=prazo_sub,1,IFERROR(TRUNC(ESTRUTURA!AE64/ESTRUTURA!AG63,6),0)*100))</f>
        <v/>
      </c>
      <c r="Q63" s="112"/>
    </row>
    <row r="64" spans="1:17" x14ac:dyDescent="0.3">
      <c r="A64" s="110" t="str">
        <f>IF(ESTRUTURA!A65&gt;prazo_se,"",ESTRUTURA!A65)</f>
        <v/>
      </c>
      <c r="B64" s="111" t="str">
        <f>ESTRUTURA!C65</f>
        <v/>
      </c>
      <c r="C64" s="111" t="str">
        <f>ESTRUTURA!E65</f>
        <v/>
      </c>
      <c r="D64" s="113" t="str">
        <f>IF($A64="","",IF(A64=prazo_se,1,IFERROR(TRUNC(ESTRUTURA!R65/ESTRUTURA!T64,6),0)*100))</f>
        <v/>
      </c>
      <c r="E64" s="112"/>
      <c r="G64" s="110" t="str">
        <f>IF(ESTRUTURA!A65&gt;prazo_subp,"",ESTRUTURA!A65)</f>
        <v/>
      </c>
      <c r="H64" s="111" t="str">
        <f>IF(G64="","",ESTRUTURA!C65)</f>
        <v/>
      </c>
      <c r="I64" s="111" t="str">
        <f>IF(G64="","",ESTRUTURA!E65)</f>
        <v/>
      </c>
      <c r="J64" s="113" t="str">
        <f>IF($G64="","",IF(G64=prazo_subp,1,IFERROR(TRUNC(ESTRUTURA!Y65/ESTRUTURA!AA64,6),0)*100))</f>
        <v/>
      </c>
      <c r="K64" s="112"/>
      <c r="M64" s="110" t="str">
        <f>ESTRUTURA!M65</f>
        <v/>
      </c>
      <c r="N64" s="111" t="str">
        <f>ESTRUTURA!O65</f>
        <v/>
      </c>
      <c r="O64" s="111" t="str">
        <f>ESTRUTURA!Q65</f>
        <v/>
      </c>
      <c r="P64" s="113" t="str">
        <f>IF($M64="","",IF(M64=prazo_sub,1,IFERROR(TRUNC(ESTRUTURA!AE65/ESTRUTURA!AG64,6),0)*100))</f>
        <v/>
      </c>
      <c r="Q64" s="112"/>
    </row>
    <row r="65" spans="1:17" x14ac:dyDescent="0.3">
      <c r="A65" s="110" t="str">
        <f>IF(ESTRUTURA!A66&gt;prazo_se,"",ESTRUTURA!A66)</f>
        <v/>
      </c>
      <c r="B65" s="111" t="str">
        <f>ESTRUTURA!C66</f>
        <v/>
      </c>
      <c r="C65" s="111" t="str">
        <f>ESTRUTURA!E66</f>
        <v/>
      </c>
      <c r="D65" s="113" t="str">
        <f>IF($A65="","",IF(A65=prazo_se,1,IFERROR(TRUNC(ESTRUTURA!R66/ESTRUTURA!T65,6),0)*100))</f>
        <v/>
      </c>
      <c r="E65" s="112"/>
      <c r="G65" s="110" t="str">
        <f>IF(ESTRUTURA!A66&gt;prazo_subp,"",ESTRUTURA!A66)</f>
        <v/>
      </c>
      <c r="H65" s="111" t="str">
        <f>IF(G65="","",ESTRUTURA!C66)</f>
        <v/>
      </c>
      <c r="I65" s="111" t="str">
        <f>IF(G65="","",ESTRUTURA!E66)</f>
        <v/>
      </c>
      <c r="J65" s="113" t="str">
        <f>IF($G65="","",IF(G65=prazo_subp,1,IFERROR(TRUNC(ESTRUTURA!Y66/ESTRUTURA!AA65,6),0)*100))</f>
        <v/>
      </c>
      <c r="K65" s="112"/>
      <c r="M65" s="110" t="str">
        <f>ESTRUTURA!M66</f>
        <v/>
      </c>
      <c r="N65" s="111" t="str">
        <f>ESTRUTURA!O66</f>
        <v/>
      </c>
      <c r="O65" s="111" t="str">
        <f>ESTRUTURA!Q66</f>
        <v/>
      </c>
      <c r="P65" s="113" t="str">
        <f>IF($M65="","",IF(M65=prazo_sub,1,IFERROR(TRUNC(ESTRUTURA!AE66/ESTRUTURA!AG65,6),0)*100))</f>
        <v/>
      </c>
      <c r="Q65" s="112"/>
    </row>
    <row r="66" spans="1:17" x14ac:dyDescent="0.3">
      <c r="A66" s="110" t="str">
        <f>IF(ESTRUTURA!A67&gt;prazo_se,"",ESTRUTURA!A67)</f>
        <v/>
      </c>
      <c r="B66" s="111" t="str">
        <f>ESTRUTURA!C67</f>
        <v/>
      </c>
      <c r="C66" s="111" t="str">
        <f>ESTRUTURA!E67</f>
        <v/>
      </c>
      <c r="D66" s="113" t="str">
        <f>IF($A66="","",IF(A66=prazo_se,1,IFERROR(TRUNC(ESTRUTURA!R67/ESTRUTURA!T66,6),0)*100))</f>
        <v/>
      </c>
      <c r="E66" s="112"/>
      <c r="G66" s="110" t="str">
        <f>IF(ESTRUTURA!A67&gt;prazo_subp,"",ESTRUTURA!A67)</f>
        <v/>
      </c>
      <c r="H66" s="111" t="str">
        <f>IF(G66="","",ESTRUTURA!C67)</f>
        <v/>
      </c>
      <c r="I66" s="111" t="str">
        <f>IF(G66="","",ESTRUTURA!E67)</f>
        <v/>
      </c>
      <c r="J66" s="113" t="str">
        <f>IF($G66="","",IF(G66=prazo_subp,1,IFERROR(TRUNC(ESTRUTURA!Y67/ESTRUTURA!AA66,6),0)*100))</f>
        <v/>
      </c>
      <c r="K66" s="112"/>
      <c r="M66" s="110" t="str">
        <f>ESTRUTURA!M67</f>
        <v/>
      </c>
      <c r="N66" s="111" t="str">
        <f>ESTRUTURA!O67</f>
        <v/>
      </c>
      <c r="O66" s="111" t="str">
        <f>ESTRUTURA!Q67</f>
        <v/>
      </c>
      <c r="P66" s="113" t="str">
        <f>IF($M66="","",IF(M66=prazo_sub,1,IFERROR(TRUNC(ESTRUTURA!AE67/ESTRUTURA!AG66,6),0)*100))</f>
        <v/>
      </c>
      <c r="Q66" s="112"/>
    </row>
    <row r="67" spans="1:17" x14ac:dyDescent="0.3">
      <c r="A67" s="110" t="str">
        <f>IF(ESTRUTURA!A68&gt;prazo_se,"",ESTRUTURA!A68)</f>
        <v/>
      </c>
      <c r="B67" s="111" t="str">
        <f>ESTRUTURA!C68</f>
        <v/>
      </c>
      <c r="C67" s="111" t="str">
        <f>ESTRUTURA!E68</f>
        <v/>
      </c>
      <c r="D67" s="113" t="str">
        <f>IF($A67="","",IF(A67=prazo_se,1,IFERROR(TRUNC(ESTRUTURA!R68/ESTRUTURA!T67,6),0)*100))</f>
        <v/>
      </c>
      <c r="E67" s="112"/>
      <c r="G67" s="110" t="str">
        <f>IF(ESTRUTURA!A68&gt;prazo_subp,"",ESTRUTURA!A68)</f>
        <v/>
      </c>
      <c r="H67" s="111" t="str">
        <f>IF(G67="","",ESTRUTURA!C68)</f>
        <v/>
      </c>
      <c r="I67" s="111" t="str">
        <f>IF(G67="","",ESTRUTURA!E68)</f>
        <v/>
      </c>
      <c r="J67" s="113" t="str">
        <f>IF($G67="","",IF(G67=prazo_subp,1,IFERROR(TRUNC(ESTRUTURA!Y68/ESTRUTURA!AA67,6),0)*100))</f>
        <v/>
      </c>
      <c r="K67" s="112"/>
      <c r="M67" s="110" t="str">
        <f>ESTRUTURA!M68</f>
        <v/>
      </c>
      <c r="N67" s="111" t="str">
        <f>ESTRUTURA!O68</f>
        <v/>
      </c>
      <c r="O67" s="111" t="str">
        <f>ESTRUTURA!Q68</f>
        <v/>
      </c>
      <c r="P67" s="113" t="str">
        <f>IF($M67="","",IF(M67=prazo_sub,1,IFERROR(TRUNC(ESTRUTURA!AE68/ESTRUTURA!AG67,6),0)*100))</f>
        <v/>
      </c>
      <c r="Q67" s="112"/>
    </row>
    <row r="68" spans="1:17" x14ac:dyDescent="0.3">
      <c r="A68" s="110" t="str">
        <f>IF(ESTRUTURA!A69&gt;prazo_se,"",ESTRUTURA!A69)</f>
        <v/>
      </c>
      <c r="B68" s="111" t="str">
        <f>ESTRUTURA!C69</f>
        <v/>
      </c>
      <c r="C68" s="111" t="str">
        <f>ESTRUTURA!E69</f>
        <v/>
      </c>
      <c r="D68" s="113" t="str">
        <f>IF($A68="","",IF(A68=prazo_se,1,IFERROR(TRUNC(ESTRUTURA!R69/ESTRUTURA!T68,6),0)*100))</f>
        <v/>
      </c>
      <c r="E68" s="112"/>
      <c r="G68" s="110" t="str">
        <f>IF(ESTRUTURA!A69&gt;prazo_subp,"",ESTRUTURA!A69)</f>
        <v/>
      </c>
      <c r="H68" s="111" t="str">
        <f>IF(G68="","",ESTRUTURA!C69)</f>
        <v/>
      </c>
      <c r="I68" s="111" t="str">
        <f>IF(G68="","",ESTRUTURA!E69)</f>
        <v/>
      </c>
      <c r="J68" s="113" t="str">
        <f>IF($G68="","",IF(G68=prazo_subp,1,IFERROR(TRUNC(ESTRUTURA!Y69/ESTRUTURA!AA68,6),0)*100))</f>
        <v/>
      </c>
      <c r="K68" s="112"/>
      <c r="M68" s="110" t="str">
        <f>ESTRUTURA!M69</f>
        <v/>
      </c>
      <c r="N68" s="111" t="str">
        <f>ESTRUTURA!O69</f>
        <v/>
      </c>
      <c r="O68" s="111" t="str">
        <f>ESTRUTURA!Q69</f>
        <v/>
      </c>
      <c r="P68" s="113" t="str">
        <f>IF($M68="","",IF(M68=prazo_sub,1,IFERROR(TRUNC(ESTRUTURA!AE69/ESTRUTURA!AG68,6),0)*100))</f>
        <v/>
      </c>
      <c r="Q68" s="112"/>
    </row>
    <row r="69" spans="1:17" x14ac:dyDescent="0.3">
      <c r="A69" s="110" t="str">
        <f>IF(ESTRUTURA!A70&gt;prazo_se,"",ESTRUTURA!A70)</f>
        <v/>
      </c>
      <c r="B69" s="111" t="str">
        <f>ESTRUTURA!C70</f>
        <v/>
      </c>
      <c r="C69" s="111" t="str">
        <f>ESTRUTURA!E70</f>
        <v/>
      </c>
      <c r="D69" s="113" t="str">
        <f>IF($A69="","",IF(A69=prazo_se,1,IFERROR(TRUNC(ESTRUTURA!R70/ESTRUTURA!T69,6),0)*100))</f>
        <v/>
      </c>
      <c r="E69" s="112"/>
      <c r="G69" s="110" t="str">
        <f>IF(ESTRUTURA!A70&gt;prazo_subp,"",ESTRUTURA!A70)</f>
        <v/>
      </c>
      <c r="H69" s="111" t="str">
        <f>IF(G69="","",ESTRUTURA!C70)</f>
        <v/>
      </c>
      <c r="I69" s="111" t="str">
        <f>IF(G69="","",ESTRUTURA!E70)</f>
        <v/>
      </c>
      <c r="J69" s="113" t="str">
        <f>IF($G69="","",IF(G69=prazo_subp,1,IFERROR(TRUNC(ESTRUTURA!Y70/ESTRUTURA!AA69,6),0)*100))</f>
        <v/>
      </c>
      <c r="K69" s="112"/>
      <c r="M69" s="110" t="str">
        <f>ESTRUTURA!M70</f>
        <v/>
      </c>
      <c r="N69" s="111" t="str">
        <f>ESTRUTURA!O70</f>
        <v/>
      </c>
      <c r="O69" s="111" t="str">
        <f>ESTRUTURA!Q70</f>
        <v/>
      </c>
      <c r="P69" s="113" t="str">
        <f>IF($M69="","",IF(M69=prazo_sub,1,IFERROR(TRUNC(ESTRUTURA!AE70/ESTRUTURA!AG69,6),0)*100))</f>
        <v/>
      </c>
      <c r="Q69" s="112"/>
    </row>
    <row r="70" spans="1:17" x14ac:dyDescent="0.3">
      <c r="A70" s="110" t="str">
        <f>IF(ESTRUTURA!A71&gt;prazo_se,"",ESTRUTURA!A71)</f>
        <v/>
      </c>
      <c r="B70" s="111" t="str">
        <f>ESTRUTURA!C71</f>
        <v/>
      </c>
      <c r="C70" s="111" t="str">
        <f>ESTRUTURA!E71</f>
        <v/>
      </c>
      <c r="D70" s="113" t="str">
        <f>IF($A70="","",IF(A70=prazo_se,1,IFERROR(TRUNC(ESTRUTURA!R71/ESTRUTURA!T70,6),0)*100))</f>
        <v/>
      </c>
      <c r="E70" s="112"/>
      <c r="G70" s="110" t="str">
        <f>IF(ESTRUTURA!A71&gt;prazo_subp,"",ESTRUTURA!A71)</f>
        <v/>
      </c>
      <c r="H70" s="111" t="str">
        <f>IF(G70="","",ESTRUTURA!C71)</f>
        <v/>
      </c>
      <c r="I70" s="111" t="str">
        <f>IF(G70="","",ESTRUTURA!E71)</f>
        <v/>
      </c>
      <c r="J70" s="113" t="str">
        <f>IF($G70="","",IF(G70=prazo_subp,1,IFERROR(TRUNC(ESTRUTURA!Y71/ESTRUTURA!AA70,6),0)*100))</f>
        <v/>
      </c>
      <c r="K70" s="112"/>
      <c r="M70" s="110" t="str">
        <f>ESTRUTURA!M71</f>
        <v/>
      </c>
      <c r="N70" s="111" t="str">
        <f>ESTRUTURA!O71</f>
        <v/>
      </c>
      <c r="O70" s="111" t="str">
        <f>ESTRUTURA!Q71</f>
        <v/>
      </c>
      <c r="P70" s="113" t="str">
        <f>IF($M70="","",IF(M70=prazo_sub,1,IFERROR(TRUNC(ESTRUTURA!AE71/ESTRUTURA!AG70,6),0)*100))</f>
        <v/>
      </c>
      <c r="Q70" s="112"/>
    </row>
    <row r="71" spans="1:17" x14ac:dyDescent="0.3">
      <c r="A71" s="110" t="str">
        <f>IF(ESTRUTURA!A72&gt;prazo_se,"",ESTRUTURA!A72)</f>
        <v/>
      </c>
      <c r="B71" s="111" t="str">
        <f>ESTRUTURA!C72</f>
        <v/>
      </c>
      <c r="C71" s="111" t="str">
        <f>ESTRUTURA!E72</f>
        <v/>
      </c>
      <c r="D71" s="113" t="str">
        <f>IF($A71="","",IF(A71=prazo_se,1,IFERROR(TRUNC(ESTRUTURA!R72/ESTRUTURA!T71,6),0)*100))</f>
        <v/>
      </c>
      <c r="E71" s="112"/>
      <c r="G71" s="110" t="str">
        <f>IF(ESTRUTURA!A72&gt;prazo_subp,"",ESTRUTURA!A72)</f>
        <v/>
      </c>
      <c r="H71" s="111" t="str">
        <f>IF(G71="","",ESTRUTURA!C72)</f>
        <v/>
      </c>
      <c r="I71" s="111" t="str">
        <f>IF(G71="","",ESTRUTURA!E72)</f>
        <v/>
      </c>
      <c r="J71" s="113" t="str">
        <f>IF($G71="","",IF(G71=prazo_subp,1,IFERROR(TRUNC(ESTRUTURA!Y72/ESTRUTURA!AA71,6),0)*100))</f>
        <v/>
      </c>
      <c r="K71" s="112"/>
      <c r="M71" s="110" t="str">
        <f>ESTRUTURA!M72</f>
        <v/>
      </c>
      <c r="N71" s="111" t="str">
        <f>ESTRUTURA!O72</f>
        <v/>
      </c>
      <c r="O71" s="111" t="str">
        <f>ESTRUTURA!Q72</f>
        <v/>
      </c>
      <c r="P71" s="113" t="str">
        <f>IF($M71="","",IF(M71=prazo_sub,1,IFERROR(TRUNC(ESTRUTURA!AE72/ESTRUTURA!AG71,6),0)*100))</f>
        <v/>
      </c>
      <c r="Q71" s="112"/>
    </row>
    <row r="72" spans="1:17" x14ac:dyDescent="0.3">
      <c r="A72" s="110" t="str">
        <f>IF(ESTRUTURA!A73&gt;prazo_se,"",ESTRUTURA!A73)</f>
        <v/>
      </c>
      <c r="B72" s="111" t="str">
        <f>ESTRUTURA!C73</f>
        <v/>
      </c>
      <c r="C72" s="111" t="str">
        <f>ESTRUTURA!E73</f>
        <v/>
      </c>
      <c r="D72" s="113" t="str">
        <f>IF($A72="","",IF(A72=prazo_se,1,IFERROR(TRUNC(ESTRUTURA!R73/ESTRUTURA!T72,6),0)*100))</f>
        <v/>
      </c>
      <c r="E72" s="112"/>
      <c r="G72" s="110" t="str">
        <f>IF(ESTRUTURA!A73&gt;prazo_subp,"",ESTRUTURA!A73)</f>
        <v/>
      </c>
      <c r="H72" s="111" t="str">
        <f>IF(G72="","",ESTRUTURA!C73)</f>
        <v/>
      </c>
      <c r="I72" s="111" t="str">
        <f>IF(G72="","",ESTRUTURA!E73)</f>
        <v/>
      </c>
      <c r="J72" s="113" t="str">
        <f>IF($G72="","",IF(G72=prazo_subp,1,IFERROR(TRUNC(ESTRUTURA!Y73/ESTRUTURA!AA72,6),0)*100))</f>
        <v/>
      </c>
      <c r="K72" s="112"/>
      <c r="M72" s="110" t="str">
        <f>ESTRUTURA!M73</f>
        <v/>
      </c>
      <c r="N72" s="111" t="str">
        <f>ESTRUTURA!O73</f>
        <v/>
      </c>
      <c r="O72" s="111" t="str">
        <f>ESTRUTURA!Q73</f>
        <v/>
      </c>
      <c r="P72" s="113" t="str">
        <f>IF($M72="","",IF(M72=prazo_sub,1,IFERROR(TRUNC(ESTRUTURA!AE73/ESTRUTURA!AG72,6),0)*100))</f>
        <v/>
      </c>
      <c r="Q72" s="112"/>
    </row>
    <row r="73" spans="1:17" x14ac:dyDescent="0.3">
      <c r="A73" s="110" t="str">
        <f>IF(ESTRUTURA!A74&gt;prazo_se,"",ESTRUTURA!A74)</f>
        <v/>
      </c>
      <c r="B73" s="111" t="str">
        <f>ESTRUTURA!C74</f>
        <v/>
      </c>
      <c r="C73" s="111" t="str">
        <f>ESTRUTURA!E74</f>
        <v/>
      </c>
      <c r="D73" s="113" t="str">
        <f>IF($A73="","",IF(A73=prazo_se,1,IFERROR(TRUNC(ESTRUTURA!R74/ESTRUTURA!T73,6),0)*100))</f>
        <v/>
      </c>
      <c r="E73" s="112"/>
      <c r="G73" s="110" t="str">
        <f>IF(ESTRUTURA!A74&gt;prazo_subp,"",ESTRUTURA!A74)</f>
        <v/>
      </c>
      <c r="H73" s="111" t="str">
        <f>IF(G73="","",ESTRUTURA!C74)</f>
        <v/>
      </c>
      <c r="I73" s="111" t="str">
        <f>IF(G73="","",ESTRUTURA!E74)</f>
        <v/>
      </c>
      <c r="J73" s="113" t="str">
        <f>IF($G73="","",IF(G73=prazo_subp,1,IFERROR(TRUNC(ESTRUTURA!Y74/ESTRUTURA!AA73,6),0)*100))</f>
        <v/>
      </c>
      <c r="K73" s="112"/>
      <c r="M73" s="110" t="str">
        <f>ESTRUTURA!M74</f>
        <v/>
      </c>
      <c r="N73" s="111" t="str">
        <f>ESTRUTURA!O74</f>
        <v/>
      </c>
      <c r="O73" s="111" t="str">
        <f>ESTRUTURA!Q74</f>
        <v/>
      </c>
      <c r="P73" s="113" t="str">
        <f>IF($M73="","",IF(M73=prazo_sub,1,IFERROR(TRUNC(ESTRUTURA!AE74/ESTRUTURA!AG73,6),0)*100))</f>
        <v/>
      </c>
      <c r="Q73" s="112"/>
    </row>
    <row r="74" spans="1:17" x14ac:dyDescent="0.3">
      <c r="A74" s="110" t="str">
        <f>IF(ESTRUTURA!A75&gt;prazo_se,"",ESTRUTURA!A75)</f>
        <v/>
      </c>
      <c r="B74" s="111" t="str">
        <f>ESTRUTURA!C75</f>
        <v/>
      </c>
      <c r="C74" s="111" t="str">
        <f>ESTRUTURA!E75</f>
        <v/>
      </c>
      <c r="D74" s="113" t="str">
        <f>IF($A74="","",IF(A74=prazo_se,1,IFERROR(TRUNC(ESTRUTURA!R75/ESTRUTURA!T74,6),0)*100))</f>
        <v/>
      </c>
      <c r="E74" s="112"/>
      <c r="G74" s="110" t="str">
        <f>IF(ESTRUTURA!A75&gt;prazo_subp,"",ESTRUTURA!A75)</f>
        <v/>
      </c>
      <c r="H74" s="111" t="str">
        <f>IF(G74="","",ESTRUTURA!C75)</f>
        <v/>
      </c>
      <c r="I74" s="111" t="str">
        <f>IF(G74="","",ESTRUTURA!E75)</f>
        <v/>
      </c>
      <c r="J74" s="113" t="str">
        <f>IF($G74="","",IF(G74=prazo_subp,1,IFERROR(TRUNC(ESTRUTURA!Y75/ESTRUTURA!AA74,6),0)*100))</f>
        <v/>
      </c>
      <c r="K74" s="112"/>
      <c r="M74" s="110" t="str">
        <f>ESTRUTURA!M75</f>
        <v/>
      </c>
      <c r="N74" s="111" t="str">
        <f>ESTRUTURA!O75</f>
        <v/>
      </c>
      <c r="O74" s="111" t="str">
        <f>ESTRUTURA!Q75</f>
        <v/>
      </c>
      <c r="P74" s="113" t="str">
        <f>IF($M74="","",IF(M74=prazo_sub,1,IFERROR(TRUNC(ESTRUTURA!AE75/ESTRUTURA!AG74,6),0)*100))</f>
        <v/>
      </c>
      <c r="Q74" s="112"/>
    </row>
    <row r="75" spans="1:17" x14ac:dyDescent="0.3">
      <c r="A75" s="110" t="str">
        <f>IF(ESTRUTURA!A76&gt;prazo_se,"",ESTRUTURA!A76)</f>
        <v/>
      </c>
      <c r="B75" s="111" t="str">
        <f>ESTRUTURA!C76</f>
        <v/>
      </c>
      <c r="C75" s="111" t="str">
        <f>ESTRUTURA!E76</f>
        <v/>
      </c>
      <c r="D75" s="113" t="str">
        <f>IF($A75="","",IF(A75=prazo_se,1,IFERROR(TRUNC(ESTRUTURA!R76/ESTRUTURA!T75,6),0)*100))</f>
        <v/>
      </c>
      <c r="E75" s="112"/>
      <c r="G75" s="110" t="str">
        <f>IF(ESTRUTURA!A76&gt;prazo_subp,"",ESTRUTURA!A76)</f>
        <v/>
      </c>
      <c r="H75" s="111" t="str">
        <f>IF(G75="","",ESTRUTURA!C76)</f>
        <v/>
      </c>
      <c r="I75" s="111" t="str">
        <f>IF(G75="","",ESTRUTURA!E76)</f>
        <v/>
      </c>
      <c r="J75" s="113" t="str">
        <f>IF($G75="","",IF(G75=prazo_subp,1,IFERROR(TRUNC(ESTRUTURA!Y76/ESTRUTURA!AA75,6),0)*100))</f>
        <v/>
      </c>
      <c r="K75" s="112"/>
      <c r="M75" s="110" t="str">
        <f>ESTRUTURA!M76</f>
        <v/>
      </c>
      <c r="N75" s="111" t="str">
        <f>ESTRUTURA!O76</f>
        <v/>
      </c>
      <c r="O75" s="111" t="str">
        <f>ESTRUTURA!Q76</f>
        <v/>
      </c>
      <c r="P75" s="113" t="str">
        <f>IF($M75="","",IF(M75=prazo_sub,1,IFERROR(TRUNC(ESTRUTURA!AE76/ESTRUTURA!AG75,6),0)*100))</f>
        <v/>
      </c>
      <c r="Q75" s="112"/>
    </row>
    <row r="76" spans="1:17" x14ac:dyDescent="0.3">
      <c r="A76" s="110" t="str">
        <f>IF(ESTRUTURA!A77&gt;prazo_se,"",ESTRUTURA!A77)</f>
        <v/>
      </c>
      <c r="B76" s="111" t="str">
        <f>ESTRUTURA!C77</f>
        <v/>
      </c>
      <c r="C76" s="111" t="str">
        <f>ESTRUTURA!E77</f>
        <v/>
      </c>
      <c r="D76" s="113" t="str">
        <f>IF($A76="","",IF(A76=prazo_se,1,IFERROR(TRUNC(ESTRUTURA!R77/ESTRUTURA!T76,6),0)*100))</f>
        <v/>
      </c>
      <c r="E76" s="112"/>
      <c r="G76" s="110" t="str">
        <f>IF(ESTRUTURA!A77&gt;prazo_subp,"",ESTRUTURA!A77)</f>
        <v/>
      </c>
      <c r="H76" s="111" t="str">
        <f>IF(G76="","",ESTRUTURA!C77)</f>
        <v/>
      </c>
      <c r="I76" s="111" t="str">
        <f>IF(G76="","",ESTRUTURA!E77)</f>
        <v/>
      </c>
      <c r="J76" s="113" t="str">
        <f>IF($G76="","",IF(G76=prazo_subp,1,IFERROR(TRUNC(ESTRUTURA!Y77/ESTRUTURA!AA76,6),0)*100))</f>
        <v/>
      </c>
      <c r="K76" s="112"/>
      <c r="M76" s="110" t="str">
        <f>ESTRUTURA!M77</f>
        <v/>
      </c>
      <c r="N76" s="111" t="str">
        <f>ESTRUTURA!O77</f>
        <v/>
      </c>
      <c r="O76" s="111" t="str">
        <f>ESTRUTURA!Q77</f>
        <v/>
      </c>
      <c r="P76" s="113" t="str">
        <f>IF($M76="","",IF(M76=prazo_sub,1,IFERROR(TRUNC(ESTRUTURA!AE77/ESTRUTURA!AG76,6),0)*100))</f>
        <v/>
      </c>
      <c r="Q76" s="112"/>
    </row>
    <row r="77" spans="1:17" x14ac:dyDescent="0.3">
      <c r="A77" s="110" t="str">
        <f>IF(ESTRUTURA!A78&gt;prazo_se,"",ESTRUTURA!A78)</f>
        <v/>
      </c>
      <c r="B77" s="111" t="str">
        <f>ESTRUTURA!C78</f>
        <v/>
      </c>
      <c r="C77" s="111" t="str">
        <f>ESTRUTURA!E78</f>
        <v/>
      </c>
      <c r="D77" s="113" t="str">
        <f>IF($A77="","",IF(A77=prazo_se,1,IFERROR(TRUNC(ESTRUTURA!R78/ESTRUTURA!T77,6),0)*100))</f>
        <v/>
      </c>
      <c r="E77" s="112"/>
      <c r="G77" s="110" t="str">
        <f>IF(ESTRUTURA!A78&gt;prazo_subp,"",ESTRUTURA!A78)</f>
        <v/>
      </c>
      <c r="H77" s="111" t="str">
        <f>IF(G77="","",ESTRUTURA!C78)</f>
        <v/>
      </c>
      <c r="I77" s="111" t="str">
        <f>IF(G77="","",ESTRUTURA!E78)</f>
        <v/>
      </c>
      <c r="J77" s="113" t="str">
        <f>IF($G77="","",IF(G77=prazo_subp,1,IFERROR(TRUNC(ESTRUTURA!Y78/ESTRUTURA!AA77,6),0)*100))</f>
        <v/>
      </c>
      <c r="K77" s="112"/>
      <c r="M77" s="110" t="str">
        <f>ESTRUTURA!M78</f>
        <v/>
      </c>
      <c r="N77" s="111" t="str">
        <f>ESTRUTURA!O78</f>
        <v/>
      </c>
      <c r="O77" s="111" t="str">
        <f>ESTRUTURA!Q78</f>
        <v/>
      </c>
      <c r="P77" s="113" t="str">
        <f>IF($M77="","",IF(M77=prazo_sub,1,IFERROR(TRUNC(ESTRUTURA!AE78/ESTRUTURA!AG77,6),0)*100))</f>
        <v/>
      </c>
      <c r="Q77" s="112"/>
    </row>
    <row r="78" spans="1:17" x14ac:dyDescent="0.3">
      <c r="A78" s="110" t="str">
        <f>IF(ESTRUTURA!A79&gt;prazo_se,"",ESTRUTURA!A79)</f>
        <v/>
      </c>
      <c r="B78" s="111" t="str">
        <f>ESTRUTURA!C79</f>
        <v/>
      </c>
      <c r="C78" s="111" t="str">
        <f>ESTRUTURA!E79</f>
        <v/>
      </c>
      <c r="D78" s="113" t="str">
        <f>IF($A78="","",IF(A78=prazo_se,1,IFERROR(TRUNC(ESTRUTURA!R79/ESTRUTURA!T78,6),0)*100))</f>
        <v/>
      </c>
      <c r="E78" s="112"/>
      <c r="G78" s="110" t="str">
        <f>IF(ESTRUTURA!A79&gt;prazo_subp,"",ESTRUTURA!A79)</f>
        <v/>
      </c>
      <c r="H78" s="111" t="str">
        <f>IF(G78="","",ESTRUTURA!C79)</f>
        <v/>
      </c>
      <c r="I78" s="111" t="str">
        <f>IF(G78="","",ESTRUTURA!E79)</f>
        <v/>
      </c>
      <c r="J78" s="113" t="str">
        <f>IF($G78="","",IF(G78=prazo_subp,1,IFERROR(TRUNC(ESTRUTURA!Y79/ESTRUTURA!AA78,6),0)*100))</f>
        <v/>
      </c>
      <c r="K78" s="112"/>
      <c r="M78" s="110" t="str">
        <f>ESTRUTURA!M79</f>
        <v/>
      </c>
      <c r="N78" s="111" t="str">
        <f>ESTRUTURA!O79</f>
        <v/>
      </c>
      <c r="O78" s="111" t="str">
        <f>ESTRUTURA!Q79</f>
        <v/>
      </c>
      <c r="P78" s="113" t="str">
        <f>IF($M78="","",IF(M78=prazo_sub,1,IFERROR(TRUNC(ESTRUTURA!AE79/ESTRUTURA!AG78,6),0)*100))</f>
        <v/>
      </c>
      <c r="Q78" s="112"/>
    </row>
    <row r="79" spans="1:17" x14ac:dyDescent="0.3">
      <c r="A79" s="110" t="str">
        <f>IF(ESTRUTURA!A80&gt;prazo_se,"",ESTRUTURA!A80)</f>
        <v/>
      </c>
      <c r="B79" s="111" t="str">
        <f>ESTRUTURA!C80</f>
        <v/>
      </c>
      <c r="C79" s="111" t="str">
        <f>ESTRUTURA!E80</f>
        <v/>
      </c>
      <c r="D79" s="113" t="str">
        <f>IF($A79="","",IF(A79=prazo_se,1,IFERROR(TRUNC(ESTRUTURA!R80/ESTRUTURA!T79,6),0)*100))</f>
        <v/>
      </c>
      <c r="E79" s="112"/>
      <c r="G79" s="110" t="str">
        <f>IF(ESTRUTURA!A80&gt;prazo_subp,"",ESTRUTURA!A80)</f>
        <v/>
      </c>
      <c r="H79" s="111" t="str">
        <f>IF(G79="","",ESTRUTURA!C80)</f>
        <v/>
      </c>
      <c r="I79" s="111" t="str">
        <f>IF(G79="","",ESTRUTURA!E80)</f>
        <v/>
      </c>
      <c r="J79" s="113" t="str">
        <f>IF($G79="","",IF(G79=prazo_subp,1,IFERROR(TRUNC(ESTRUTURA!Y80/ESTRUTURA!AA79,6),0)*100))</f>
        <v/>
      </c>
      <c r="K79" s="112"/>
      <c r="M79" s="110" t="str">
        <f>ESTRUTURA!M80</f>
        <v/>
      </c>
      <c r="N79" s="111" t="str">
        <f>ESTRUTURA!O80</f>
        <v/>
      </c>
      <c r="O79" s="111" t="str">
        <f>ESTRUTURA!Q80</f>
        <v/>
      </c>
      <c r="P79" s="113" t="str">
        <f>IF($M79="","",IF(M79=prazo_sub,1,IFERROR(TRUNC(ESTRUTURA!AE80/ESTRUTURA!AG79,6),0)*100))</f>
        <v/>
      </c>
      <c r="Q79" s="112"/>
    </row>
    <row r="80" spans="1:17" x14ac:dyDescent="0.3">
      <c r="A80" s="110" t="str">
        <f>IF(ESTRUTURA!A81&gt;prazo_se,"",ESTRUTURA!A81)</f>
        <v/>
      </c>
      <c r="B80" s="111" t="str">
        <f>ESTRUTURA!C81</f>
        <v/>
      </c>
      <c r="C80" s="111" t="str">
        <f>ESTRUTURA!E81</f>
        <v/>
      </c>
      <c r="D80" s="113" t="str">
        <f>IF($A80="","",IF(A80=prazo_se,1,IFERROR(TRUNC(ESTRUTURA!R81/ESTRUTURA!T80,6),0)*100))</f>
        <v/>
      </c>
      <c r="E80" s="112"/>
      <c r="G80" s="110" t="str">
        <f>IF(ESTRUTURA!A81&gt;prazo_subp,"",ESTRUTURA!A81)</f>
        <v/>
      </c>
      <c r="H80" s="111" t="str">
        <f>IF(G80="","",ESTRUTURA!C81)</f>
        <v/>
      </c>
      <c r="I80" s="111" t="str">
        <f>IF(G80="","",ESTRUTURA!E81)</f>
        <v/>
      </c>
      <c r="J80" s="113" t="str">
        <f>IF($G80="","",IF(G80=prazo_subp,1,IFERROR(TRUNC(ESTRUTURA!Y81/ESTRUTURA!AA80,6),0)*100))</f>
        <v/>
      </c>
      <c r="K80" s="112"/>
      <c r="M80" s="110" t="str">
        <f>ESTRUTURA!M81</f>
        <v/>
      </c>
      <c r="N80" s="111" t="str">
        <f>ESTRUTURA!O81</f>
        <v/>
      </c>
      <c r="O80" s="111" t="str">
        <f>ESTRUTURA!Q81</f>
        <v/>
      </c>
      <c r="P80" s="113" t="str">
        <f>IF($M80="","",IF(M80=prazo_sub,1,IFERROR(TRUNC(ESTRUTURA!AE81/ESTRUTURA!AG80,6),0)*100))</f>
        <v/>
      </c>
      <c r="Q80" s="112"/>
    </row>
    <row r="81" spans="1:17" x14ac:dyDescent="0.3">
      <c r="A81" s="110" t="str">
        <f>IF(ESTRUTURA!A82&gt;prazo_se,"",ESTRUTURA!A82)</f>
        <v/>
      </c>
      <c r="B81" s="111" t="str">
        <f>ESTRUTURA!C82</f>
        <v/>
      </c>
      <c r="C81" s="111" t="str">
        <f>ESTRUTURA!E82</f>
        <v/>
      </c>
      <c r="D81" s="113" t="str">
        <f>IF($A81="","",IF(A81=prazo_se,1,IFERROR(TRUNC(ESTRUTURA!R82/ESTRUTURA!T81,6),0)*100))</f>
        <v/>
      </c>
      <c r="E81" s="112"/>
      <c r="G81" s="110" t="str">
        <f>IF(ESTRUTURA!A82&gt;prazo_subp,"",ESTRUTURA!A82)</f>
        <v/>
      </c>
      <c r="H81" s="111" t="str">
        <f>IF(G81="","",ESTRUTURA!C82)</f>
        <v/>
      </c>
      <c r="I81" s="111" t="str">
        <f>IF(G81="","",ESTRUTURA!E82)</f>
        <v/>
      </c>
      <c r="J81" s="113" t="str">
        <f>IF($G81="","",IF(G81=prazo_subp,1,IFERROR(TRUNC(ESTRUTURA!Y82/ESTRUTURA!AA81,6),0)*100))</f>
        <v/>
      </c>
      <c r="K81" s="112"/>
      <c r="M81" s="110" t="str">
        <f>ESTRUTURA!M82</f>
        <v/>
      </c>
      <c r="N81" s="111" t="str">
        <f>ESTRUTURA!O82</f>
        <v/>
      </c>
      <c r="O81" s="111" t="str">
        <f>ESTRUTURA!Q82</f>
        <v/>
      </c>
      <c r="P81" s="113" t="str">
        <f>IF($M81="","",IF(M81=prazo_sub,1,IFERROR(TRUNC(ESTRUTURA!AE82/ESTRUTURA!AG81,6),0)*100))</f>
        <v/>
      </c>
      <c r="Q81" s="112"/>
    </row>
    <row r="82" spans="1:17" x14ac:dyDescent="0.3">
      <c r="A82" s="110" t="str">
        <f>IF(ESTRUTURA!A83&gt;prazo_se,"",ESTRUTURA!A83)</f>
        <v/>
      </c>
      <c r="B82" s="111" t="str">
        <f>ESTRUTURA!C83</f>
        <v/>
      </c>
      <c r="C82" s="111" t="str">
        <f>ESTRUTURA!E83</f>
        <v/>
      </c>
      <c r="D82" s="113" t="str">
        <f>IF($A82="","",IF(A82=prazo_se,1,IFERROR(TRUNC(ESTRUTURA!R83/ESTRUTURA!T82,6),0)*100))</f>
        <v/>
      </c>
      <c r="E82" s="112"/>
      <c r="G82" s="110" t="str">
        <f>IF(ESTRUTURA!A83&gt;prazo_subp,"",ESTRUTURA!A83)</f>
        <v/>
      </c>
      <c r="H82" s="111" t="str">
        <f>IF(G82="","",ESTRUTURA!C83)</f>
        <v/>
      </c>
      <c r="I82" s="111" t="str">
        <f>IF(G82="","",ESTRUTURA!E83)</f>
        <v/>
      </c>
      <c r="J82" s="113" t="str">
        <f>IF($G82="","",IF(G82=prazo_subp,1,IFERROR(TRUNC(ESTRUTURA!Y83/ESTRUTURA!AA82,6),0)*100))</f>
        <v/>
      </c>
      <c r="K82" s="112"/>
      <c r="M82" s="110" t="str">
        <f>ESTRUTURA!M83</f>
        <v/>
      </c>
      <c r="N82" s="111" t="str">
        <f>ESTRUTURA!O83</f>
        <v/>
      </c>
      <c r="O82" s="111" t="str">
        <f>ESTRUTURA!Q83</f>
        <v/>
      </c>
      <c r="P82" s="113" t="str">
        <f>IF($M82="","",IF(M82=prazo_sub,1,IFERROR(TRUNC(ESTRUTURA!AE83/ESTRUTURA!AG82,6),0)*100))</f>
        <v/>
      </c>
      <c r="Q82" s="112"/>
    </row>
    <row r="83" spans="1:17" x14ac:dyDescent="0.3">
      <c r="A83" s="110" t="str">
        <f>IF(ESTRUTURA!A84&gt;prazo_se,"",ESTRUTURA!A84)</f>
        <v/>
      </c>
      <c r="B83" s="111" t="str">
        <f>ESTRUTURA!C84</f>
        <v/>
      </c>
      <c r="C83" s="111" t="str">
        <f>ESTRUTURA!E84</f>
        <v/>
      </c>
      <c r="D83" s="113" t="str">
        <f>IF($A83="","",IF(A83=prazo_se,1,IFERROR(TRUNC(ESTRUTURA!R84/ESTRUTURA!T83,6),0)*100))</f>
        <v/>
      </c>
      <c r="E83" s="112"/>
      <c r="G83" s="110" t="str">
        <f>IF(ESTRUTURA!A84&gt;prazo_subp,"",ESTRUTURA!A84)</f>
        <v/>
      </c>
      <c r="H83" s="111" t="str">
        <f>IF(G83="","",ESTRUTURA!C84)</f>
        <v/>
      </c>
      <c r="I83" s="111" t="str">
        <f>IF(G83="","",ESTRUTURA!E84)</f>
        <v/>
      </c>
      <c r="J83" s="113" t="str">
        <f>IF($G83="","",IF(G83=prazo_subp,1,IFERROR(TRUNC(ESTRUTURA!Y84/ESTRUTURA!AA83,6),0)*100))</f>
        <v/>
      </c>
      <c r="K83" s="112"/>
      <c r="M83" s="110" t="str">
        <f>ESTRUTURA!M84</f>
        <v/>
      </c>
      <c r="N83" s="111" t="str">
        <f>ESTRUTURA!O84</f>
        <v/>
      </c>
      <c r="O83" s="111" t="str">
        <f>ESTRUTURA!Q84</f>
        <v/>
      </c>
      <c r="P83" s="113" t="str">
        <f>IF($M83="","",IF(M83=prazo_sub,1,IFERROR(TRUNC(ESTRUTURA!AE84/ESTRUTURA!AG83,6),0)*100))</f>
        <v/>
      </c>
      <c r="Q83" s="112"/>
    </row>
    <row r="84" spans="1:17" x14ac:dyDescent="0.3">
      <c r="A84" s="110" t="str">
        <f>IF(ESTRUTURA!A85&gt;prazo_se,"",ESTRUTURA!A85)</f>
        <v/>
      </c>
      <c r="B84" s="111" t="str">
        <f>ESTRUTURA!C85</f>
        <v/>
      </c>
      <c r="C84" s="111" t="str">
        <f>ESTRUTURA!E85</f>
        <v/>
      </c>
      <c r="D84" s="113" t="str">
        <f>IF($A84="","",IF(A84=prazo_se,1,IFERROR(TRUNC(ESTRUTURA!R85/ESTRUTURA!T84,6),0)*100))</f>
        <v/>
      </c>
      <c r="E84" s="112"/>
      <c r="G84" s="110" t="str">
        <f>IF(ESTRUTURA!A85&gt;prazo_subp,"",ESTRUTURA!A85)</f>
        <v/>
      </c>
      <c r="H84" s="111" t="str">
        <f>IF(G84="","",ESTRUTURA!C85)</f>
        <v/>
      </c>
      <c r="I84" s="111" t="str">
        <f>IF(G84="","",ESTRUTURA!E85)</f>
        <v/>
      </c>
      <c r="J84" s="113" t="str">
        <f>IF($G84="","",IF(G84=prazo_subp,1,IFERROR(TRUNC(ESTRUTURA!Y85/ESTRUTURA!AA84,6),0)*100))</f>
        <v/>
      </c>
      <c r="K84" s="112"/>
      <c r="M84" s="110" t="str">
        <f>ESTRUTURA!M85</f>
        <v/>
      </c>
      <c r="N84" s="111" t="str">
        <f>ESTRUTURA!O85</f>
        <v/>
      </c>
      <c r="O84" s="111" t="str">
        <f>ESTRUTURA!Q85</f>
        <v/>
      </c>
      <c r="P84" s="113" t="str">
        <f>IF($M84="","",IF(M84=prazo_sub,1,IFERROR(TRUNC(ESTRUTURA!AE85/ESTRUTURA!AG84,6),0)*100))</f>
        <v/>
      </c>
      <c r="Q84" s="112"/>
    </row>
    <row r="85" spans="1:17" x14ac:dyDescent="0.3">
      <c r="A85" s="110" t="str">
        <f>IF(ESTRUTURA!A86&gt;prazo_se,"",ESTRUTURA!A86)</f>
        <v/>
      </c>
      <c r="B85" s="111" t="str">
        <f>ESTRUTURA!C86</f>
        <v/>
      </c>
      <c r="C85" s="111" t="str">
        <f>ESTRUTURA!E86</f>
        <v/>
      </c>
      <c r="D85" s="113" t="str">
        <f>IF($A85="","",IF(A85=prazo_se,1,IFERROR(TRUNC(ESTRUTURA!R86/ESTRUTURA!T85,6),0)*100))</f>
        <v/>
      </c>
      <c r="E85" s="112"/>
      <c r="G85" s="110" t="str">
        <f>IF(ESTRUTURA!A86&gt;prazo_subp,"",ESTRUTURA!A86)</f>
        <v/>
      </c>
      <c r="H85" s="111" t="str">
        <f>IF(G85="","",ESTRUTURA!C86)</f>
        <v/>
      </c>
      <c r="I85" s="111" t="str">
        <f>IF(G85="","",ESTRUTURA!E86)</f>
        <v/>
      </c>
      <c r="J85" s="113" t="str">
        <f>IF($G85="","",IF(G85=prazo_subp,1,IFERROR(TRUNC(ESTRUTURA!Y86/ESTRUTURA!AA85,6),0)*100))</f>
        <v/>
      </c>
      <c r="K85" s="112"/>
      <c r="M85" s="110" t="str">
        <f>ESTRUTURA!M86</f>
        <v/>
      </c>
      <c r="N85" s="111" t="str">
        <f>ESTRUTURA!O86</f>
        <v/>
      </c>
      <c r="O85" s="111" t="str">
        <f>ESTRUTURA!Q86</f>
        <v/>
      </c>
      <c r="P85" s="113" t="str">
        <f>IF($M85="","",IF(M85=prazo_sub,1,IFERROR(TRUNC(ESTRUTURA!AE86/ESTRUTURA!AG85,6),0)*100))</f>
        <v/>
      </c>
      <c r="Q85" s="112"/>
    </row>
    <row r="86" spans="1:17" x14ac:dyDescent="0.3">
      <c r="A86" s="110" t="str">
        <f>IF(ESTRUTURA!A87&gt;prazo_se,"",ESTRUTURA!A87)</f>
        <v/>
      </c>
      <c r="B86" s="111" t="str">
        <f>ESTRUTURA!C87</f>
        <v/>
      </c>
      <c r="C86" s="111" t="str">
        <f>ESTRUTURA!E87</f>
        <v/>
      </c>
      <c r="D86" s="113" t="str">
        <f>IF($A86="","",IF(A86=prazo_se,1,IFERROR(TRUNC(ESTRUTURA!R87/ESTRUTURA!T86,6),0)*100))</f>
        <v/>
      </c>
      <c r="E86" s="112"/>
      <c r="G86" s="110" t="str">
        <f>IF(ESTRUTURA!A87&gt;prazo_subp,"",ESTRUTURA!A87)</f>
        <v/>
      </c>
      <c r="H86" s="111" t="str">
        <f>IF(G86="","",ESTRUTURA!C87)</f>
        <v/>
      </c>
      <c r="I86" s="111" t="str">
        <f>IF(G86="","",ESTRUTURA!E87)</f>
        <v/>
      </c>
      <c r="J86" s="113" t="str">
        <f>IF($G86="","",IF(G86=prazo_subp,1,IFERROR(TRUNC(ESTRUTURA!Y87/ESTRUTURA!AA86,6),0)*100))</f>
        <v/>
      </c>
      <c r="K86" s="112"/>
      <c r="M86" s="110" t="str">
        <f>ESTRUTURA!M87</f>
        <v/>
      </c>
      <c r="N86" s="111" t="str">
        <f>ESTRUTURA!O87</f>
        <v/>
      </c>
      <c r="O86" s="111" t="str">
        <f>ESTRUTURA!Q87</f>
        <v/>
      </c>
      <c r="P86" s="113" t="str">
        <f>IF($M86="","",IF(M86=prazo_sub,1,IFERROR(TRUNC(ESTRUTURA!AE87/ESTRUTURA!AG86,6),0)*100))</f>
        <v/>
      </c>
      <c r="Q86" s="112"/>
    </row>
    <row r="87" spans="1:17" x14ac:dyDescent="0.3">
      <c r="A87" s="110" t="str">
        <f>IF(ESTRUTURA!A88&gt;prazo_se,"",ESTRUTURA!A88)</f>
        <v/>
      </c>
      <c r="B87" s="111" t="str">
        <f>ESTRUTURA!C88</f>
        <v/>
      </c>
      <c r="C87" s="111" t="str">
        <f>ESTRUTURA!E88</f>
        <v/>
      </c>
      <c r="D87" s="113" t="str">
        <f>IF($A87="","",IF(A87=prazo_se,1,IFERROR(TRUNC(ESTRUTURA!R88/ESTRUTURA!T87,6),0)*100))</f>
        <v/>
      </c>
      <c r="E87" s="112"/>
      <c r="G87" s="110" t="str">
        <f>IF(ESTRUTURA!A88&gt;prazo_subp,"",ESTRUTURA!A88)</f>
        <v/>
      </c>
      <c r="H87" s="111" t="str">
        <f>IF(G87="","",ESTRUTURA!C88)</f>
        <v/>
      </c>
      <c r="I87" s="111" t="str">
        <f>IF(G87="","",ESTRUTURA!E88)</f>
        <v/>
      </c>
      <c r="J87" s="113" t="str">
        <f>IF($G87="","",IF(G87=prazo_subp,1,IFERROR(TRUNC(ESTRUTURA!Y88/ESTRUTURA!AA87,6),0)*100))</f>
        <v/>
      </c>
      <c r="K87" s="112"/>
      <c r="M87" s="110" t="str">
        <f>ESTRUTURA!M88</f>
        <v/>
      </c>
      <c r="N87" s="111" t="str">
        <f>ESTRUTURA!O88</f>
        <v/>
      </c>
      <c r="O87" s="111" t="str">
        <f>ESTRUTURA!Q88</f>
        <v/>
      </c>
      <c r="P87" s="113" t="str">
        <f>IF($M87="","",IF(M87=prazo_sub,1,IFERROR(TRUNC(ESTRUTURA!AE88/ESTRUTURA!AG87,6),0)*100))</f>
        <v/>
      </c>
      <c r="Q87" s="112"/>
    </row>
    <row r="88" spans="1:17" x14ac:dyDescent="0.3">
      <c r="A88" s="110" t="str">
        <f>IF(ESTRUTURA!A89&gt;prazo_se,"",ESTRUTURA!A89)</f>
        <v/>
      </c>
      <c r="B88" s="111" t="str">
        <f>ESTRUTURA!C89</f>
        <v/>
      </c>
      <c r="C88" s="111" t="str">
        <f>ESTRUTURA!E89</f>
        <v/>
      </c>
      <c r="D88" s="113" t="str">
        <f>IF($A88="","",IF(A88=prazo_se,1,IFERROR(TRUNC(ESTRUTURA!R89/ESTRUTURA!T88,6),0)*100))</f>
        <v/>
      </c>
      <c r="E88" s="112"/>
      <c r="G88" s="110" t="str">
        <f>IF(ESTRUTURA!A89&gt;prazo_subp,"",ESTRUTURA!A89)</f>
        <v/>
      </c>
      <c r="H88" s="111" t="str">
        <f>IF(G88="","",ESTRUTURA!C89)</f>
        <v/>
      </c>
      <c r="I88" s="111" t="str">
        <f>IF(G88="","",ESTRUTURA!E89)</f>
        <v/>
      </c>
      <c r="J88" s="113" t="str">
        <f>IF($G88="","",IF(G88=prazo_subp,1,IFERROR(TRUNC(ESTRUTURA!Y89/ESTRUTURA!AA88,6),0)*100))</f>
        <v/>
      </c>
      <c r="K88" s="112"/>
      <c r="M88" s="110" t="str">
        <f>ESTRUTURA!M89</f>
        <v/>
      </c>
      <c r="N88" s="111" t="str">
        <f>ESTRUTURA!O89</f>
        <v/>
      </c>
      <c r="O88" s="111" t="str">
        <f>ESTRUTURA!Q89</f>
        <v/>
      </c>
      <c r="P88" s="113" t="str">
        <f>IF($M88="","",IF(M88=prazo_sub,1,IFERROR(TRUNC(ESTRUTURA!AE89/ESTRUTURA!AG88,6),0)*100))</f>
        <v/>
      </c>
      <c r="Q88" s="112"/>
    </row>
    <row r="89" spans="1:17" x14ac:dyDescent="0.3">
      <c r="A89" s="110" t="str">
        <f>IF(ESTRUTURA!A90&gt;prazo_se,"",ESTRUTURA!A90)</f>
        <v/>
      </c>
      <c r="B89" s="111" t="str">
        <f>ESTRUTURA!C90</f>
        <v/>
      </c>
      <c r="C89" s="111" t="str">
        <f>ESTRUTURA!E90</f>
        <v/>
      </c>
      <c r="D89" s="113" t="str">
        <f>IF($A89="","",IF(A89=prazo_se,1,IFERROR(TRUNC(ESTRUTURA!R90/ESTRUTURA!T89,6),0)*100))</f>
        <v/>
      </c>
      <c r="E89" s="112"/>
      <c r="G89" s="110" t="str">
        <f>IF(ESTRUTURA!A90&gt;prazo_subp,"",ESTRUTURA!A90)</f>
        <v/>
      </c>
      <c r="H89" s="111" t="str">
        <f>IF(G89="","",ESTRUTURA!C90)</f>
        <v/>
      </c>
      <c r="I89" s="111" t="str">
        <f>IF(G89="","",ESTRUTURA!E90)</f>
        <v/>
      </c>
      <c r="J89" s="113" t="str">
        <f>IF($G89="","",IF(G89=prazo_subp,1,IFERROR(TRUNC(ESTRUTURA!Y90/ESTRUTURA!AA89,6),0)*100))</f>
        <v/>
      </c>
      <c r="K89" s="112"/>
      <c r="M89" s="110" t="str">
        <f>ESTRUTURA!M90</f>
        <v/>
      </c>
      <c r="N89" s="111" t="str">
        <f>ESTRUTURA!O90</f>
        <v/>
      </c>
      <c r="O89" s="111" t="str">
        <f>ESTRUTURA!Q90</f>
        <v/>
      </c>
      <c r="P89" s="113" t="str">
        <f>IF($M89="","",IF(M89=prazo_sub,1,IFERROR(TRUNC(ESTRUTURA!AE90/ESTRUTURA!AG89,6),0)*100))</f>
        <v/>
      </c>
      <c r="Q89" s="112"/>
    </row>
    <row r="90" spans="1:17" x14ac:dyDescent="0.3">
      <c r="A90" s="110" t="str">
        <f>IF(ESTRUTURA!A91&gt;prazo_se,"",ESTRUTURA!A91)</f>
        <v/>
      </c>
      <c r="B90" s="111" t="str">
        <f>ESTRUTURA!C91</f>
        <v/>
      </c>
      <c r="C90" s="111" t="str">
        <f>ESTRUTURA!E91</f>
        <v/>
      </c>
      <c r="D90" s="113" t="str">
        <f>IF($A90="","",IF(A90=prazo_se,1,IFERROR(TRUNC(ESTRUTURA!R91/ESTRUTURA!T90,6),0)*100))</f>
        <v/>
      </c>
      <c r="E90" s="112"/>
      <c r="G90" s="110" t="str">
        <f>IF(ESTRUTURA!A91&gt;prazo_subp,"",ESTRUTURA!A91)</f>
        <v/>
      </c>
      <c r="H90" s="111" t="str">
        <f>IF(G90="","",ESTRUTURA!C91)</f>
        <v/>
      </c>
      <c r="I90" s="111" t="str">
        <f>IF(G90="","",ESTRUTURA!E91)</f>
        <v/>
      </c>
      <c r="J90" s="113" t="str">
        <f>IF($G90="","",IF(G90=prazo_subp,1,IFERROR(TRUNC(ESTRUTURA!Y91/ESTRUTURA!AA90,6),0)*100))</f>
        <v/>
      </c>
      <c r="K90" s="112"/>
      <c r="M90" s="110" t="str">
        <f>ESTRUTURA!M91</f>
        <v/>
      </c>
      <c r="N90" s="111" t="str">
        <f>ESTRUTURA!O91</f>
        <v/>
      </c>
      <c r="O90" s="111" t="str">
        <f>ESTRUTURA!Q91</f>
        <v/>
      </c>
      <c r="P90" s="113" t="str">
        <f>IF($M90="","",IF(M90=prazo_sub,1,IFERROR(TRUNC(ESTRUTURA!AE91/ESTRUTURA!AG90,6),0)*100))</f>
        <v/>
      </c>
      <c r="Q90" s="112"/>
    </row>
    <row r="91" spans="1:17" x14ac:dyDescent="0.3">
      <c r="A91" s="110" t="str">
        <f>IF(ESTRUTURA!A92&gt;prazo_se,"",ESTRUTURA!A92)</f>
        <v/>
      </c>
      <c r="B91" s="111" t="str">
        <f>ESTRUTURA!C92</f>
        <v/>
      </c>
      <c r="C91" s="111" t="str">
        <f>ESTRUTURA!E92</f>
        <v/>
      </c>
      <c r="D91" s="113" t="str">
        <f>IF($A91="","",IF(A91=prazo_se,1,IFERROR(TRUNC(ESTRUTURA!R92/ESTRUTURA!T91,6),0)*100))</f>
        <v/>
      </c>
      <c r="E91" s="112"/>
      <c r="G91" s="110" t="str">
        <f>IF(ESTRUTURA!A92&gt;prazo_subp,"",ESTRUTURA!A92)</f>
        <v/>
      </c>
      <c r="H91" s="111" t="str">
        <f>IF(G91="","",ESTRUTURA!C92)</f>
        <v/>
      </c>
      <c r="I91" s="111" t="str">
        <f>IF(G91="","",ESTRUTURA!E92)</f>
        <v/>
      </c>
      <c r="J91" s="113" t="str">
        <f>IF($G91="","",IF(G91=prazo_subp,1,IFERROR(TRUNC(ESTRUTURA!Y92/ESTRUTURA!AA91,6),0)*100))</f>
        <v/>
      </c>
      <c r="K91" s="112"/>
      <c r="M91" s="110" t="str">
        <f>ESTRUTURA!M92</f>
        <v/>
      </c>
      <c r="N91" s="111" t="str">
        <f>ESTRUTURA!O92</f>
        <v/>
      </c>
      <c r="O91" s="111" t="str">
        <f>ESTRUTURA!Q92</f>
        <v/>
      </c>
      <c r="P91" s="113" t="str">
        <f>IF($M91="","",IF(M91=prazo_sub,1,IFERROR(TRUNC(ESTRUTURA!AE92/ESTRUTURA!AG91,6),0)*100))</f>
        <v/>
      </c>
      <c r="Q91" s="112"/>
    </row>
    <row r="92" spans="1:17" x14ac:dyDescent="0.3">
      <c r="A92" s="110" t="str">
        <f>IF(ESTRUTURA!A93&gt;prazo_se,"",ESTRUTURA!A93)</f>
        <v/>
      </c>
      <c r="B92" s="111" t="str">
        <f>ESTRUTURA!C93</f>
        <v/>
      </c>
      <c r="C92" s="111" t="str">
        <f>ESTRUTURA!E93</f>
        <v/>
      </c>
      <c r="D92" s="113" t="str">
        <f>IF($A92="","",IF(A92=prazo_se,1,IFERROR(TRUNC(ESTRUTURA!R93/ESTRUTURA!T92,6),0)*100))</f>
        <v/>
      </c>
      <c r="E92" s="112"/>
      <c r="G92" s="110" t="str">
        <f>IF(ESTRUTURA!A93&gt;prazo_subp,"",ESTRUTURA!A93)</f>
        <v/>
      </c>
      <c r="H92" s="111" t="str">
        <f>IF(G92="","",ESTRUTURA!C93)</f>
        <v/>
      </c>
      <c r="I92" s="111" t="str">
        <f>IF(G92="","",ESTRUTURA!E93)</f>
        <v/>
      </c>
      <c r="J92" s="113" t="str">
        <f>IF($G92="","",IF(G92=prazo_subp,1,IFERROR(TRUNC(ESTRUTURA!Y93/ESTRUTURA!AA92,6),0)*100))</f>
        <v/>
      </c>
      <c r="K92" s="112"/>
      <c r="M92" s="110" t="str">
        <f>ESTRUTURA!M93</f>
        <v/>
      </c>
      <c r="N92" s="111" t="str">
        <f>ESTRUTURA!O93</f>
        <v/>
      </c>
      <c r="O92" s="111" t="str">
        <f>ESTRUTURA!Q93</f>
        <v/>
      </c>
      <c r="P92" s="113" t="str">
        <f>IF($M92="","",IF(M92=prazo_sub,1,IFERROR(TRUNC(ESTRUTURA!AE93/ESTRUTURA!AG92,6),0)*100))</f>
        <v/>
      </c>
      <c r="Q92" s="112"/>
    </row>
    <row r="93" spans="1:17" x14ac:dyDescent="0.3">
      <c r="A93" s="110" t="str">
        <f>IF(ESTRUTURA!A94&gt;prazo_se,"",ESTRUTURA!A94)</f>
        <v/>
      </c>
      <c r="B93" s="111" t="str">
        <f>ESTRUTURA!C94</f>
        <v/>
      </c>
      <c r="C93" s="111" t="str">
        <f>ESTRUTURA!E94</f>
        <v/>
      </c>
      <c r="D93" s="113" t="str">
        <f>IF($A93="","",IF(A93=prazo_se,1,IFERROR(TRUNC(ESTRUTURA!R94/ESTRUTURA!T93,6),0)*100))</f>
        <v/>
      </c>
      <c r="E93" s="112"/>
      <c r="G93" s="110" t="str">
        <f>IF(ESTRUTURA!A94&gt;prazo_subp,"",ESTRUTURA!A94)</f>
        <v/>
      </c>
      <c r="H93" s="111" t="str">
        <f>IF(G93="","",ESTRUTURA!C94)</f>
        <v/>
      </c>
      <c r="I93" s="111" t="str">
        <f>IF(G93="","",ESTRUTURA!E94)</f>
        <v/>
      </c>
      <c r="J93" s="113" t="str">
        <f>IF($G93="","",IF(G93=prazo_subp,1,IFERROR(TRUNC(ESTRUTURA!Y94/ESTRUTURA!AA93,6),0)*100))</f>
        <v/>
      </c>
      <c r="K93" s="112"/>
      <c r="M93" s="110" t="str">
        <f>ESTRUTURA!M94</f>
        <v/>
      </c>
      <c r="N93" s="111" t="str">
        <f>ESTRUTURA!O94</f>
        <v/>
      </c>
      <c r="O93" s="111" t="str">
        <f>ESTRUTURA!Q94</f>
        <v/>
      </c>
      <c r="P93" s="113" t="str">
        <f>IF($M93="","",IF(M93=prazo_sub,1,IFERROR(TRUNC(ESTRUTURA!AE94/ESTRUTURA!AG93,6),0)*100))</f>
        <v/>
      </c>
      <c r="Q93" s="112"/>
    </row>
    <row r="94" spans="1:17" x14ac:dyDescent="0.3">
      <c r="A94" s="110" t="str">
        <f>IF(ESTRUTURA!A95&gt;prazo_se,"",ESTRUTURA!A95)</f>
        <v/>
      </c>
      <c r="B94" s="111" t="str">
        <f>ESTRUTURA!C95</f>
        <v/>
      </c>
      <c r="C94" s="111" t="str">
        <f>ESTRUTURA!E95</f>
        <v/>
      </c>
      <c r="D94" s="113" t="str">
        <f>IF($A94="","",IF(A94=prazo_se,1,IFERROR(TRUNC(ESTRUTURA!R95/ESTRUTURA!T94,6),0)*100))</f>
        <v/>
      </c>
      <c r="E94" s="112"/>
      <c r="G94" s="110" t="str">
        <f>IF(ESTRUTURA!A95&gt;prazo_subp,"",ESTRUTURA!A95)</f>
        <v/>
      </c>
      <c r="H94" s="111" t="str">
        <f>IF(G94="","",ESTRUTURA!C95)</f>
        <v/>
      </c>
      <c r="I94" s="111" t="str">
        <f>IF(G94="","",ESTRUTURA!E95)</f>
        <v/>
      </c>
      <c r="J94" s="113" t="str">
        <f>IF($G94="","",IF(G94=prazo_subp,1,IFERROR(TRUNC(ESTRUTURA!Y95/ESTRUTURA!AA94,6),0)*100))</f>
        <v/>
      </c>
      <c r="K94" s="112"/>
      <c r="M94" s="110" t="str">
        <f>ESTRUTURA!M95</f>
        <v/>
      </c>
      <c r="N94" s="111" t="str">
        <f>ESTRUTURA!O95</f>
        <v/>
      </c>
      <c r="O94" s="111" t="str">
        <f>ESTRUTURA!Q95</f>
        <v/>
      </c>
      <c r="P94" s="113" t="str">
        <f>IF($M94="","",IF(M94=prazo_sub,1,IFERROR(TRUNC(ESTRUTURA!AE95/ESTRUTURA!AG94,6),0)*100))</f>
        <v/>
      </c>
      <c r="Q94" s="112"/>
    </row>
    <row r="95" spans="1:17" x14ac:dyDescent="0.3">
      <c r="A95" s="110" t="str">
        <f>IF(ESTRUTURA!A96&gt;prazo_se,"",ESTRUTURA!A96)</f>
        <v/>
      </c>
      <c r="B95" s="111" t="str">
        <f>ESTRUTURA!C96</f>
        <v/>
      </c>
      <c r="C95" s="111" t="str">
        <f>ESTRUTURA!E96</f>
        <v/>
      </c>
      <c r="D95" s="113" t="str">
        <f>IF($A95="","",IF(A95=prazo_se,1,IFERROR(TRUNC(ESTRUTURA!R96/ESTRUTURA!T95,6),0)*100))</f>
        <v/>
      </c>
      <c r="E95" s="112"/>
      <c r="G95" s="110" t="str">
        <f>IF(ESTRUTURA!A96&gt;prazo_subp,"",ESTRUTURA!A96)</f>
        <v/>
      </c>
      <c r="H95" s="111" t="str">
        <f>IF(G95="","",ESTRUTURA!C96)</f>
        <v/>
      </c>
      <c r="I95" s="111" t="str">
        <f>IF(G95="","",ESTRUTURA!E96)</f>
        <v/>
      </c>
      <c r="J95" s="113" t="str">
        <f>IF($G95="","",IF(G95=prazo_subp,1,IFERROR(TRUNC(ESTRUTURA!Y96/ESTRUTURA!AA95,6),0)*100))</f>
        <v/>
      </c>
      <c r="K95" s="112"/>
      <c r="M95" s="110" t="str">
        <f>ESTRUTURA!M96</f>
        <v/>
      </c>
      <c r="N95" s="111" t="str">
        <f>ESTRUTURA!O96</f>
        <v/>
      </c>
      <c r="O95" s="111" t="str">
        <f>ESTRUTURA!Q96</f>
        <v/>
      </c>
      <c r="P95" s="113" t="str">
        <f>IF($M95="","",IF(M95=prazo_sub,1,IFERROR(TRUNC(ESTRUTURA!AE96/ESTRUTURA!AG95,6),0)*100))</f>
        <v/>
      </c>
      <c r="Q95" s="112"/>
    </row>
    <row r="96" spans="1:17" x14ac:dyDescent="0.3">
      <c r="A96" s="110" t="str">
        <f>IF(ESTRUTURA!A97&gt;prazo_se,"",ESTRUTURA!A97)</f>
        <v/>
      </c>
      <c r="B96" s="111" t="str">
        <f>ESTRUTURA!C97</f>
        <v/>
      </c>
      <c r="C96" s="111" t="str">
        <f>ESTRUTURA!E97</f>
        <v/>
      </c>
      <c r="D96" s="113" t="str">
        <f>IF($A96="","",IF(A96=prazo_se,1,IFERROR(TRUNC(ESTRUTURA!R97/ESTRUTURA!T96,6),0)*100))</f>
        <v/>
      </c>
      <c r="E96" s="112"/>
      <c r="G96" s="110" t="str">
        <f>IF(ESTRUTURA!A97&gt;prazo_subp,"",ESTRUTURA!A97)</f>
        <v/>
      </c>
      <c r="H96" s="111" t="str">
        <f>IF(G96="","",ESTRUTURA!C97)</f>
        <v/>
      </c>
      <c r="I96" s="111" t="str">
        <f>IF(G96="","",ESTRUTURA!E97)</f>
        <v/>
      </c>
      <c r="J96" s="113" t="str">
        <f>IF($G96="","",IF(G96=prazo_subp,1,IFERROR(TRUNC(ESTRUTURA!Y97/ESTRUTURA!AA96,6),0)*100))</f>
        <v/>
      </c>
      <c r="K96" s="112"/>
      <c r="M96" s="110" t="str">
        <f>ESTRUTURA!M97</f>
        <v/>
      </c>
      <c r="N96" s="111" t="str">
        <f>ESTRUTURA!O97</f>
        <v/>
      </c>
      <c r="O96" s="111" t="str">
        <f>ESTRUTURA!Q97</f>
        <v/>
      </c>
      <c r="P96" s="113" t="str">
        <f>IF($M96="","",IF(M96=prazo_sub,1,IFERROR(TRUNC(ESTRUTURA!AE97/ESTRUTURA!AG96,6),0)*100))</f>
        <v/>
      </c>
      <c r="Q96" s="112"/>
    </row>
    <row r="97" spans="1:17" x14ac:dyDescent="0.3">
      <c r="A97" s="110" t="str">
        <f>IF(ESTRUTURA!A98&gt;prazo_se,"",ESTRUTURA!A98)</f>
        <v/>
      </c>
      <c r="B97" s="111" t="str">
        <f>ESTRUTURA!C98</f>
        <v/>
      </c>
      <c r="C97" s="111" t="str">
        <f>ESTRUTURA!E98</f>
        <v/>
      </c>
      <c r="D97" s="113" t="str">
        <f>IF($A97="","",IF(A97=prazo_se,1,IFERROR(TRUNC(ESTRUTURA!R98/ESTRUTURA!T97,6),0)*100))</f>
        <v/>
      </c>
      <c r="E97" s="112"/>
      <c r="G97" s="110" t="str">
        <f>IF(ESTRUTURA!A98&gt;prazo_subp,"",ESTRUTURA!A98)</f>
        <v/>
      </c>
      <c r="H97" s="111" t="str">
        <f>IF(G97="","",ESTRUTURA!C98)</f>
        <v/>
      </c>
      <c r="I97" s="111" t="str">
        <f>IF(G97="","",ESTRUTURA!E98)</f>
        <v/>
      </c>
      <c r="J97" s="113" t="str">
        <f>IF($G97="","",IF(G97=prazo_subp,1,IFERROR(TRUNC(ESTRUTURA!Y98/ESTRUTURA!AA97,6),0)*100))</f>
        <v/>
      </c>
      <c r="K97" s="112"/>
      <c r="M97" s="110" t="str">
        <f>ESTRUTURA!M98</f>
        <v/>
      </c>
      <c r="N97" s="111" t="str">
        <f>ESTRUTURA!O98</f>
        <v/>
      </c>
      <c r="O97" s="111" t="str">
        <f>ESTRUTURA!Q98</f>
        <v/>
      </c>
      <c r="P97" s="113" t="str">
        <f>IF($M97="","",IF(M97=prazo_sub,1,IFERROR(TRUNC(ESTRUTURA!AE98/ESTRUTURA!AG97,6),0)*100))</f>
        <v/>
      </c>
      <c r="Q97" s="112"/>
    </row>
    <row r="98" spans="1:17" x14ac:dyDescent="0.3">
      <c r="A98" s="110" t="str">
        <f>IF(ESTRUTURA!A99&gt;prazo_se,"",ESTRUTURA!A99)</f>
        <v/>
      </c>
      <c r="B98" s="111" t="str">
        <f>ESTRUTURA!C99</f>
        <v/>
      </c>
      <c r="C98" s="111" t="str">
        <f>ESTRUTURA!E99</f>
        <v/>
      </c>
      <c r="D98" s="113" t="str">
        <f>IF($A98="","",IF(A98=prazo_se,1,IFERROR(TRUNC(ESTRUTURA!R99/ESTRUTURA!T98,6),0)*100))</f>
        <v/>
      </c>
      <c r="E98" s="112"/>
      <c r="G98" s="110" t="str">
        <f>IF(ESTRUTURA!A99&gt;prazo_subp,"",ESTRUTURA!A99)</f>
        <v/>
      </c>
      <c r="H98" s="111" t="str">
        <f>IF(G98="","",ESTRUTURA!C99)</f>
        <v/>
      </c>
      <c r="I98" s="111" t="str">
        <f>IF(G98="","",ESTRUTURA!E99)</f>
        <v/>
      </c>
      <c r="J98" s="113" t="str">
        <f>IF($G98="","",IF(G98=prazo_subp,1,IFERROR(TRUNC(ESTRUTURA!Y99/ESTRUTURA!AA98,6),0)*100))</f>
        <v/>
      </c>
      <c r="K98" s="112"/>
      <c r="M98" s="110" t="str">
        <f>ESTRUTURA!M99</f>
        <v/>
      </c>
      <c r="N98" s="111" t="str">
        <f>ESTRUTURA!O99</f>
        <v/>
      </c>
      <c r="O98" s="111" t="str">
        <f>ESTRUTURA!Q99</f>
        <v/>
      </c>
      <c r="P98" s="113" t="str">
        <f>IF($M98="","",IF(M98=prazo_sub,1,IFERROR(TRUNC(ESTRUTURA!AE99/ESTRUTURA!AG98,6),0)*100))</f>
        <v/>
      </c>
      <c r="Q98" s="112"/>
    </row>
    <row r="99" spans="1:17" x14ac:dyDescent="0.3">
      <c r="A99" s="110" t="str">
        <f>IF(ESTRUTURA!A100&gt;prazo_se,"",ESTRUTURA!A100)</f>
        <v/>
      </c>
      <c r="B99" s="111" t="str">
        <f>ESTRUTURA!C100</f>
        <v/>
      </c>
      <c r="C99" s="111" t="str">
        <f>ESTRUTURA!E100</f>
        <v/>
      </c>
      <c r="D99" s="113" t="str">
        <f>IF($A99="","",IF(A99=prazo_se,1,IFERROR(TRUNC(ESTRUTURA!R100/ESTRUTURA!T99,6),0)*100))</f>
        <v/>
      </c>
      <c r="E99" s="112"/>
      <c r="G99" s="110" t="str">
        <f>IF(ESTRUTURA!A100&gt;prazo_subp,"",ESTRUTURA!A100)</f>
        <v/>
      </c>
      <c r="H99" s="111" t="str">
        <f>IF(G99="","",ESTRUTURA!C100)</f>
        <v/>
      </c>
      <c r="I99" s="111" t="str">
        <f>IF(G99="","",ESTRUTURA!E100)</f>
        <v/>
      </c>
      <c r="J99" s="113" t="str">
        <f>IF($G99="","",IF(G99=prazo_subp,1,IFERROR(TRUNC(ESTRUTURA!Y100/ESTRUTURA!AA99,6),0)*100))</f>
        <v/>
      </c>
      <c r="K99" s="112"/>
      <c r="M99" s="110" t="str">
        <f>ESTRUTURA!M100</f>
        <v/>
      </c>
      <c r="N99" s="111" t="str">
        <f>ESTRUTURA!O100</f>
        <v/>
      </c>
      <c r="O99" s="111" t="str">
        <f>ESTRUTURA!Q100</f>
        <v/>
      </c>
      <c r="P99" s="113" t="str">
        <f>IF($M99="","",IF(M99=prazo_sub,1,IFERROR(TRUNC(ESTRUTURA!AE100/ESTRUTURA!AG99,6),0)*100))</f>
        <v/>
      </c>
      <c r="Q99" s="112"/>
    </row>
    <row r="100" spans="1:17" x14ac:dyDescent="0.3">
      <c r="A100" s="110" t="str">
        <f>IF(ESTRUTURA!A101&gt;prazo_se,"",ESTRUTURA!A101)</f>
        <v/>
      </c>
      <c r="B100" s="111" t="str">
        <f>ESTRUTURA!C101</f>
        <v/>
      </c>
      <c r="C100" s="111" t="str">
        <f>ESTRUTURA!E101</f>
        <v/>
      </c>
      <c r="D100" s="113" t="str">
        <f>IF($A100="","",IF(A100=prazo_se,1,IFERROR(TRUNC(ESTRUTURA!R101/ESTRUTURA!T100,6),0)*100))</f>
        <v/>
      </c>
      <c r="E100" s="112"/>
      <c r="G100" s="110" t="str">
        <f>IF(ESTRUTURA!A101&gt;prazo_subp,"",ESTRUTURA!A101)</f>
        <v/>
      </c>
      <c r="H100" s="111" t="str">
        <f>IF(G100="","",ESTRUTURA!C101)</f>
        <v/>
      </c>
      <c r="I100" s="111" t="str">
        <f>IF(G100="","",ESTRUTURA!E101)</f>
        <v/>
      </c>
      <c r="J100" s="113" t="str">
        <f>IF($G100="","",IF(G100=prazo_subp,1,IFERROR(TRUNC(ESTRUTURA!Y101/ESTRUTURA!AA100,6),0)*100))</f>
        <v/>
      </c>
      <c r="K100" s="112"/>
      <c r="M100" s="110" t="str">
        <f>ESTRUTURA!M101</f>
        <v/>
      </c>
      <c r="N100" s="111" t="str">
        <f>ESTRUTURA!O101</f>
        <v/>
      </c>
      <c r="O100" s="111" t="str">
        <f>ESTRUTURA!Q101</f>
        <v/>
      </c>
      <c r="P100" s="113" t="str">
        <f>IF($M100="","",IF(M100=prazo_sub,1,IFERROR(TRUNC(ESTRUTURA!AE101/ESTRUTURA!AG100,6),0)*100))</f>
        <v/>
      </c>
      <c r="Q100" s="112"/>
    </row>
    <row r="101" spans="1:17" x14ac:dyDescent="0.3">
      <c r="A101" s="110" t="str">
        <f>IF(ESTRUTURA!A102&gt;prazo_se,"",ESTRUTURA!A102)</f>
        <v/>
      </c>
      <c r="B101" s="111" t="str">
        <f>ESTRUTURA!C102</f>
        <v/>
      </c>
      <c r="C101" s="111" t="str">
        <f>ESTRUTURA!E102</f>
        <v/>
      </c>
      <c r="D101" s="113" t="str">
        <f>IF($A101="","",IF(A101=prazo_se,1,IFERROR(TRUNC(ESTRUTURA!R102/ESTRUTURA!T101,6),0)*100))</f>
        <v/>
      </c>
      <c r="E101" s="112"/>
      <c r="G101" s="110" t="str">
        <f>IF(ESTRUTURA!A102&gt;prazo_subp,"",ESTRUTURA!A102)</f>
        <v/>
      </c>
      <c r="H101" s="111" t="str">
        <f>IF(G101="","",ESTRUTURA!C102)</f>
        <v/>
      </c>
      <c r="I101" s="111" t="str">
        <f>IF(G101="","",ESTRUTURA!E102)</f>
        <v/>
      </c>
      <c r="J101" s="113" t="str">
        <f>IF($G101="","",IF(G101=prazo_subp,1,IFERROR(TRUNC(ESTRUTURA!Y102/ESTRUTURA!AA101,6),0)*100))</f>
        <v/>
      </c>
      <c r="K101" s="112"/>
      <c r="M101" s="110" t="str">
        <f>ESTRUTURA!M102</f>
        <v/>
      </c>
      <c r="N101" s="111" t="str">
        <f>ESTRUTURA!O102</f>
        <v/>
      </c>
      <c r="O101" s="111" t="str">
        <f>ESTRUTURA!Q102</f>
        <v/>
      </c>
      <c r="P101" s="113" t="str">
        <f>IF($M101="","",IF(M101=prazo_sub,1,IFERROR(TRUNC(ESTRUTURA!AE102/ESTRUTURA!AG101,6),0)*100))</f>
        <v/>
      </c>
      <c r="Q101" s="112"/>
    </row>
    <row r="102" spans="1:17" x14ac:dyDescent="0.3">
      <c r="A102" s="110" t="str">
        <f>IF(ESTRUTURA!A103&gt;prazo_se,"",ESTRUTURA!A103)</f>
        <v/>
      </c>
      <c r="B102" s="111" t="str">
        <f>ESTRUTURA!C103</f>
        <v/>
      </c>
      <c r="C102" s="111" t="str">
        <f>ESTRUTURA!E103</f>
        <v/>
      </c>
      <c r="D102" s="113" t="str">
        <f>IF($A102="","",IF(A102=prazo_se,1,IFERROR(TRUNC(ESTRUTURA!R103/ESTRUTURA!T102,6),0)*100))</f>
        <v/>
      </c>
      <c r="E102" s="112"/>
      <c r="G102" s="110" t="str">
        <f>IF(ESTRUTURA!A103&gt;prazo_subp,"",ESTRUTURA!A103)</f>
        <v/>
      </c>
      <c r="H102" s="111" t="str">
        <f>IF(G102="","",ESTRUTURA!C103)</f>
        <v/>
      </c>
      <c r="I102" s="111" t="str">
        <f>IF(G102="","",ESTRUTURA!E103)</f>
        <v/>
      </c>
      <c r="J102" s="113" t="str">
        <f>IF($G102="","",IF(G102=prazo_subp,1,IFERROR(TRUNC(ESTRUTURA!Y103/ESTRUTURA!AA102,6),0)*100))</f>
        <v/>
      </c>
      <c r="K102" s="112"/>
      <c r="M102" s="110" t="str">
        <f>ESTRUTURA!M103</f>
        <v/>
      </c>
      <c r="N102" s="111" t="str">
        <f>ESTRUTURA!O103</f>
        <v/>
      </c>
      <c r="O102" s="111" t="str">
        <f>ESTRUTURA!Q103</f>
        <v/>
      </c>
      <c r="P102" s="113" t="str">
        <f>IF($M102="","",IF(M102=prazo_sub,1,IFERROR(TRUNC(ESTRUTURA!AE103/ESTRUTURA!AG102,6),0)*100))</f>
        <v/>
      </c>
      <c r="Q102" s="112"/>
    </row>
    <row r="103" spans="1:17" x14ac:dyDescent="0.3">
      <c r="A103" s="110" t="str">
        <f>IF(ESTRUTURA!A104&gt;prazo_se,"",ESTRUTURA!A104)</f>
        <v/>
      </c>
      <c r="B103" s="111" t="str">
        <f>ESTRUTURA!C104</f>
        <v/>
      </c>
      <c r="C103" s="111" t="str">
        <f>ESTRUTURA!E104</f>
        <v/>
      </c>
      <c r="D103" s="113" t="str">
        <f>IF($A103="","",IF(A103=prazo_se,1,IFERROR(TRUNC(ESTRUTURA!R104/ESTRUTURA!T103,6),0)*100))</f>
        <v/>
      </c>
      <c r="E103" s="112"/>
      <c r="G103" s="110" t="str">
        <f>IF(ESTRUTURA!A104&gt;prazo_subp,"",ESTRUTURA!A104)</f>
        <v/>
      </c>
      <c r="H103" s="111" t="str">
        <f>IF(G103="","",ESTRUTURA!C104)</f>
        <v/>
      </c>
      <c r="I103" s="111" t="str">
        <f>IF(G103="","",ESTRUTURA!E104)</f>
        <v/>
      </c>
      <c r="J103" s="113" t="str">
        <f>IF($G103="","",IF(G103=prazo_subp,1,IFERROR(TRUNC(ESTRUTURA!Y104/ESTRUTURA!AA103,6),0)*100))</f>
        <v/>
      </c>
      <c r="K103" s="112"/>
      <c r="M103" s="110" t="str">
        <f>ESTRUTURA!M104</f>
        <v/>
      </c>
      <c r="N103" s="111" t="str">
        <f>ESTRUTURA!O104</f>
        <v/>
      </c>
      <c r="O103" s="111" t="str">
        <f>ESTRUTURA!Q104</f>
        <v/>
      </c>
      <c r="P103" s="113" t="str">
        <f>IF($M103="","",IF(M103=prazo_sub,1,IFERROR(TRUNC(ESTRUTURA!AE104/ESTRUTURA!AG103,6),0)*100))</f>
        <v/>
      </c>
      <c r="Q103" s="112"/>
    </row>
    <row r="104" spans="1:17" x14ac:dyDescent="0.3">
      <c r="A104" s="110" t="str">
        <f>IF(ESTRUTURA!A105&gt;prazo_se,"",ESTRUTURA!A105)</f>
        <v/>
      </c>
      <c r="B104" s="111" t="str">
        <f>ESTRUTURA!C105</f>
        <v/>
      </c>
      <c r="C104" s="111" t="str">
        <f>ESTRUTURA!E105</f>
        <v/>
      </c>
      <c r="D104" s="113" t="str">
        <f>IF($A104="","",IF(A104=prazo_se,1,IFERROR(TRUNC(ESTRUTURA!R105/ESTRUTURA!T104,6),0)*100))</f>
        <v/>
      </c>
      <c r="E104" s="112"/>
      <c r="G104" s="110" t="str">
        <f>IF(ESTRUTURA!A105&gt;prazo_subp,"",ESTRUTURA!A105)</f>
        <v/>
      </c>
      <c r="H104" s="111" t="str">
        <f>IF(G104="","",ESTRUTURA!C105)</f>
        <v/>
      </c>
      <c r="I104" s="111" t="str">
        <f>IF(G104="","",ESTRUTURA!E105)</f>
        <v/>
      </c>
      <c r="J104" s="113" t="str">
        <f>IF($G104="","",IF(G104=prazo_subp,1,IFERROR(TRUNC(ESTRUTURA!Y105/ESTRUTURA!AA104,6),0)*100))</f>
        <v/>
      </c>
      <c r="K104" s="112"/>
      <c r="M104" s="110" t="str">
        <f>ESTRUTURA!M105</f>
        <v/>
      </c>
      <c r="N104" s="111" t="str">
        <f>ESTRUTURA!O105</f>
        <v/>
      </c>
      <c r="O104" s="111" t="str">
        <f>ESTRUTURA!Q105</f>
        <v/>
      </c>
      <c r="P104" s="113" t="str">
        <f>IF($M104="","",IF(M104=prazo_sub,1,IFERROR(TRUNC(ESTRUTURA!AE105/ESTRUTURA!AG104,6),0)*100))</f>
        <v/>
      </c>
      <c r="Q104" s="112"/>
    </row>
    <row r="105" spans="1:17" x14ac:dyDescent="0.3">
      <c r="A105" s="110" t="str">
        <f>IF(ESTRUTURA!A106&gt;prazo_se,"",ESTRUTURA!A106)</f>
        <v/>
      </c>
      <c r="B105" s="111" t="str">
        <f>ESTRUTURA!C106</f>
        <v/>
      </c>
      <c r="C105" s="111" t="str">
        <f>ESTRUTURA!E106</f>
        <v/>
      </c>
      <c r="D105" s="113" t="str">
        <f>IF($A105="","",IF(A105=prazo_se,1,IFERROR(TRUNC(ESTRUTURA!R106/ESTRUTURA!T105,6),0)*100))</f>
        <v/>
      </c>
      <c r="E105" s="112"/>
      <c r="G105" s="110" t="str">
        <f>IF(ESTRUTURA!A106&gt;prazo_subp,"",ESTRUTURA!A106)</f>
        <v/>
      </c>
      <c r="H105" s="111" t="str">
        <f>IF(G105="","",ESTRUTURA!C106)</f>
        <v/>
      </c>
      <c r="I105" s="111" t="str">
        <f>IF(G105="","",ESTRUTURA!E106)</f>
        <v/>
      </c>
      <c r="J105" s="113" t="str">
        <f>IF($G105="","",IF(G105=prazo_subp,1,IFERROR(TRUNC(ESTRUTURA!Y106/ESTRUTURA!AA105,6),0)*100))</f>
        <v/>
      </c>
      <c r="K105" s="112"/>
      <c r="M105" s="110" t="str">
        <f>ESTRUTURA!M106</f>
        <v/>
      </c>
      <c r="N105" s="111" t="str">
        <f>ESTRUTURA!O106</f>
        <v/>
      </c>
      <c r="O105" s="111" t="str">
        <f>ESTRUTURA!Q106</f>
        <v/>
      </c>
      <c r="P105" s="113" t="str">
        <f>IF($M105="","",IF(M105=prazo_sub,1,IFERROR(TRUNC(ESTRUTURA!AE106/ESTRUTURA!AG105,6),0)*100))</f>
        <v/>
      </c>
      <c r="Q105" s="112"/>
    </row>
    <row r="106" spans="1:17" x14ac:dyDescent="0.3">
      <c r="A106" s="110" t="str">
        <f>IF(ESTRUTURA!A107&gt;prazo_se,"",ESTRUTURA!A107)</f>
        <v/>
      </c>
      <c r="B106" s="111" t="str">
        <f>ESTRUTURA!C107</f>
        <v/>
      </c>
      <c r="C106" s="111" t="str">
        <f>ESTRUTURA!E107</f>
        <v/>
      </c>
      <c r="D106" s="113" t="str">
        <f>IF($A106="","",IF(A106=prazo_se,1,IFERROR(TRUNC(ESTRUTURA!R107/ESTRUTURA!T106,6),0)*100))</f>
        <v/>
      </c>
      <c r="E106" s="112"/>
      <c r="G106" s="110" t="str">
        <f>IF(ESTRUTURA!A107&gt;prazo_subp,"",ESTRUTURA!A107)</f>
        <v/>
      </c>
      <c r="H106" s="111" t="str">
        <f>IF(G106="","",ESTRUTURA!C107)</f>
        <v/>
      </c>
      <c r="I106" s="111" t="str">
        <f>IF(G106="","",ESTRUTURA!E107)</f>
        <v/>
      </c>
      <c r="J106" s="113" t="str">
        <f>IF($G106="","",IF(G106=prazo_subp,1,IFERROR(TRUNC(ESTRUTURA!Y107/ESTRUTURA!AA106,6),0)*100))</f>
        <v/>
      </c>
      <c r="K106" s="112"/>
      <c r="M106" s="110" t="str">
        <f>ESTRUTURA!M107</f>
        <v/>
      </c>
      <c r="N106" s="111" t="str">
        <f>ESTRUTURA!O107</f>
        <v/>
      </c>
      <c r="O106" s="111" t="str">
        <f>ESTRUTURA!Q107</f>
        <v/>
      </c>
      <c r="P106" s="113" t="str">
        <f>IF($M106="","",IF(M106=prazo_sub,1,IFERROR(TRUNC(ESTRUTURA!AE107/ESTRUTURA!AG106,6),0)*100))</f>
        <v/>
      </c>
      <c r="Q106" s="112"/>
    </row>
    <row r="107" spans="1:17" x14ac:dyDescent="0.3">
      <c r="A107" s="110" t="str">
        <f>IF(ESTRUTURA!A108&gt;prazo_se,"",ESTRUTURA!A108)</f>
        <v/>
      </c>
      <c r="B107" s="111" t="str">
        <f>ESTRUTURA!C108</f>
        <v/>
      </c>
      <c r="C107" s="111" t="str">
        <f>ESTRUTURA!E108</f>
        <v/>
      </c>
      <c r="D107" s="113" t="str">
        <f>IF($A107="","",IF(A107=prazo_se,1,IFERROR(TRUNC(ESTRUTURA!R108/ESTRUTURA!T107,6),0)*100))</f>
        <v/>
      </c>
      <c r="E107" s="112"/>
      <c r="G107" s="110" t="str">
        <f>IF(ESTRUTURA!A108&gt;prazo_subp,"",ESTRUTURA!A108)</f>
        <v/>
      </c>
      <c r="H107" s="111" t="str">
        <f>IF(G107="","",ESTRUTURA!C108)</f>
        <v/>
      </c>
      <c r="I107" s="111" t="str">
        <f>IF(G107="","",ESTRUTURA!E108)</f>
        <v/>
      </c>
      <c r="J107" s="113" t="str">
        <f>IF($G107="","",IF(G107=prazo_subp,1,IFERROR(TRUNC(ESTRUTURA!Y108/ESTRUTURA!AA107,6),0)*100))</f>
        <v/>
      </c>
      <c r="K107" s="112"/>
      <c r="M107" s="110" t="str">
        <f>ESTRUTURA!M108</f>
        <v/>
      </c>
      <c r="N107" s="111" t="str">
        <f>ESTRUTURA!O108</f>
        <v/>
      </c>
      <c r="O107" s="111" t="str">
        <f>ESTRUTURA!Q108</f>
        <v/>
      </c>
      <c r="P107" s="113" t="str">
        <f>IF($M107="","",IF(M107=prazo_sub,1,IFERROR(TRUNC(ESTRUTURA!AE108/ESTRUTURA!AG107,6),0)*100))</f>
        <v/>
      </c>
      <c r="Q107" s="112"/>
    </row>
    <row r="108" spans="1:17" x14ac:dyDescent="0.3">
      <c r="A108" s="110" t="str">
        <f>IF(ESTRUTURA!A109&gt;prazo_se,"",ESTRUTURA!A109)</f>
        <v/>
      </c>
      <c r="B108" s="111" t="str">
        <f>ESTRUTURA!C109</f>
        <v/>
      </c>
      <c r="C108" s="111" t="str">
        <f>ESTRUTURA!E109</f>
        <v/>
      </c>
      <c r="D108" s="113" t="str">
        <f>IF($A108="","",IF(A108=prazo_se,1,IFERROR(TRUNC(ESTRUTURA!R109/ESTRUTURA!T108,6),0)*100))</f>
        <v/>
      </c>
      <c r="E108" s="112"/>
      <c r="G108" s="110" t="str">
        <f>IF(ESTRUTURA!A109&gt;prazo_subp,"",ESTRUTURA!A109)</f>
        <v/>
      </c>
      <c r="H108" s="111" t="str">
        <f>IF(G108="","",ESTRUTURA!C109)</f>
        <v/>
      </c>
      <c r="I108" s="111" t="str">
        <f>IF(G108="","",ESTRUTURA!E109)</f>
        <v/>
      </c>
      <c r="J108" s="113" t="str">
        <f>IF($G108="","",IF(G108=prazo_subp,1,IFERROR(TRUNC(ESTRUTURA!Y109/ESTRUTURA!AA108,6),0)*100))</f>
        <v/>
      </c>
      <c r="K108" s="112"/>
      <c r="M108" s="110" t="str">
        <f>ESTRUTURA!M109</f>
        <v/>
      </c>
      <c r="N108" s="111" t="str">
        <f>ESTRUTURA!O109</f>
        <v/>
      </c>
      <c r="O108" s="111" t="str">
        <f>ESTRUTURA!Q109</f>
        <v/>
      </c>
      <c r="P108" s="113" t="str">
        <f>IF($M108="","",IF(M108=prazo_sub,1,IFERROR(TRUNC(ESTRUTURA!AE109/ESTRUTURA!AG108,6),0)*100))</f>
        <v/>
      </c>
      <c r="Q108" s="112"/>
    </row>
    <row r="109" spans="1:17" x14ac:dyDescent="0.3">
      <c r="A109" s="110" t="str">
        <f>IF(ESTRUTURA!A110&gt;prazo_se,"",ESTRUTURA!A110)</f>
        <v/>
      </c>
      <c r="B109" s="111" t="str">
        <f>ESTRUTURA!C110</f>
        <v/>
      </c>
      <c r="C109" s="111" t="str">
        <f>ESTRUTURA!E110</f>
        <v/>
      </c>
      <c r="D109" s="113" t="str">
        <f>IF($A109="","",IF(A109=prazo_se,1,IFERROR(TRUNC(ESTRUTURA!R110/ESTRUTURA!T109,6),0)*100))</f>
        <v/>
      </c>
      <c r="E109" s="112"/>
      <c r="G109" s="110" t="str">
        <f>IF(ESTRUTURA!A110&gt;prazo_subp,"",ESTRUTURA!A110)</f>
        <v/>
      </c>
      <c r="H109" s="111" t="str">
        <f>IF(G109="","",ESTRUTURA!C110)</f>
        <v/>
      </c>
      <c r="I109" s="111" t="str">
        <f>IF(G109="","",ESTRUTURA!E110)</f>
        <v/>
      </c>
      <c r="J109" s="113" t="str">
        <f>IF($G109="","",IF(G109=prazo_subp,1,IFERROR(TRUNC(ESTRUTURA!Y110/ESTRUTURA!AA109,6),0)*100))</f>
        <v/>
      </c>
      <c r="K109" s="112"/>
      <c r="M109" s="110" t="str">
        <f>ESTRUTURA!M110</f>
        <v/>
      </c>
      <c r="N109" s="111" t="str">
        <f>ESTRUTURA!O110</f>
        <v/>
      </c>
      <c r="O109" s="111" t="str">
        <f>ESTRUTURA!Q110</f>
        <v/>
      </c>
      <c r="P109" s="113" t="str">
        <f>IF($M109="","",IF(M109=prazo_sub,1,IFERROR(TRUNC(ESTRUTURA!AE110/ESTRUTURA!AG109,6),0)*100))</f>
        <v/>
      </c>
      <c r="Q109" s="112"/>
    </row>
    <row r="110" spans="1:17" x14ac:dyDescent="0.3">
      <c r="A110" s="110" t="str">
        <f>IF(ESTRUTURA!A111&gt;prazo_se,"",ESTRUTURA!A111)</f>
        <v/>
      </c>
      <c r="B110" s="111" t="str">
        <f>ESTRUTURA!C111</f>
        <v/>
      </c>
      <c r="C110" s="111" t="str">
        <f>ESTRUTURA!E111</f>
        <v/>
      </c>
      <c r="D110" s="113" t="str">
        <f>IF($A110="","",IF(A110=prazo_se,1,IFERROR(TRUNC(ESTRUTURA!R111/ESTRUTURA!T110,6),0)*100))</f>
        <v/>
      </c>
      <c r="E110" s="112"/>
      <c r="G110" s="110" t="str">
        <f>IF(ESTRUTURA!A111&gt;prazo_subp,"",ESTRUTURA!A111)</f>
        <v/>
      </c>
      <c r="H110" s="111" t="str">
        <f>IF(G110="","",ESTRUTURA!C111)</f>
        <v/>
      </c>
      <c r="I110" s="111" t="str">
        <f>IF(G110="","",ESTRUTURA!E111)</f>
        <v/>
      </c>
      <c r="J110" s="113" t="str">
        <f>IF($G110="","",IF(G110=prazo_subp,1,IFERROR(TRUNC(ESTRUTURA!Y111/ESTRUTURA!AA110,6),0)*100))</f>
        <v/>
      </c>
      <c r="K110" s="112"/>
      <c r="M110" s="110" t="str">
        <f>ESTRUTURA!M111</f>
        <v/>
      </c>
      <c r="N110" s="111" t="str">
        <f>ESTRUTURA!O111</f>
        <v/>
      </c>
      <c r="O110" s="111" t="str">
        <f>ESTRUTURA!Q111</f>
        <v/>
      </c>
      <c r="P110" s="113" t="str">
        <f>IF($M110="","",IF(M110=prazo_sub,1,IFERROR(TRUNC(ESTRUTURA!AE111/ESTRUTURA!AG110,6),0)*100))</f>
        <v/>
      </c>
      <c r="Q110" s="112"/>
    </row>
    <row r="111" spans="1:17" x14ac:dyDescent="0.3">
      <c r="A111" s="110" t="str">
        <f>IF(ESTRUTURA!A112&gt;prazo_se,"",ESTRUTURA!A112)</f>
        <v/>
      </c>
      <c r="B111" s="111" t="str">
        <f>ESTRUTURA!C112</f>
        <v/>
      </c>
      <c r="C111" s="111" t="str">
        <f>ESTRUTURA!E112</f>
        <v/>
      </c>
      <c r="D111" s="113" t="str">
        <f>IF($A111="","",IF(A111=prazo_se,1,IFERROR(TRUNC(ESTRUTURA!R112/ESTRUTURA!T111,6),0)*100))</f>
        <v/>
      </c>
      <c r="E111" s="112"/>
      <c r="G111" s="110" t="str">
        <f>IF(ESTRUTURA!A112&gt;prazo_subp,"",ESTRUTURA!A112)</f>
        <v/>
      </c>
      <c r="H111" s="111" t="str">
        <f>IF(G111="","",ESTRUTURA!C112)</f>
        <v/>
      </c>
      <c r="I111" s="111" t="str">
        <f>IF(G111="","",ESTRUTURA!E112)</f>
        <v/>
      </c>
      <c r="J111" s="113" t="str">
        <f>IF($G111="","",IF(G111=prazo_subp,1,IFERROR(TRUNC(ESTRUTURA!Y112/ESTRUTURA!AA111,6),0)*100))</f>
        <v/>
      </c>
      <c r="K111" s="112"/>
      <c r="M111" s="110" t="str">
        <f>ESTRUTURA!M112</f>
        <v/>
      </c>
      <c r="N111" s="111" t="str">
        <f>ESTRUTURA!O112</f>
        <v/>
      </c>
      <c r="O111" s="111" t="str">
        <f>ESTRUTURA!Q112</f>
        <v/>
      </c>
      <c r="P111" s="113" t="str">
        <f>IF($M111="","",IF(M111=prazo_sub,1,IFERROR(TRUNC(ESTRUTURA!AE112/ESTRUTURA!AG111,6),0)*100))</f>
        <v/>
      </c>
      <c r="Q111" s="112"/>
    </row>
    <row r="112" spans="1:17" x14ac:dyDescent="0.3">
      <c r="A112" s="110" t="str">
        <f>IF(ESTRUTURA!A113&gt;prazo_se,"",ESTRUTURA!A113)</f>
        <v/>
      </c>
      <c r="B112" s="111" t="str">
        <f>ESTRUTURA!C113</f>
        <v/>
      </c>
      <c r="C112" s="111" t="str">
        <f>ESTRUTURA!E113</f>
        <v/>
      </c>
      <c r="D112" s="113" t="str">
        <f>IF($A112="","",IF(A112=prazo_se,1,IFERROR(TRUNC(ESTRUTURA!R113/ESTRUTURA!T112,6),0)*100))</f>
        <v/>
      </c>
      <c r="E112" s="112"/>
      <c r="G112" s="110" t="str">
        <f>IF(ESTRUTURA!A113&gt;prazo_subp,"",ESTRUTURA!A113)</f>
        <v/>
      </c>
      <c r="H112" s="111" t="str">
        <f>IF(G112="","",ESTRUTURA!C113)</f>
        <v/>
      </c>
      <c r="I112" s="111" t="str">
        <f>IF(G112="","",ESTRUTURA!E113)</f>
        <v/>
      </c>
      <c r="J112" s="113" t="str">
        <f>IF($G112="","",IF(G112=prazo_subp,1,IFERROR(TRUNC(ESTRUTURA!Y113/ESTRUTURA!AA112,6),0)*100))</f>
        <v/>
      </c>
      <c r="K112" s="112"/>
      <c r="M112" s="110" t="str">
        <f>ESTRUTURA!M113</f>
        <v/>
      </c>
      <c r="N112" s="111" t="str">
        <f>ESTRUTURA!O113</f>
        <v/>
      </c>
      <c r="O112" s="111" t="str">
        <f>ESTRUTURA!Q113</f>
        <v/>
      </c>
      <c r="P112" s="113" t="str">
        <f>IF($M112="","",IF(M112=prazo_sub,1,IFERROR(TRUNC(ESTRUTURA!AE113/ESTRUTURA!AG112,6),0)*100))</f>
        <v/>
      </c>
      <c r="Q112" s="112"/>
    </row>
    <row r="113" spans="1:17" x14ac:dyDescent="0.3">
      <c r="A113" s="110" t="str">
        <f>IF(ESTRUTURA!A114&gt;prazo_se,"",ESTRUTURA!A114)</f>
        <v/>
      </c>
      <c r="B113" s="111" t="str">
        <f>ESTRUTURA!C114</f>
        <v/>
      </c>
      <c r="C113" s="111" t="str">
        <f>ESTRUTURA!E114</f>
        <v/>
      </c>
      <c r="D113" s="113" t="str">
        <f>IF($A113="","",IF(A113=prazo_se,1,IFERROR(TRUNC(ESTRUTURA!R114/ESTRUTURA!T113,6),0)*100))</f>
        <v/>
      </c>
      <c r="E113" s="112"/>
      <c r="G113" s="110" t="str">
        <f>IF(ESTRUTURA!A114&gt;prazo_subp,"",ESTRUTURA!A114)</f>
        <v/>
      </c>
      <c r="H113" s="111" t="str">
        <f>IF(G113="","",ESTRUTURA!C114)</f>
        <v/>
      </c>
      <c r="I113" s="111" t="str">
        <f>IF(G113="","",ESTRUTURA!E114)</f>
        <v/>
      </c>
      <c r="J113" s="113" t="str">
        <f>IF($G113="","",IF(G113=prazo_subp,1,IFERROR(TRUNC(ESTRUTURA!Y114/ESTRUTURA!AA113,6),0)*100))</f>
        <v/>
      </c>
      <c r="K113" s="112"/>
      <c r="M113" s="110" t="str">
        <f>ESTRUTURA!M114</f>
        <v/>
      </c>
      <c r="N113" s="111" t="str">
        <f>ESTRUTURA!O114</f>
        <v/>
      </c>
      <c r="O113" s="111" t="str">
        <f>ESTRUTURA!Q114</f>
        <v/>
      </c>
      <c r="P113" s="113" t="str">
        <f>IF($M113="","",IF(M113=prazo_sub,1,IFERROR(TRUNC(ESTRUTURA!AE114/ESTRUTURA!AG113,6),0)*100))</f>
        <v/>
      </c>
      <c r="Q113" s="112"/>
    </row>
    <row r="114" spans="1:17" x14ac:dyDescent="0.3">
      <c r="A114" s="110" t="str">
        <f>IF(ESTRUTURA!A115&gt;prazo_se,"",ESTRUTURA!A115)</f>
        <v/>
      </c>
      <c r="B114" s="111" t="str">
        <f>ESTRUTURA!C115</f>
        <v/>
      </c>
      <c r="C114" s="111" t="str">
        <f>ESTRUTURA!E115</f>
        <v/>
      </c>
      <c r="D114" s="113" t="str">
        <f>IF($A114="","",IF(A114=prazo_se,1,IFERROR(TRUNC(ESTRUTURA!R115/ESTRUTURA!T114,6),0)*100))</f>
        <v/>
      </c>
      <c r="E114" s="112"/>
      <c r="G114" s="110" t="str">
        <f>IF(ESTRUTURA!A115&gt;prazo_subp,"",ESTRUTURA!A115)</f>
        <v/>
      </c>
      <c r="H114" s="111" t="str">
        <f>IF(G114="","",ESTRUTURA!C115)</f>
        <v/>
      </c>
      <c r="I114" s="111" t="str">
        <f>IF(G114="","",ESTRUTURA!E115)</f>
        <v/>
      </c>
      <c r="J114" s="113" t="str">
        <f>IF($G114="","",IF(G114=prazo_subp,1,IFERROR(TRUNC(ESTRUTURA!Y115/ESTRUTURA!AA114,6),0)*100))</f>
        <v/>
      </c>
      <c r="K114" s="112"/>
      <c r="M114" s="110" t="str">
        <f>ESTRUTURA!M115</f>
        <v/>
      </c>
      <c r="N114" s="111" t="str">
        <f>ESTRUTURA!O115</f>
        <v/>
      </c>
      <c r="O114" s="111" t="str">
        <f>ESTRUTURA!Q115</f>
        <v/>
      </c>
      <c r="P114" s="113" t="str">
        <f>IF($M114="","",IF(M114=prazo_sub,1,IFERROR(TRUNC(ESTRUTURA!AE115/ESTRUTURA!AG114,6),0)*100))</f>
        <v/>
      </c>
      <c r="Q114" s="112"/>
    </row>
    <row r="115" spans="1:17" x14ac:dyDescent="0.3">
      <c r="A115" s="110" t="str">
        <f>IF(ESTRUTURA!A116&gt;prazo_se,"",ESTRUTURA!A116)</f>
        <v/>
      </c>
      <c r="B115" s="111" t="str">
        <f>ESTRUTURA!C116</f>
        <v/>
      </c>
      <c r="C115" s="111" t="str">
        <f>ESTRUTURA!E116</f>
        <v/>
      </c>
      <c r="D115" s="113" t="str">
        <f>IF($A115="","",IF(A115=prazo_se,1,IFERROR(TRUNC(ESTRUTURA!R116/ESTRUTURA!T115,6),0)*100))</f>
        <v/>
      </c>
      <c r="E115" s="112"/>
      <c r="G115" s="110" t="str">
        <f>IF(ESTRUTURA!A116&gt;prazo_subp,"",ESTRUTURA!A116)</f>
        <v/>
      </c>
      <c r="H115" s="111" t="str">
        <f>IF(G115="","",ESTRUTURA!C116)</f>
        <v/>
      </c>
      <c r="I115" s="111" t="str">
        <f>IF(G115="","",ESTRUTURA!E116)</f>
        <v/>
      </c>
      <c r="J115" s="113" t="str">
        <f>IF($G115="","",IF(G115=prazo_subp,1,IFERROR(TRUNC(ESTRUTURA!Y116/ESTRUTURA!AA115,6),0)*100))</f>
        <v/>
      </c>
      <c r="K115" s="112"/>
      <c r="M115" s="110" t="str">
        <f>ESTRUTURA!M116</f>
        <v/>
      </c>
      <c r="N115" s="111" t="str">
        <f>ESTRUTURA!O116</f>
        <v/>
      </c>
      <c r="O115" s="111" t="str">
        <f>ESTRUTURA!Q116</f>
        <v/>
      </c>
      <c r="P115" s="113" t="str">
        <f>IF($M115="","",IF(M115=prazo_sub,1,IFERROR(TRUNC(ESTRUTURA!AE116/ESTRUTURA!AG115,6),0)*100))</f>
        <v/>
      </c>
      <c r="Q115" s="112"/>
    </row>
    <row r="116" spans="1:17" x14ac:dyDescent="0.3">
      <c r="A116" s="110" t="str">
        <f>IF(ESTRUTURA!A117&gt;prazo_se,"",ESTRUTURA!A117)</f>
        <v/>
      </c>
      <c r="B116" s="111" t="str">
        <f>ESTRUTURA!C117</f>
        <v/>
      </c>
      <c r="C116" s="111" t="str">
        <f>ESTRUTURA!E117</f>
        <v/>
      </c>
      <c r="D116" s="113" t="str">
        <f>IF($A116="","",IF(A116=prazo_se,1,IFERROR(TRUNC(ESTRUTURA!R117/ESTRUTURA!T116,6),0)*100))</f>
        <v/>
      </c>
      <c r="E116" s="112"/>
      <c r="G116" s="110" t="str">
        <f>IF(ESTRUTURA!A117&gt;prazo_subp,"",ESTRUTURA!A117)</f>
        <v/>
      </c>
      <c r="H116" s="111" t="str">
        <f>IF(G116="","",ESTRUTURA!C117)</f>
        <v/>
      </c>
      <c r="I116" s="111" t="str">
        <f>IF(G116="","",ESTRUTURA!E117)</f>
        <v/>
      </c>
      <c r="J116" s="113" t="str">
        <f>IF($G116="","",IF(G116=prazo_subp,1,IFERROR(TRUNC(ESTRUTURA!Y117/ESTRUTURA!AA116,6),0)*100))</f>
        <v/>
      </c>
      <c r="K116" s="112"/>
      <c r="M116" s="110" t="str">
        <f>ESTRUTURA!M117</f>
        <v/>
      </c>
      <c r="N116" s="111" t="str">
        <f>ESTRUTURA!O117</f>
        <v/>
      </c>
      <c r="O116" s="111" t="str">
        <f>ESTRUTURA!Q117</f>
        <v/>
      </c>
      <c r="P116" s="113" t="str">
        <f>IF($M116="","",IF(M116=prazo_sub,1,IFERROR(TRUNC(ESTRUTURA!AE117/ESTRUTURA!AG116,6),0)*100))</f>
        <v/>
      </c>
      <c r="Q116" s="112"/>
    </row>
    <row r="117" spans="1:17" x14ac:dyDescent="0.3">
      <c r="A117" s="110" t="str">
        <f>IF(ESTRUTURA!A118&gt;prazo_se,"",ESTRUTURA!A118)</f>
        <v/>
      </c>
      <c r="B117" s="111" t="str">
        <f>ESTRUTURA!C118</f>
        <v/>
      </c>
      <c r="C117" s="111" t="str">
        <f>ESTRUTURA!E118</f>
        <v/>
      </c>
      <c r="D117" s="113" t="str">
        <f>IF($A117="","",IF(A117=prazo_se,1,IFERROR(TRUNC(ESTRUTURA!R118/ESTRUTURA!T117,6),0)*100))</f>
        <v/>
      </c>
      <c r="E117" s="112"/>
      <c r="G117" s="110" t="str">
        <f>IF(ESTRUTURA!A118&gt;prazo_subp,"",ESTRUTURA!A118)</f>
        <v/>
      </c>
      <c r="H117" s="111" t="str">
        <f>IF(G117="","",ESTRUTURA!C118)</f>
        <v/>
      </c>
      <c r="I117" s="111" t="str">
        <f>IF(G117="","",ESTRUTURA!E118)</f>
        <v/>
      </c>
      <c r="J117" s="113" t="str">
        <f>IF($G117="","",IF(G117=prazo_subp,1,IFERROR(TRUNC(ESTRUTURA!Y118/ESTRUTURA!AA117,6),0)*100))</f>
        <v/>
      </c>
      <c r="K117" s="112"/>
      <c r="M117" s="110" t="str">
        <f>ESTRUTURA!M118</f>
        <v/>
      </c>
      <c r="N117" s="111" t="str">
        <f>ESTRUTURA!O118</f>
        <v/>
      </c>
      <c r="O117" s="111" t="str">
        <f>ESTRUTURA!Q118</f>
        <v/>
      </c>
      <c r="P117" s="113" t="str">
        <f>IF($M117="","",IF(M117=prazo_sub,1,IFERROR(TRUNC(ESTRUTURA!AE118/ESTRUTURA!AG117,6),0)*100))</f>
        <v/>
      </c>
      <c r="Q117" s="112"/>
    </row>
    <row r="118" spans="1:17" x14ac:dyDescent="0.3">
      <c r="A118" s="110" t="str">
        <f>IF(ESTRUTURA!A119&gt;prazo_se,"",ESTRUTURA!A119)</f>
        <v/>
      </c>
      <c r="B118" s="111" t="str">
        <f>ESTRUTURA!C119</f>
        <v/>
      </c>
      <c r="C118" s="111" t="str">
        <f>ESTRUTURA!E119</f>
        <v/>
      </c>
      <c r="D118" s="113" t="str">
        <f>IF($A118="","",IF(A118=prazo_se,1,IFERROR(TRUNC(ESTRUTURA!R119/ESTRUTURA!T118,6),0)*100))</f>
        <v/>
      </c>
      <c r="E118" s="112"/>
      <c r="G118" s="110" t="str">
        <f>IF(ESTRUTURA!A119&gt;prazo_subp,"",ESTRUTURA!A119)</f>
        <v/>
      </c>
      <c r="H118" s="111" t="str">
        <f>IF(G118="","",ESTRUTURA!C119)</f>
        <v/>
      </c>
      <c r="I118" s="111" t="str">
        <f>IF(G118="","",ESTRUTURA!E119)</f>
        <v/>
      </c>
      <c r="J118" s="113" t="str">
        <f>IF($G118="","",IF(G118=prazo_subp,1,IFERROR(TRUNC(ESTRUTURA!Y119/ESTRUTURA!AA118,6),0)*100))</f>
        <v/>
      </c>
      <c r="K118" s="112"/>
      <c r="M118" s="110" t="str">
        <f>ESTRUTURA!M119</f>
        <v/>
      </c>
      <c r="N118" s="111" t="str">
        <f>ESTRUTURA!O119</f>
        <v/>
      </c>
      <c r="O118" s="111" t="str">
        <f>ESTRUTURA!Q119</f>
        <v/>
      </c>
      <c r="P118" s="113" t="str">
        <f>IF($M118="","",IF(M118=prazo_sub,1,IFERROR(TRUNC(ESTRUTURA!AE119/ESTRUTURA!AG118,6),0)*100))</f>
        <v/>
      </c>
      <c r="Q118" s="112"/>
    </row>
    <row r="119" spans="1:17" x14ac:dyDescent="0.3">
      <c r="A119" s="110" t="str">
        <f>IF(ESTRUTURA!A120&gt;prazo_se,"",ESTRUTURA!A120)</f>
        <v/>
      </c>
      <c r="B119" s="111" t="str">
        <f>ESTRUTURA!C120</f>
        <v/>
      </c>
      <c r="C119" s="111" t="str">
        <f>ESTRUTURA!E120</f>
        <v/>
      </c>
      <c r="D119" s="113" t="str">
        <f>IF($A119="","",IF(A119=prazo_se,1,IFERROR(TRUNC(ESTRUTURA!R120/ESTRUTURA!T119,6),0)*100))</f>
        <v/>
      </c>
      <c r="E119" s="112"/>
      <c r="G119" s="110" t="str">
        <f>IF(ESTRUTURA!A120&gt;prazo_subp,"",ESTRUTURA!A120)</f>
        <v/>
      </c>
      <c r="H119" s="111" t="str">
        <f>IF(G119="","",ESTRUTURA!C120)</f>
        <v/>
      </c>
      <c r="I119" s="111" t="str">
        <f>IF(G119="","",ESTRUTURA!E120)</f>
        <v/>
      </c>
      <c r="J119" s="113" t="str">
        <f>IF($G119="","",IF(G119=prazo_subp,1,IFERROR(TRUNC(ESTRUTURA!Y120/ESTRUTURA!AA119,6),0)*100))</f>
        <v/>
      </c>
      <c r="K119" s="112"/>
      <c r="M119" s="110" t="str">
        <f>ESTRUTURA!M120</f>
        <v/>
      </c>
      <c r="N119" s="111" t="str">
        <f>ESTRUTURA!O120</f>
        <v/>
      </c>
      <c r="O119" s="111" t="str">
        <f>ESTRUTURA!Q120</f>
        <v/>
      </c>
      <c r="P119" s="113" t="str">
        <f>IF($M119="","",IF(M119=prazo_sub,1,IFERROR(TRUNC(ESTRUTURA!AE120/ESTRUTURA!AG119,6),0)*100))</f>
        <v/>
      </c>
      <c r="Q119" s="112"/>
    </row>
    <row r="120" spans="1:17" x14ac:dyDescent="0.3">
      <c r="A120" s="110" t="str">
        <f>IF(ESTRUTURA!A121&gt;prazo_se,"",ESTRUTURA!A121)</f>
        <v/>
      </c>
      <c r="B120" s="111" t="str">
        <f>ESTRUTURA!C121</f>
        <v/>
      </c>
      <c r="C120" s="111" t="str">
        <f>ESTRUTURA!E121</f>
        <v/>
      </c>
      <c r="D120" s="113" t="str">
        <f>IF($A120="","",IF(A120=prazo_se,1,IFERROR(TRUNC(ESTRUTURA!R121/ESTRUTURA!T120,6),0)*100))</f>
        <v/>
      </c>
      <c r="E120" s="112"/>
      <c r="G120" s="110" t="str">
        <f>IF(ESTRUTURA!A121&gt;prazo_subp,"",ESTRUTURA!A121)</f>
        <v/>
      </c>
      <c r="H120" s="111" t="str">
        <f>IF(G120="","",ESTRUTURA!C121)</f>
        <v/>
      </c>
      <c r="I120" s="111" t="str">
        <f>IF(G120="","",ESTRUTURA!E121)</f>
        <v/>
      </c>
      <c r="J120" s="113" t="str">
        <f>IF($G120="","",IF(G120=prazo_subp,1,IFERROR(TRUNC(ESTRUTURA!Y121/ESTRUTURA!AA120,6),0)*100))</f>
        <v/>
      </c>
      <c r="K120" s="112"/>
      <c r="M120" s="110" t="str">
        <f>ESTRUTURA!M121</f>
        <v/>
      </c>
      <c r="N120" s="111" t="str">
        <f>ESTRUTURA!O121</f>
        <v/>
      </c>
      <c r="O120" s="111" t="str">
        <f>ESTRUTURA!Q121</f>
        <v/>
      </c>
      <c r="P120" s="113" t="str">
        <f>IF($M120="","",IF(M120=prazo_sub,1,IFERROR(TRUNC(ESTRUTURA!AE121/ESTRUTURA!AG120,6),0)*100))</f>
        <v/>
      </c>
      <c r="Q120" s="112"/>
    </row>
    <row r="121" spans="1:17" x14ac:dyDescent="0.3">
      <c r="A121" s="110" t="str">
        <f>IF(ESTRUTURA!A122&gt;prazo_se,"",ESTRUTURA!A122)</f>
        <v/>
      </c>
      <c r="B121" s="111" t="str">
        <f>ESTRUTURA!C122</f>
        <v/>
      </c>
      <c r="C121" s="111" t="str">
        <f>ESTRUTURA!E122</f>
        <v/>
      </c>
      <c r="D121" s="113" t="str">
        <f>IF($A121="","",IF(A121=prazo_se,1,IFERROR(TRUNC(ESTRUTURA!R122/ESTRUTURA!T121,6),0)*100))</f>
        <v/>
      </c>
      <c r="E121" s="112"/>
      <c r="G121" s="110" t="str">
        <f>IF(ESTRUTURA!A122&gt;prazo_subp,"",ESTRUTURA!A122)</f>
        <v/>
      </c>
      <c r="H121" s="111" t="str">
        <f>IF(G121="","",ESTRUTURA!C122)</f>
        <v/>
      </c>
      <c r="I121" s="111" t="str">
        <f>IF(G121="","",ESTRUTURA!E122)</f>
        <v/>
      </c>
      <c r="J121" s="113" t="str">
        <f>IF($G121="","",IF(G121=prazo_subp,1,IFERROR(TRUNC(ESTRUTURA!Y122/ESTRUTURA!AA121,6),0)*100))</f>
        <v/>
      </c>
      <c r="K121" s="112"/>
      <c r="M121" s="110" t="str">
        <f>ESTRUTURA!M122</f>
        <v/>
      </c>
      <c r="N121" s="111" t="str">
        <f>ESTRUTURA!O122</f>
        <v/>
      </c>
      <c r="O121" s="111" t="str">
        <f>ESTRUTURA!Q122</f>
        <v/>
      </c>
      <c r="P121" s="113" t="str">
        <f>IF($M121="","",IF(M121=prazo_sub,1,IFERROR(TRUNC(ESTRUTURA!AE122/ESTRUTURA!AG121,6),0)*100))</f>
        <v/>
      </c>
      <c r="Q121" s="112"/>
    </row>
    <row r="122" spans="1:17" x14ac:dyDescent="0.3">
      <c r="A122" s="110" t="str">
        <f>IF(ESTRUTURA!A123&gt;prazo_se,"",ESTRUTURA!A123)</f>
        <v/>
      </c>
      <c r="B122" s="111" t="str">
        <f>ESTRUTURA!C123</f>
        <v/>
      </c>
      <c r="C122" s="111" t="str">
        <f>ESTRUTURA!E123</f>
        <v/>
      </c>
      <c r="D122" s="113" t="str">
        <f>IF($A122="","",IF(A122=prazo_se,1,IFERROR(TRUNC(ESTRUTURA!R123/ESTRUTURA!T122,6),0)*100))</f>
        <v/>
      </c>
      <c r="E122" s="112"/>
      <c r="G122" s="110" t="str">
        <f>IF(ESTRUTURA!A123&gt;prazo_subp,"",ESTRUTURA!A123)</f>
        <v/>
      </c>
      <c r="H122" s="111" t="str">
        <f>IF(G122="","",ESTRUTURA!C123)</f>
        <v/>
      </c>
      <c r="I122" s="111" t="str">
        <f>IF(G122="","",ESTRUTURA!E123)</f>
        <v/>
      </c>
      <c r="J122" s="113" t="str">
        <f>IF($G122="","",IF(G122=prazo_subp,1,IFERROR(TRUNC(ESTRUTURA!Y123/ESTRUTURA!AA122,6),0)*100))</f>
        <v/>
      </c>
      <c r="K122" s="112"/>
      <c r="M122" s="110" t="str">
        <f>ESTRUTURA!M123</f>
        <v/>
      </c>
      <c r="N122" s="111" t="str">
        <f>ESTRUTURA!O123</f>
        <v/>
      </c>
      <c r="O122" s="111" t="str">
        <f>ESTRUTURA!Q123</f>
        <v/>
      </c>
      <c r="P122" s="113" t="str">
        <f>IF($M122="","",IF(M122=prazo_sub,1,IFERROR(TRUNC(ESTRUTURA!AE123/ESTRUTURA!AG122,6),0)*100))</f>
        <v/>
      </c>
      <c r="Q122" s="112"/>
    </row>
    <row r="123" spans="1:17" x14ac:dyDescent="0.3">
      <c r="A123" s="110" t="str">
        <f>IF(ESTRUTURA!A124&gt;prazo_se,"",ESTRUTURA!A124)</f>
        <v/>
      </c>
      <c r="B123" s="111" t="str">
        <f>ESTRUTURA!C124</f>
        <v/>
      </c>
      <c r="C123" s="111" t="str">
        <f>ESTRUTURA!E124</f>
        <v/>
      </c>
      <c r="D123" s="113" t="str">
        <f>IF($A123="","",IF(A123=prazo_se,1,IFERROR(TRUNC(ESTRUTURA!R124/ESTRUTURA!T123,6),0)*100))</f>
        <v/>
      </c>
      <c r="E123" s="112"/>
      <c r="G123" s="110" t="str">
        <f>IF(ESTRUTURA!A124&gt;prazo_subp,"",ESTRUTURA!A124)</f>
        <v/>
      </c>
      <c r="H123" s="111" t="str">
        <f>IF(G123="","",ESTRUTURA!C124)</f>
        <v/>
      </c>
      <c r="I123" s="111" t="str">
        <f>IF(G123="","",ESTRUTURA!E124)</f>
        <v/>
      </c>
      <c r="J123" s="113" t="str">
        <f>IF($G123="","",IF(G123=prazo_subp,1,IFERROR(TRUNC(ESTRUTURA!Y124/ESTRUTURA!AA123,6),0)*100))</f>
        <v/>
      </c>
      <c r="K123" s="112"/>
      <c r="M123" s="110" t="str">
        <f>ESTRUTURA!M124</f>
        <v/>
      </c>
      <c r="N123" s="111" t="str">
        <f>ESTRUTURA!O124</f>
        <v/>
      </c>
      <c r="O123" s="111" t="str">
        <f>ESTRUTURA!Q124</f>
        <v/>
      </c>
      <c r="P123" s="113" t="str">
        <f>IF($M123="","",IF(M123=prazo_sub,1,IFERROR(TRUNC(ESTRUTURA!AE124/ESTRUTURA!AG123,6),0)*100))</f>
        <v/>
      </c>
      <c r="Q123" s="112"/>
    </row>
    <row r="124" spans="1:17" x14ac:dyDescent="0.3">
      <c r="A124" s="110" t="str">
        <f>IF(ESTRUTURA!A125&gt;prazo_se,"",ESTRUTURA!A125)</f>
        <v/>
      </c>
      <c r="B124" s="111" t="str">
        <f>ESTRUTURA!C125</f>
        <v/>
      </c>
      <c r="C124" s="111" t="str">
        <f>ESTRUTURA!E125</f>
        <v/>
      </c>
      <c r="D124" s="113" t="str">
        <f>IF($A124="","",IF(A124=prazo_se,1,IFERROR(TRUNC(ESTRUTURA!R125/ESTRUTURA!T124,6),0)*100))</f>
        <v/>
      </c>
      <c r="E124" s="112"/>
      <c r="G124" s="110" t="str">
        <f>IF(ESTRUTURA!A125&gt;prazo_subp,"",ESTRUTURA!A125)</f>
        <v/>
      </c>
      <c r="H124" s="111" t="str">
        <f>IF(G124="","",ESTRUTURA!C125)</f>
        <v/>
      </c>
      <c r="I124" s="111" t="str">
        <f>IF(G124="","",ESTRUTURA!E125)</f>
        <v/>
      </c>
      <c r="J124" s="113" t="str">
        <f>IF($G124="","",IF(G124=prazo_subp,1,IFERROR(TRUNC(ESTRUTURA!Y125/ESTRUTURA!AA124,6),0)*100))</f>
        <v/>
      </c>
      <c r="K124" s="112"/>
      <c r="M124" s="110" t="str">
        <f>ESTRUTURA!M125</f>
        <v/>
      </c>
      <c r="N124" s="111" t="str">
        <f>ESTRUTURA!O125</f>
        <v/>
      </c>
      <c r="O124" s="111" t="str">
        <f>ESTRUTURA!Q125</f>
        <v/>
      </c>
      <c r="P124" s="113" t="str">
        <f>IF($M124="","",IF(M124=prazo_sub,1,IFERROR(TRUNC(ESTRUTURA!AE125/ESTRUTURA!AG124,6),0)*100))</f>
        <v/>
      </c>
      <c r="Q124" s="112"/>
    </row>
    <row r="125" spans="1:17" x14ac:dyDescent="0.3">
      <c r="A125" s="110" t="str">
        <f>IF(ESTRUTURA!A126&gt;prazo_se,"",ESTRUTURA!A126)</f>
        <v/>
      </c>
      <c r="B125" s="111" t="str">
        <f>ESTRUTURA!C126</f>
        <v/>
      </c>
      <c r="C125" s="111" t="str">
        <f>ESTRUTURA!E126</f>
        <v/>
      </c>
      <c r="D125" s="113" t="str">
        <f>IF($A125="","",IF(A125=prazo_se,1,IFERROR(TRUNC(ESTRUTURA!R126/ESTRUTURA!T125,6),0)*100))</f>
        <v/>
      </c>
      <c r="E125" s="112"/>
      <c r="G125" s="110" t="str">
        <f>IF(ESTRUTURA!A126&gt;prazo_subp,"",ESTRUTURA!A126)</f>
        <v/>
      </c>
      <c r="H125" s="111" t="str">
        <f>IF(G125="","",ESTRUTURA!C126)</f>
        <v/>
      </c>
      <c r="I125" s="111" t="str">
        <f>IF(G125="","",ESTRUTURA!E126)</f>
        <v/>
      </c>
      <c r="J125" s="113" t="str">
        <f>IF($G125="","",IF(G125=prazo_subp,1,IFERROR(TRUNC(ESTRUTURA!Y126/ESTRUTURA!AA125,6),0)*100))</f>
        <v/>
      </c>
      <c r="K125" s="112"/>
      <c r="M125" s="110" t="str">
        <f>ESTRUTURA!M126</f>
        <v/>
      </c>
      <c r="N125" s="111" t="str">
        <f>ESTRUTURA!O126</f>
        <v/>
      </c>
      <c r="O125" s="111" t="str">
        <f>ESTRUTURA!Q126</f>
        <v/>
      </c>
      <c r="P125" s="113" t="str">
        <f>IF($M125="","",IF(M125=prazo_sub,1,IFERROR(TRUNC(ESTRUTURA!AE126/ESTRUTURA!AG125,6),0)*100))</f>
        <v/>
      </c>
      <c r="Q125" s="112"/>
    </row>
    <row r="126" spans="1:17" x14ac:dyDescent="0.3">
      <c r="A126" s="110" t="str">
        <f>IF(ESTRUTURA!A127&gt;prazo_se,"",ESTRUTURA!A127)</f>
        <v/>
      </c>
      <c r="B126" s="111" t="str">
        <f>ESTRUTURA!C127</f>
        <v/>
      </c>
      <c r="C126" s="111" t="str">
        <f>ESTRUTURA!E127</f>
        <v/>
      </c>
      <c r="D126" s="113" t="str">
        <f>IF($A126="","",IF(A126=prazo_se,1,IFERROR(TRUNC(ESTRUTURA!R127/ESTRUTURA!T126,6),0)*100))</f>
        <v/>
      </c>
      <c r="E126" s="112"/>
      <c r="G126" s="110" t="str">
        <f>IF(ESTRUTURA!A127&gt;prazo_subp,"",ESTRUTURA!A127)</f>
        <v/>
      </c>
      <c r="H126" s="111" t="str">
        <f>IF(G126="","",ESTRUTURA!C127)</f>
        <v/>
      </c>
      <c r="I126" s="111" t="str">
        <f>IF(G126="","",ESTRUTURA!E127)</f>
        <v/>
      </c>
      <c r="J126" s="113" t="str">
        <f>IF($G126="","",IF(G126=prazo_subp,1,IFERROR(TRUNC(ESTRUTURA!Y127/ESTRUTURA!AA126,6),0)*100))</f>
        <v/>
      </c>
      <c r="K126" s="112"/>
      <c r="M126" s="110" t="str">
        <f>ESTRUTURA!M127</f>
        <v/>
      </c>
      <c r="N126" s="111" t="str">
        <f>ESTRUTURA!O127</f>
        <v/>
      </c>
      <c r="O126" s="111" t="str">
        <f>ESTRUTURA!Q127</f>
        <v/>
      </c>
      <c r="P126" s="113" t="str">
        <f>IF($M126="","",IF(M126=prazo_sub,1,IFERROR(TRUNC(ESTRUTURA!AE127/ESTRUTURA!AG126,6),0)*100))</f>
        <v/>
      </c>
      <c r="Q126" s="112"/>
    </row>
    <row r="127" spans="1:17" x14ac:dyDescent="0.3">
      <c r="A127" s="110" t="str">
        <f>IF(ESTRUTURA!A128&gt;prazo_se,"",ESTRUTURA!A128)</f>
        <v/>
      </c>
      <c r="B127" s="111" t="str">
        <f>ESTRUTURA!C128</f>
        <v/>
      </c>
      <c r="C127" s="111" t="str">
        <f>ESTRUTURA!E128</f>
        <v/>
      </c>
      <c r="D127" s="113" t="str">
        <f>IF($A127="","",IF(A127=prazo_se,1,IFERROR(TRUNC(ESTRUTURA!R128/ESTRUTURA!T127,6),0)*100))</f>
        <v/>
      </c>
      <c r="E127" s="112"/>
      <c r="G127" s="110" t="str">
        <f>IF(ESTRUTURA!A128&gt;prazo_subp,"",ESTRUTURA!A128)</f>
        <v/>
      </c>
      <c r="H127" s="111" t="str">
        <f>IF(G127="","",ESTRUTURA!C128)</f>
        <v/>
      </c>
      <c r="I127" s="111" t="str">
        <f>IF(G127="","",ESTRUTURA!E128)</f>
        <v/>
      </c>
      <c r="J127" s="113" t="str">
        <f>IF($G127="","",IF(G127=prazo_subp,1,IFERROR(TRUNC(ESTRUTURA!Y128/ESTRUTURA!AA127,6),0)*100))</f>
        <v/>
      </c>
      <c r="K127" s="112"/>
      <c r="M127" s="110" t="str">
        <f>ESTRUTURA!M128</f>
        <v/>
      </c>
      <c r="N127" s="111" t="str">
        <f>ESTRUTURA!O128</f>
        <v/>
      </c>
      <c r="O127" s="111" t="str">
        <f>ESTRUTURA!Q128</f>
        <v/>
      </c>
      <c r="P127" s="113" t="str">
        <f>IF($M127="","",IF(M127=prazo_sub,1,IFERROR(TRUNC(ESTRUTURA!AE128/ESTRUTURA!AG127,6),0)*100))</f>
        <v/>
      </c>
      <c r="Q127" s="112"/>
    </row>
    <row r="128" spans="1:17" x14ac:dyDescent="0.3">
      <c r="A128" s="110" t="str">
        <f>IF(ESTRUTURA!A129&gt;prazo_se,"",ESTRUTURA!A129)</f>
        <v/>
      </c>
      <c r="B128" s="111" t="str">
        <f>ESTRUTURA!C129</f>
        <v/>
      </c>
      <c r="C128" s="111" t="str">
        <f>ESTRUTURA!E129</f>
        <v/>
      </c>
      <c r="D128" s="113" t="str">
        <f>IF($A128="","",IF(A128=prazo_se,1,IFERROR(TRUNC(ESTRUTURA!R129/ESTRUTURA!T128,6),0)*100))</f>
        <v/>
      </c>
      <c r="E128" s="112"/>
      <c r="G128" s="110" t="str">
        <f>IF(ESTRUTURA!A129&gt;prazo_subp,"",ESTRUTURA!A129)</f>
        <v/>
      </c>
      <c r="H128" s="111" t="str">
        <f>IF(G128="","",ESTRUTURA!C129)</f>
        <v/>
      </c>
      <c r="I128" s="111" t="str">
        <f>IF(G128="","",ESTRUTURA!E129)</f>
        <v/>
      </c>
      <c r="J128" s="113" t="str">
        <f>IF($G128="","",IF(G128=prazo_subp,1,IFERROR(TRUNC(ESTRUTURA!Y129/ESTRUTURA!AA128,6),0)*100))</f>
        <v/>
      </c>
      <c r="K128" s="112"/>
      <c r="M128" s="110" t="str">
        <f>ESTRUTURA!M129</f>
        <v/>
      </c>
      <c r="N128" s="111" t="str">
        <f>ESTRUTURA!O129</f>
        <v/>
      </c>
      <c r="O128" s="111" t="str">
        <f>ESTRUTURA!Q129</f>
        <v/>
      </c>
      <c r="P128" s="113" t="str">
        <f>IF($M128="","",IF(M128=prazo_sub,1,IFERROR(TRUNC(ESTRUTURA!AE129/ESTRUTURA!AG128,6),0)*100))</f>
        <v/>
      </c>
      <c r="Q128" s="112"/>
    </row>
    <row r="129" spans="1:17" x14ac:dyDescent="0.3">
      <c r="A129" s="110" t="str">
        <f>IF(ESTRUTURA!A130&gt;prazo_se,"",ESTRUTURA!A130)</f>
        <v/>
      </c>
      <c r="B129" s="111" t="str">
        <f>ESTRUTURA!C130</f>
        <v/>
      </c>
      <c r="C129" s="111" t="str">
        <f>ESTRUTURA!E130</f>
        <v/>
      </c>
      <c r="D129" s="113" t="str">
        <f>IF($A129="","",IF(A129=prazo_se,1,IFERROR(TRUNC(ESTRUTURA!R130/ESTRUTURA!T129,6),0)*100))</f>
        <v/>
      </c>
      <c r="E129" s="112"/>
      <c r="G129" s="110" t="str">
        <f>IF(ESTRUTURA!A130&gt;prazo_subp,"",ESTRUTURA!A130)</f>
        <v/>
      </c>
      <c r="H129" s="111" t="str">
        <f>IF(G129="","",ESTRUTURA!C130)</f>
        <v/>
      </c>
      <c r="I129" s="111" t="str">
        <f>IF(G129="","",ESTRUTURA!E130)</f>
        <v/>
      </c>
      <c r="J129" s="113" t="str">
        <f>IF($G129="","",IF(G129=prazo_subp,1,IFERROR(TRUNC(ESTRUTURA!Y130/ESTRUTURA!AA129,6),0)*100))</f>
        <v/>
      </c>
      <c r="K129" s="112"/>
      <c r="M129" s="110" t="str">
        <f>ESTRUTURA!M130</f>
        <v/>
      </c>
      <c r="N129" s="111" t="str">
        <f>ESTRUTURA!O130</f>
        <v/>
      </c>
      <c r="O129" s="111" t="str">
        <f>ESTRUTURA!Q130</f>
        <v/>
      </c>
      <c r="P129" s="113" t="str">
        <f>IF($M129="","",IF(M129=prazo_sub,1,IFERROR(TRUNC(ESTRUTURA!AE130/ESTRUTURA!AG129,6),0)*100))</f>
        <v/>
      </c>
      <c r="Q129" s="112"/>
    </row>
    <row r="130" spans="1:17" x14ac:dyDescent="0.3">
      <c r="A130" s="110" t="str">
        <f>IF(ESTRUTURA!A131&gt;prazo_se,"",ESTRUTURA!A131)</f>
        <v/>
      </c>
      <c r="B130" s="111" t="str">
        <f>ESTRUTURA!C131</f>
        <v/>
      </c>
      <c r="C130" s="111" t="str">
        <f>ESTRUTURA!E131</f>
        <v/>
      </c>
      <c r="D130" s="113" t="str">
        <f>IF($A130="","",IF(A130=prazo_se,1,IFERROR(TRUNC(ESTRUTURA!R131/ESTRUTURA!T130,6),0)*100))</f>
        <v/>
      </c>
      <c r="E130" s="112"/>
      <c r="G130" s="110" t="str">
        <f>IF(ESTRUTURA!A131&gt;prazo_subp,"",ESTRUTURA!A131)</f>
        <v/>
      </c>
      <c r="H130" s="111" t="str">
        <f>IF(G130="","",ESTRUTURA!C131)</f>
        <v/>
      </c>
      <c r="I130" s="111" t="str">
        <f>IF(G130="","",ESTRUTURA!E131)</f>
        <v/>
      </c>
      <c r="J130" s="113" t="str">
        <f>IF($G130="","",IF(G130=prazo_subp,1,IFERROR(TRUNC(ESTRUTURA!Y131/ESTRUTURA!AA130,6),0)*100))</f>
        <v/>
      </c>
      <c r="K130" s="112"/>
      <c r="M130" s="110" t="str">
        <f>ESTRUTURA!M131</f>
        <v/>
      </c>
      <c r="N130" s="111" t="str">
        <f>ESTRUTURA!O131</f>
        <v/>
      </c>
      <c r="O130" s="111" t="str">
        <f>ESTRUTURA!Q131</f>
        <v/>
      </c>
      <c r="P130" s="113" t="str">
        <f>IF($M130="","",IF(M130=prazo_sub,1,IFERROR(TRUNC(ESTRUTURA!AE131/ESTRUTURA!AG130,6),0)*100))</f>
        <v/>
      </c>
      <c r="Q130" s="112"/>
    </row>
    <row r="131" spans="1:17" x14ac:dyDescent="0.3">
      <c r="A131" s="110" t="str">
        <f>IF(ESTRUTURA!A132&gt;prazo_se,"",ESTRUTURA!A132)</f>
        <v/>
      </c>
      <c r="B131" s="111" t="str">
        <f>ESTRUTURA!C132</f>
        <v/>
      </c>
      <c r="C131" s="111" t="str">
        <f>ESTRUTURA!E132</f>
        <v/>
      </c>
      <c r="D131" s="113" t="str">
        <f>IF($A131="","",IF(A131=prazo_se,1,IFERROR(TRUNC(ESTRUTURA!R132/ESTRUTURA!T131,6),0)*100))</f>
        <v/>
      </c>
      <c r="E131" s="112"/>
      <c r="G131" s="110" t="str">
        <f>IF(ESTRUTURA!A132&gt;prazo_subp,"",ESTRUTURA!A132)</f>
        <v/>
      </c>
      <c r="H131" s="111" t="str">
        <f>IF(G131="","",ESTRUTURA!C132)</f>
        <v/>
      </c>
      <c r="I131" s="111" t="str">
        <f>IF(G131="","",ESTRUTURA!E132)</f>
        <v/>
      </c>
      <c r="J131" s="113" t="str">
        <f>IF($G131="","",IF(G131=prazo_subp,1,IFERROR(TRUNC(ESTRUTURA!Y132/ESTRUTURA!AA131,6),0)*100))</f>
        <v/>
      </c>
      <c r="K131" s="112"/>
      <c r="M131" s="110" t="str">
        <f>ESTRUTURA!M132</f>
        <v/>
      </c>
      <c r="N131" s="111" t="str">
        <f>ESTRUTURA!O132</f>
        <v/>
      </c>
      <c r="O131" s="111" t="str">
        <f>ESTRUTURA!Q132</f>
        <v/>
      </c>
      <c r="P131" s="113" t="str">
        <f>IF($M131="","",IF(M131=prazo_sub,1,IFERROR(TRUNC(ESTRUTURA!AE132/ESTRUTURA!AG131,6),0)*100))</f>
        <v/>
      </c>
      <c r="Q131" s="112"/>
    </row>
    <row r="132" spans="1:17" x14ac:dyDescent="0.3">
      <c r="A132" s="110" t="str">
        <f>IF(ESTRUTURA!A133&gt;prazo_se,"",ESTRUTURA!A133)</f>
        <v/>
      </c>
      <c r="B132" s="111" t="str">
        <f>ESTRUTURA!C133</f>
        <v/>
      </c>
      <c r="C132" s="111" t="str">
        <f>ESTRUTURA!E133</f>
        <v/>
      </c>
      <c r="D132" s="113" t="str">
        <f>IF($A132="","",IF(A132=prazo_se,1,IFERROR(TRUNC(ESTRUTURA!R133/ESTRUTURA!T132,6),0)*100))</f>
        <v/>
      </c>
      <c r="E132" s="112"/>
      <c r="G132" s="110" t="str">
        <f>IF(ESTRUTURA!A133&gt;prazo_subp,"",ESTRUTURA!A133)</f>
        <v/>
      </c>
      <c r="H132" s="111" t="str">
        <f>IF(G132="","",ESTRUTURA!C133)</f>
        <v/>
      </c>
      <c r="I132" s="111" t="str">
        <f>IF(G132="","",ESTRUTURA!E133)</f>
        <v/>
      </c>
      <c r="J132" s="113" t="str">
        <f>IF($G132="","",IF(G132=prazo_subp,1,IFERROR(TRUNC(ESTRUTURA!Y133/ESTRUTURA!AA132,6),0)*100))</f>
        <v/>
      </c>
      <c r="K132" s="112"/>
      <c r="M132" s="110" t="str">
        <f>ESTRUTURA!M133</f>
        <v/>
      </c>
      <c r="N132" s="111" t="str">
        <f>ESTRUTURA!O133</f>
        <v/>
      </c>
      <c r="O132" s="111" t="str">
        <f>ESTRUTURA!Q133</f>
        <v/>
      </c>
      <c r="P132" s="113" t="str">
        <f>IF($M132="","",IF(M132=prazo_sub,1,IFERROR(TRUNC(ESTRUTURA!AE133/ESTRUTURA!AG132,6),0)*100))</f>
        <v/>
      </c>
      <c r="Q132" s="112"/>
    </row>
    <row r="133" spans="1:17" x14ac:dyDescent="0.3">
      <c r="A133" s="110" t="str">
        <f>IF(ESTRUTURA!A134&gt;prazo_se,"",ESTRUTURA!A134)</f>
        <v/>
      </c>
      <c r="B133" s="111" t="str">
        <f>ESTRUTURA!C134</f>
        <v/>
      </c>
      <c r="C133" s="111" t="str">
        <f>ESTRUTURA!E134</f>
        <v/>
      </c>
      <c r="D133" s="113" t="str">
        <f>IF($A133="","",IF(A133=prazo_se,1,IFERROR(TRUNC(ESTRUTURA!R134/ESTRUTURA!T133,6),0)*100))</f>
        <v/>
      </c>
      <c r="E133" s="112"/>
      <c r="G133" s="110" t="str">
        <f>IF(ESTRUTURA!A134&gt;prazo_subp,"",ESTRUTURA!A134)</f>
        <v/>
      </c>
      <c r="H133" s="111" t="str">
        <f>IF(G133="","",ESTRUTURA!C134)</f>
        <v/>
      </c>
      <c r="I133" s="111" t="str">
        <f>IF(G133="","",ESTRUTURA!E134)</f>
        <v/>
      </c>
      <c r="J133" s="113" t="str">
        <f>IF($G133="","",IF(G133=prazo_subp,1,IFERROR(TRUNC(ESTRUTURA!Y134/ESTRUTURA!AA133,6),0)*100))</f>
        <v/>
      </c>
      <c r="K133" s="112"/>
      <c r="M133" s="110" t="str">
        <f>ESTRUTURA!M134</f>
        <v/>
      </c>
      <c r="N133" s="111" t="str">
        <f>ESTRUTURA!O134</f>
        <v/>
      </c>
      <c r="O133" s="111" t="str">
        <f>ESTRUTURA!Q134</f>
        <v/>
      </c>
      <c r="P133" s="113" t="str">
        <f>IF($M133="","",IF(M133=prazo_sub,1,IFERROR(TRUNC(ESTRUTURA!AE134/ESTRUTURA!AG133,6),0)*100))</f>
        <v/>
      </c>
      <c r="Q133" s="112"/>
    </row>
    <row r="134" spans="1:17" x14ac:dyDescent="0.3">
      <c r="A134" s="110" t="str">
        <f>IF(ESTRUTURA!A135&gt;prazo_se,"",ESTRUTURA!A135)</f>
        <v/>
      </c>
      <c r="B134" s="111" t="str">
        <f>ESTRUTURA!C135</f>
        <v/>
      </c>
      <c r="C134" s="111" t="str">
        <f>ESTRUTURA!E135</f>
        <v/>
      </c>
      <c r="D134" s="113" t="str">
        <f>IF($A134="","",IF(A134=prazo_se,1,IFERROR(TRUNC(ESTRUTURA!R135/ESTRUTURA!T134,6),0)*100))</f>
        <v/>
      </c>
      <c r="E134" s="112"/>
      <c r="G134" s="110" t="str">
        <f>IF(ESTRUTURA!A135&gt;prazo_subp,"",ESTRUTURA!A135)</f>
        <v/>
      </c>
      <c r="H134" s="111" t="str">
        <f>IF(G134="","",ESTRUTURA!C135)</f>
        <v/>
      </c>
      <c r="I134" s="111" t="str">
        <f>IF(G134="","",ESTRUTURA!E135)</f>
        <v/>
      </c>
      <c r="J134" s="113" t="str">
        <f>IF($G134="","",IF(G134=prazo_subp,1,IFERROR(TRUNC(ESTRUTURA!Y135/ESTRUTURA!AA134,6),0)*100))</f>
        <v/>
      </c>
      <c r="K134" s="112"/>
      <c r="M134" s="110" t="str">
        <f>ESTRUTURA!M135</f>
        <v/>
      </c>
      <c r="N134" s="111" t="str">
        <f>ESTRUTURA!O135</f>
        <v/>
      </c>
      <c r="O134" s="111" t="str">
        <f>ESTRUTURA!Q135</f>
        <v/>
      </c>
      <c r="P134" s="113" t="str">
        <f>IF($M134="","",IF(M134=prazo_sub,1,IFERROR(TRUNC(ESTRUTURA!AE135/ESTRUTURA!AG134,6),0)*100))</f>
        <v/>
      </c>
      <c r="Q134" s="112"/>
    </row>
    <row r="135" spans="1:17" x14ac:dyDescent="0.3">
      <c r="A135" s="110" t="str">
        <f>IF(ESTRUTURA!A136&gt;prazo_se,"",ESTRUTURA!A136)</f>
        <v/>
      </c>
      <c r="B135" s="111" t="str">
        <f>ESTRUTURA!C136</f>
        <v/>
      </c>
      <c r="C135" s="111" t="str">
        <f>ESTRUTURA!E136</f>
        <v/>
      </c>
      <c r="D135" s="113" t="str">
        <f>IF($A135="","",IF(A135=prazo_se,1,IFERROR(TRUNC(ESTRUTURA!R136/ESTRUTURA!T135,6),0)*100))</f>
        <v/>
      </c>
      <c r="E135" s="112"/>
      <c r="G135" s="110" t="str">
        <f>IF(ESTRUTURA!A136&gt;prazo_subp,"",ESTRUTURA!A136)</f>
        <v/>
      </c>
      <c r="H135" s="111" t="str">
        <f>IF(G135="","",ESTRUTURA!C136)</f>
        <v/>
      </c>
      <c r="I135" s="111" t="str">
        <f>IF(G135="","",ESTRUTURA!E136)</f>
        <v/>
      </c>
      <c r="J135" s="113" t="str">
        <f>IF($G135="","",IF(G135=prazo_subp,1,IFERROR(TRUNC(ESTRUTURA!Y136/ESTRUTURA!AA135,6),0)*100))</f>
        <v/>
      </c>
      <c r="K135" s="112"/>
      <c r="M135" s="110" t="str">
        <f>ESTRUTURA!M136</f>
        <v/>
      </c>
      <c r="N135" s="111" t="str">
        <f>ESTRUTURA!O136</f>
        <v/>
      </c>
      <c r="O135" s="111" t="str">
        <f>ESTRUTURA!Q136</f>
        <v/>
      </c>
      <c r="P135" s="113" t="str">
        <f>IF($M135="","",IF(M135=prazo_sub,1,IFERROR(TRUNC(ESTRUTURA!AE136/ESTRUTURA!AG135,6),0)*100))</f>
        <v/>
      </c>
      <c r="Q135" s="112"/>
    </row>
    <row r="136" spans="1:17" x14ac:dyDescent="0.3">
      <c r="A136" s="110" t="str">
        <f>IF(ESTRUTURA!A137&gt;prazo_se,"",ESTRUTURA!A137)</f>
        <v/>
      </c>
      <c r="B136" s="111" t="str">
        <f>ESTRUTURA!C137</f>
        <v/>
      </c>
      <c r="C136" s="111" t="str">
        <f>ESTRUTURA!E137</f>
        <v/>
      </c>
      <c r="D136" s="113" t="str">
        <f>IF($A136="","",IF(A136=prazo_se,1,IFERROR(TRUNC(ESTRUTURA!R137/ESTRUTURA!T136,6),0)*100))</f>
        <v/>
      </c>
      <c r="E136" s="112"/>
      <c r="G136" s="110" t="str">
        <f>IF(ESTRUTURA!A137&gt;prazo_subp,"",ESTRUTURA!A137)</f>
        <v/>
      </c>
      <c r="H136" s="111" t="str">
        <f>IF(G136="","",ESTRUTURA!C137)</f>
        <v/>
      </c>
      <c r="I136" s="111" t="str">
        <f>IF(G136="","",ESTRUTURA!E137)</f>
        <v/>
      </c>
      <c r="J136" s="113" t="str">
        <f>IF($G136="","",IF(G136=prazo_subp,1,IFERROR(TRUNC(ESTRUTURA!Y137/ESTRUTURA!AA136,6),0)*100))</f>
        <v/>
      </c>
      <c r="K136" s="112"/>
      <c r="M136" s="110" t="str">
        <f>ESTRUTURA!M137</f>
        <v/>
      </c>
      <c r="N136" s="111" t="str">
        <f>ESTRUTURA!O137</f>
        <v/>
      </c>
      <c r="O136" s="111" t="str">
        <f>ESTRUTURA!Q137</f>
        <v/>
      </c>
      <c r="P136" s="113" t="str">
        <f>IF($M136="","",IF(M136=prazo_sub,1,IFERROR(TRUNC(ESTRUTURA!AE137/ESTRUTURA!AG136,6),0)*100))</f>
        <v/>
      </c>
      <c r="Q136" s="112"/>
    </row>
    <row r="137" spans="1:17" x14ac:dyDescent="0.3">
      <c r="A137" s="110" t="str">
        <f>IF(ESTRUTURA!A138&gt;prazo_se,"",ESTRUTURA!A138)</f>
        <v/>
      </c>
      <c r="B137" s="111" t="str">
        <f>ESTRUTURA!C138</f>
        <v/>
      </c>
      <c r="C137" s="111" t="str">
        <f>ESTRUTURA!E138</f>
        <v/>
      </c>
      <c r="D137" s="113" t="str">
        <f>IF($A137="","",IF(A137=prazo_se,1,IFERROR(TRUNC(ESTRUTURA!R138/ESTRUTURA!T137,6),0)*100))</f>
        <v/>
      </c>
      <c r="E137" s="112"/>
      <c r="G137" s="110" t="str">
        <f>IF(ESTRUTURA!A138&gt;prazo_subp,"",ESTRUTURA!A138)</f>
        <v/>
      </c>
      <c r="H137" s="111" t="str">
        <f>IF(G137="","",ESTRUTURA!C138)</f>
        <v/>
      </c>
      <c r="I137" s="111" t="str">
        <f>IF(G137="","",ESTRUTURA!E138)</f>
        <v/>
      </c>
      <c r="J137" s="113" t="str">
        <f>IF($G137="","",IF(G137=prazo_subp,1,IFERROR(TRUNC(ESTRUTURA!Y138/ESTRUTURA!AA137,6),0)*100))</f>
        <v/>
      </c>
      <c r="K137" s="112"/>
      <c r="M137" s="110" t="str">
        <f>ESTRUTURA!M138</f>
        <v/>
      </c>
      <c r="N137" s="111" t="str">
        <f>ESTRUTURA!O138</f>
        <v/>
      </c>
      <c r="O137" s="111" t="str">
        <f>ESTRUTURA!Q138</f>
        <v/>
      </c>
      <c r="P137" s="113" t="str">
        <f>IF($M137="","",IF(M137=prazo_sub,1,IFERROR(TRUNC(ESTRUTURA!AE138/ESTRUTURA!AG137,6),0)*100))</f>
        <v/>
      </c>
      <c r="Q137" s="112"/>
    </row>
    <row r="138" spans="1:17" x14ac:dyDescent="0.3">
      <c r="A138" s="110" t="str">
        <f>IF(ESTRUTURA!A139&gt;prazo_se,"",ESTRUTURA!A139)</f>
        <v/>
      </c>
      <c r="B138" s="111" t="str">
        <f>ESTRUTURA!C139</f>
        <v/>
      </c>
      <c r="C138" s="111" t="str">
        <f>ESTRUTURA!E139</f>
        <v/>
      </c>
      <c r="D138" s="113" t="str">
        <f>IF($A138="","",IF(A138=prazo_se,1,IFERROR(TRUNC(ESTRUTURA!R139/ESTRUTURA!T138,6),0)*100))</f>
        <v/>
      </c>
      <c r="E138" s="112"/>
      <c r="G138" s="110" t="str">
        <f>IF(ESTRUTURA!A139&gt;prazo_subp,"",ESTRUTURA!A139)</f>
        <v/>
      </c>
      <c r="H138" s="111" t="str">
        <f>IF(G138="","",ESTRUTURA!C139)</f>
        <v/>
      </c>
      <c r="I138" s="111" t="str">
        <f>IF(G138="","",ESTRUTURA!E139)</f>
        <v/>
      </c>
      <c r="J138" s="113" t="str">
        <f>IF($G138="","",IF(G138=prazo_subp,1,IFERROR(TRUNC(ESTRUTURA!Y139/ESTRUTURA!AA138,6),0)*100))</f>
        <v/>
      </c>
      <c r="K138" s="112"/>
      <c r="M138" s="110" t="str">
        <f>ESTRUTURA!M139</f>
        <v/>
      </c>
      <c r="N138" s="111" t="str">
        <f>ESTRUTURA!O139</f>
        <v/>
      </c>
      <c r="O138" s="111" t="str">
        <f>ESTRUTURA!Q139</f>
        <v/>
      </c>
      <c r="P138" s="113" t="str">
        <f>IF($M138="","",IF(M138=prazo_sub,1,IFERROR(TRUNC(ESTRUTURA!AE139/ESTRUTURA!AG138,6),0)*100))</f>
        <v/>
      </c>
      <c r="Q138" s="112"/>
    </row>
    <row r="139" spans="1:17" x14ac:dyDescent="0.3">
      <c r="A139" s="110" t="str">
        <f>IF(ESTRUTURA!A140&gt;prazo_se,"",ESTRUTURA!A140)</f>
        <v/>
      </c>
      <c r="B139" s="111" t="str">
        <f>ESTRUTURA!C140</f>
        <v/>
      </c>
      <c r="C139" s="111" t="str">
        <f>ESTRUTURA!E140</f>
        <v/>
      </c>
      <c r="D139" s="113" t="str">
        <f>IF($A139="","",IF(A139=prazo_se,1,IFERROR(TRUNC(ESTRUTURA!R140/ESTRUTURA!T139,6),0)*100))</f>
        <v/>
      </c>
      <c r="E139" s="112"/>
      <c r="G139" s="110" t="str">
        <f>IF(ESTRUTURA!A140&gt;prazo_subp,"",ESTRUTURA!A140)</f>
        <v/>
      </c>
      <c r="H139" s="111" t="str">
        <f>IF(G139="","",ESTRUTURA!C140)</f>
        <v/>
      </c>
      <c r="I139" s="111" t="str">
        <f>IF(G139="","",ESTRUTURA!E140)</f>
        <v/>
      </c>
      <c r="J139" s="113" t="str">
        <f>IF($G139="","",IF(G139=prazo_subp,1,IFERROR(TRUNC(ESTRUTURA!Y140/ESTRUTURA!AA139,6),0)*100))</f>
        <v/>
      </c>
      <c r="K139" s="112"/>
      <c r="M139" s="110" t="str">
        <f>ESTRUTURA!M140</f>
        <v/>
      </c>
      <c r="N139" s="111" t="str">
        <f>ESTRUTURA!O140</f>
        <v/>
      </c>
      <c r="O139" s="111" t="str">
        <f>ESTRUTURA!Q140</f>
        <v/>
      </c>
      <c r="P139" s="113" t="str">
        <f>IF($M139="","",IF(M139=prazo_sub,1,IFERROR(TRUNC(ESTRUTURA!AE140/ESTRUTURA!AG139,6),0)*100))</f>
        <v/>
      </c>
      <c r="Q139" s="112"/>
    </row>
    <row r="140" spans="1:17" x14ac:dyDescent="0.3">
      <c r="A140" s="110" t="str">
        <f>IF(ESTRUTURA!A141&gt;prazo_se,"",ESTRUTURA!A141)</f>
        <v/>
      </c>
      <c r="B140" s="111" t="str">
        <f>ESTRUTURA!C141</f>
        <v/>
      </c>
      <c r="C140" s="111" t="str">
        <f>ESTRUTURA!E141</f>
        <v/>
      </c>
      <c r="D140" s="113" t="str">
        <f>IF($A140="","",IF(A140=prazo_se,1,IFERROR(TRUNC(ESTRUTURA!R141/ESTRUTURA!T140,6),0)*100))</f>
        <v/>
      </c>
      <c r="E140" s="112"/>
      <c r="G140" s="110" t="str">
        <f>IF(ESTRUTURA!A141&gt;prazo_subp,"",ESTRUTURA!A141)</f>
        <v/>
      </c>
      <c r="H140" s="111" t="str">
        <f>IF(G140="","",ESTRUTURA!C141)</f>
        <v/>
      </c>
      <c r="I140" s="111" t="str">
        <f>IF(G140="","",ESTRUTURA!E141)</f>
        <v/>
      </c>
      <c r="J140" s="113" t="str">
        <f>IF($G140="","",IF(G140=prazo_subp,1,IFERROR(TRUNC(ESTRUTURA!Y141/ESTRUTURA!AA140,6),0)*100))</f>
        <v/>
      </c>
      <c r="K140" s="112"/>
      <c r="M140" s="110" t="str">
        <f>ESTRUTURA!M141</f>
        <v/>
      </c>
      <c r="N140" s="111" t="str">
        <f>ESTRUTURA!O141</f>
        <v/>
      </c>
      <c r="O140" s="111" t="str">
        <f>ESTRUTURA!Q141</f>
        <v/>
      </c>
      <c r="P140" s="113" t="str">
        <f>IF($M140="","",IF(M140=prazo_sub,1,IFERROR(TRUNC(ESTRUTURA!AE141/ESTRUTURA!AG140,6),0)*100))</f>
        <v/>
      </c>
      <c r="Q140" s="112"/>
    </row>
    <row r="141" spans="1:17" x14ac:dyDescent="0.3">
      <c r="A141" s="110" t="str">
        <f>IF(ESTRUTURA!A142&gt;prazo_se,"",ESTRUTURA!A142)</f>
        <v/>
      </c>
      <c r="B141" s="111" t="str">
        <f>ESTRUTURA!C142</f>
        <v/>
      </c>
      <c r="C141" s="111" t="str">
        <f>ESTRUTURA!E142</f>
        <v/>
      </c>
      <c r="D141" s="113" t="str">
        <f>IF($A141="","",IF(A141=prazo_se,1,IFERROR(TRUNC(ESTRUTURA!R142/ESTRUTURA!T141,6),0)*100))</f>
        <v/>
      </c>
      <c r="E141" s="112"/>
      <c r="G141" s="110" t="str">
        <f>IF(ESTRUTURA!A142&gt;prazo_subp,"",ESTRUTURA!A142)</f>
        <v/>
      </c>
      <c r="H141" s="111" t="str">
        <f>IF(G141="","",ESTRUTURA!C142)</f>
        <v/>
      </c>
      <c r="I141" s="111" t="str">
        <f>IF(G141="","",ESTRUTURA!E142)</f>
        <v/>
      </c>
      <c r="J141" s="113" t="str">
        <f>IF($G141="","",IF(G141=prazo_subp,1,IFERROR(TRUNC(ESTRUTURA!Y142/ESTRUTURA!AA141,6),0)*100))</f>
        <v/>
      </c>
      <c r="K141" s="112"/>
      <c r="M141" s="110" t="str">
        <f>ESTRUTURA!M142</f>
        <v/>
      </c>
      <c r="N141" s="111" t="str">
        <f>ESTRUTURA!O142</f>
        <v/>
      </c>
      <c r="O141" s="111" t="str">
        <f>ESTRUTURA!Q142</f>
        <v/>
      </c>
      <c r="P141" s="113" t="str">
        <f>IF($M141="","",IF(M141=prazo_sub,1,IFERROR(TRUNC(ESTRUTURA!AE142/ESTRUTURA!AG141,6),0)*100))</f>
        <v/>
      </c>
      <c r="Q141" s="112"/>
    </row>
    <row r="142" spans="1:17" x14ac:dyDescent="0.3">
      <c r="A142" s="110" t="str">
        <f>IF(ESTRUTURA!A143&gt;prazo_se,"",ESTRUTURA!A143)</f>
        <v/>
      </c>
      <c r="B142" s="111" t="str">
        <f>ESTRUTURA!C143</f>
        <v/>
      </c>
      <c r="C142" s="111" t="str">
        <f>ESTRUTURA!E143</f>
        <v/>
      </c>
      <c r="D142" s="113" t="str">
        <f>IF($A142="","",IF(A142=prazo_se,1,IFERROR(TRUNC(ESTRUTURA!R143/ESTRUTURA!T142,6),0)*100))</f>
        <v/>
      </c>
      <c r="E142" s="112"/>
      <c r="G142" s="110" t="str">
        <f>IF(ESTRUTURA!A143&gt;prazo_subp,"",ESTRUTURA!A143)</f>
        <v/>
      </c>
      <c r="H142" s="111" t="str">
        <f>IF(G142="","",ESTRUTURA!C143)</f>
        <v/>
      </c>
      <c r="I142" s="111" t="str">
        <f>IF(G142="","",ESTRUTURA!E143)</f>
        <v/>
      </c>
      <c r="J142" s="113" t="str">
        <f>IF($G142="","",IF(G142=prazo_subp,1,IFERROR(TRUNC(ESTRUTURA!Y143/ESTRUTURA!AA142,6),0)*100))</f>
        <v/>
      </c>
      <c r="K142" s="112"/>
      <c r="M142" s="110" t="str">
        <f>ESTRUTURA!M143</f>
        <v/>
      </c>
      <c r="N142" s="111" t="str">
        <f>ESTRUTURA!O143</f>
        <v/>
      </c>
      <c r="O142" s="111" t="str">
        <f>ESTRUTURA!Q143</f>
        <v/>
      </c>
      <c r="P142" s="113" t="str">
        <f>IF($M142="","",IF(M142=prazo_sub,1,IFERROR(TRUNC(ESTRUTURA!AE143/ESTRUTURA!AG142,6),0)*100))</f>
        <v/>
      </c>
      <c r="Q142" s="112"/>
    </row>
    <row r="143" spans="1:17" x14ac:dyDescent="0.3">
      <c r="A143" s="110" t="str">
        <f>IF(ESTRUTURA!A144&gt;prazo_se,"",ESTRUTURA!A144)</f>
        <v/>
      </c>
      <c r="B143" s="111" t="str">
        <f>ESTRUTURA!C144</f>
        <v/>
      </c>
      <c r="C143" s="111" t="str">
        <f>ESTRUTURA!E144</f>
        <v/>
      </c>
      <c r="D143" s="113" t="str">
        <f>IF($A143="","",IF(A143=prazo_se,1,IFERROR(TRUNC(ESTRUTURA!R144/ESTRUTURA!T143,6),0)*100))</f>
        <v/>
      </c>
      <c r="E143" s="112"/>
      <c r="G143" s="110" t="str">
        <f>IF(ESTRUTURA!A144&gt;prazo_subp,"",ESTRUTURA!A144)</f>
        <v/>
      </c>
      <c r="H143" s="111" t="str">
        <f>IF(G143="","",ESTRUTURA!C144)</f>
        <v/>
      </c>
      <c r="I143" s="111" t="str">
        <f>IF(G143="","",ESTRUTURA!E144)</f>
        <v/>
      </c>
      <c r="J143" s="113" t="str">
        <f>IF($G143="","",IF(G143=prazo_subp,1,IFERROR(TRUNC(ESTRUTURA!Y144/ESTRUTURA!AA143,6),0)*100))</f>
        <v/>
      </c>
      <c r="K143" s="112"/>
      <c r="M143" s="110" t="str">
        <f>ESTRUTURA!M144</f>
        <v/>
      </c>
      <c r="N143" s="111" t="str">
        <f>ESTRUTURA!O144</f>
        <v/>
      </c>
      <c r="O143" s="111" t="str">
        <f>ESTRUTURA!Q144</f>
        <v/>
      </c>
      <c r="P143" s="113" t="str">
        <f>IF($M143="","",IF(M143=prazo_sub,1,IFERROR(TRUNC(ESTRUTURA!AE144/ESTRUTURA!AG143,6),0)*100))</f>
        <v/>
      </c>
      <c r="Q143" s="112"/>
    </row>
    <row r="144" spans="1:17" x14ac:dyDescent="0.3">
      <c r="A144" s="110" t="str">
        <f>IF(ESTRUTURA!A145&gt;prazo_se,"",ESTRUTURA!A145)</f>
        <v/>
      </c>
      <c r="B144" s="111" t="str">
        <f>ESTRUTURA!C145</f>
        <v/>
      </c>
      <c r="C144" s="111" t="str">
        <f>ESTRUTURA!E145</f>
        <v/>
      </c>
      <c r="D144" s="113" t="str">
        <f>IF($A144="","",IF(A144=prazo_se,1,IFERROR(TRUNC(ESTRUTURA!R145/ESTRUTURA!T144,6),0)*100))</f>
        <v/>
      </c>
      <c r="E144" s="112"/>
      <c r="G144" s="110" t="str">
        <f>IF(ESTRUTURA!A145&gt;prazo_subp,"",ESTRUTURA!A145)</f>
        <v/>
      </c>
      <c r="H144" s="111" t="str">
        <f>IF(G144="","",ESTRUTURA!C145)</f>
        <v/>
      </c>
      <c r="I144" s="111" t="str">
        <f>IF(G144="","",ESTRUTURA!E145)</f>
        <v/>
      </c>
      <c r="J144" s="113" t="str">
        <f>IF($G144="","",IF(G144=prazo_subp,1,IFERROR(TRUNC(ESTRUTURA!Y145/ESTRUTURA!AA144,6),0)*100))</f>
        <v/>
      </c>
      <c r="K144" s="112"/>
      <c r="M144" s="110" t="str">
        <f>ESTRUTURA!M145</f>
        <v/>
      </c>
      <c r="N144" s="111" t="str">
        <f>ESTRUTURA!O145</f>
        <v/>
      </c>
      <c r="O144" s="111" t="str">
        <f>ESTRUTURA!Q145</f>
        <v/>
      </c>
      <c r="P144" s="113" t="str">
        <f>IF($M144="","",IF(M144=prazo_sub,1,IFERROR(TRUNC(ESTRUTURA!AE145/ESTRUTURA!AG144,6),0)*100))</f>
        <v/>
      </c>
      <c r="Q144" s="112"/>
    </row>
    <row r="145" spans="1:17" x14ac:dyDescent="0.3">
      <c r="A145" s="110" t="str">
        <f>IF(ESTRUTURA!A146&gt;prazo_se,"",ESTRUTURA!A146)</f>
        <v/>
      </c>
      <c r="B145" s="111" t="str">
        <f>ESTRUTURA!C146</f>
        <v/>
      </c>
      <c r="C145" s="111" t="str">
        <f>ESTRUTURA!E146</f>
        <v/>
      </c>
      <c r="D145" s="113" t="str">
        <f>IF($A145="","",IF(A145=prazo_se,1,IFERROR(TRUNC(ESTRUTURA!R146/ESTRUTURA!T145,6),0)*100))</f>
        <v/>
      </c>
      <c r="E145" s="112"/>
      <c r="G145" s="110" t="str">
        <f>IF(ESTRUTURA!A146&gt;prazo_subp,"",ESTRUTURA!A146)</f>
        <v/>
      </c>
      <c r="H145" s="111" t="str">
        <f>IF(G145="","",ESTRUTURA!C146)</f>
        <v/>
      </c>
      <c r="I145" s="111" t="str">
        <f>IF(G145="","",ESTRUTURA!E146)</f>
        <v/>
      </c>
      <c r="J145" s="113" t="str">
        <f>IF($G145="","",IF(G145=prazo_subp,1,IFERROR(TRUNC(ESTRUTURA!Y146/ESTRUTURA!AA145,6),0)*100))</f>
        <v/>
      </c>
      <c r="K145" s="112"/>
      <c r="M145" s="110" t="str">
        <f>ESTRUTURA!M146</f>
        <v/>
      </c>
      <c r="N145" s="111" t="str">
        <f>ESTRUTURA!O146</f>
        <v/>
      </c>
      <c r="O145" s="111" t="str">
        <f>ESTRUTURA!Q146</f>
        <v/>
      </c>
      <c r="P145" s="113" t="str">
        <f>IF($M145="","",IF(M145=prazo_sub,1,IFERROR(TRUNC(ESTRUTURA!AE146/ESTRUTURA!AG145,6),0)*100))</f>
        <v/>
      </c>
      <c r="Q145" s="112"/>
    </row>
    <row r="146" spans="1:17" x14ac:dyDescent="0.3">
      <c r="A146" s="110" t="str">
        <f>IF(ESTRUTURA!A147&gt;prazo_se,"",ESTRUTURA!A147)</f>
        <v/>
      </c>
      <c r="B146" s="111" t="str">
        <f>ESTRUTURA!C147</f>
        <v/>
      </c>
      <c r="C146" s="111" t="str">
        <f>ESTRUTURA!E147</f>
        <v/>
      </c>
      <c r="D146" s="113" t="str">
        <f>IF($A146="","",IF(A146=prazo_se,1,IFERROR(TRUNC(ESTRUTURA!R147/ESTRUTURA!T146,6),0)*100))</f>
        <v/>
      </c>
      <c r="E146" s="112"/>
      <c r="G146" s="110" t="str">
        <f>IF(ESTRUTURA!A147&gt;prazo_subp,"",ESTRUTURA!A147)</f>
        <v/>
      </c>
      <c r="H146" s="111" t="str">
        <f>IF(G146="","",ESTRUTURA!C147)</f>
        <v/>
      </c>
      <c r="I146" s="111" t="str">
        <f>IF(G146="","",ESTRUTURA!E147)</f>
        <v/>
      </c>
      <c r="J146" s="113" t="str">
        <f>IF($G146="","",IF(G146=prazo_subp,1,IFERROR(TRUNC(ESTRUTURA!Y147/ESTRUTURA!AA146,6),0)*100))</f>
        <v/>
      </c>
      <c r="K146" s="112"/>
      <c r="M146" s="110" t="str">
        <f>ESTRUTURA!M147</f>
        <v/>
      </c>
      <c r="N146" s="111" t="str">
        <f>ESTRUTURA!O147</f>
        <v/>
      </c>
      <c r="O146" s="111" t="str">
        <f>ESTRUTURA!Q147</f>
        <v/>
      </c>
      <c r="P146" s="113" t="str">
        <f>IF($M146="","",IF(M146=prazo_sub,1,IFERROR(TRUNC(ESTRUTURA!AE147/ESTRUTURA!AG146,6),0)*100))</f>
        <v/>
      </c>
      <c r="Q146" s="112"/>
    </row>
    <row r="147" spans="1:17" x14ac:dyDescent="0.3">
      <c r="A147" s="110" t="str">
        <f>IF(ESTRUTURA!A148&gt;prazo_se,"",ESTRUTURA!A148)</f>
        <v/>
      </c>
      <c r="B147" s="111" t="str">
        <f>ESTRUTURA!C148</f>
        <v/>
      </c>
      <c r="C147" s="111" t="str">
        <f>ESTRUTURA!E148</f>
        <v/>
      </c>
      <c r="D147" s="113" t="str">
        <f>IF($A147="","",IF(A147=prazo_se,1,IFERROR(TRUNC(ESTRUTURA!R148/ESTRUTURA!T147,6),0)*100))</f>
        <v/>
      </c>
      <c r="E147" s="112"/>
      <c r="G147" s="110" t="str">
        <f>IF(ESTRUTURA!A148&gt;prazo_subp,"",ESTRUTURA!A148)</f>
        <v/>
      </c>
      <c r="H147" s="111" t="str">
        <f>IF(G147="","",ESTRUTURA!C148)</f>
        <v/>
      </c>
      <c r="I147" s="111" t="str">
        <f>IF(G147="","",ESTRUTURA!E148)</f>
        <v/>
      </c>
      <c r="J147" s="113" t="str">
        <f>IF($G147="","",IF(G147=prazo_subp,1,IFERROR(TRUNC(ESTRUTURA!Y148/ESTRUTURA!AA147,6),0)*100))</f>
        <v/>
      </c>
      <c r="K147" s="112"/>
      <c r="M147" s="110" t="str">
        <f>ESTRUTURA!M148</f>
        <v/>
      </c>
      <c r="N147" s="111" t="str">
        <f>ESTRUTURA!O148</f>
        <v/>
      </c>
      <c r="O147" s="111" t="str">
        <f>ESTRUTURA!Q148</f>
        <v/>
      </c>
      <c r="P147" s="113" t="str">
        <f>IF($M147="","",IF(M147=prazo_sub,1,IFERROR(TRUNC(ESTRUTURA!AE148/ESTRUTURA!AG147,6),0)*100))</f>
        <v/>
      </c>
      <c r="Q147" s="112"/>
    </row>
    <row r="148" spans="1:17" x14ac:dyDescent="0.3">
      <c r="A148" s="110" t="str">
        <f>IF(ESTRUTURA!A149&gt;prazo_se,"",ESTRUTURA!A149)</f>
        <v/>
      </c>
      <c r="B148" s="111" t="str">
        <f>ESTRUTURA!C149</f>
        <v/>
      </c>
      <c r="C148" s="111" t="str">
        <f>ESTRUTURA!E149</f>
        <v/>
      </c>
      <c r="D148" s="113" t="str">
        <f>IF($A148="","",IF(A148=prazo_se,1,IFERROR(TRUNC(ESTRUTURA!R149/ESTRUTURA!T148,6),0)*100))</f>
        <v/>
      </c>
      <c r="E148" s="112"/>
      <c r="G148" s="110" t="str">
        <f>IF(ESTRUTURA!A149&gt;prazo_subp,"",ESTRUTURA!A149)</f>
        <v/>
      </c>
      <c r="H148" s="111" t="str">
        <f>IF(G148="","",ESTRUTURA!C149)</f>
        <v/>
      </c>
      <c r="I148" s="111" t="str">
        <f>IF(G148="","",ESTRUTURA!E149)</f>
        <v/>
      </c>
      <c r="J148" s="113" t="str">
        <f>IF($G148="","",IF(G148=prazo_subp,1,IFERROR(TRUNC(ESTRUTURA!Y149/ESTRUTURA!AA148,6),0)*100))</f>
        <v/>
      </c>
      <c r="K148" s="112"/>
      <c r="M148" s="110" t="str">
        <f>ESTRUTURA!M149</f>
        <v/>
      </c>
      <c r="N148" s="111" t="str">
        <f>ESTRUTURA!O149</f>
        <v/>
      </c>
      <c r="O148" s="111" t="str">
        <f>ESTRUTURA!Q149</f>
        <v/>
      </c>
      <c r="P148" s="113" t="str">
        <f>IF($M148="","",IF(M148=prazo_sub,1,IFERROR(TRUNC(ESTRUTURA!AE149/ESTRUTURA!AG148,6),0)*100))</f>
        <v/>
      </c>
      <c r="Q148" s="112"/>
    </row>
    <row r="149" spans="1:17" x14ac:dyDescent="0.3">
      <c r="A149" s="110" t="str">
        <f>IF(ESTRUTURA!A150&gt;prazo_se,"",ESTRUTURA!A150)</f>
        <v/>
      </c>
      <c r="B149" s="111" t="str">
        <f>ESTRUTURA!C150</f>
        <v/>
      </c>
      <c r="C149" s="111" t="str">
        <f>ESTRUTURA!E150</f>
        <v/>
      </c>
      <c r="D149" s="113" t="str">
        <f>IF($A149="","",IF(A149=prazo_se,1,IFERROR(TRUNC(ESTRUTURA!R150/ESTRUTURA!T149,6),0)*100))</f>
        <v/>
      </c>
      <c r="E149" s="112"/>
      <c r="G149" s="110" t="str">
        <f>IF(ESTRUTURA!A150&gt;prazo_subp,"",ESTRUTURA!A150)</f>
        <v/>
      </c>
      <c r="H149" s="111" t="str">
        <f>IF(G149="","",ESTRUTURA!C150)</f>
        <v/>
      </c>
      <c r="I149" s="111" t="str">
        <f>IF(G149="","",ESTRUTURA!E150)</f>
        <v/>
      </c>
      <c r="J149" s="113" t="str">
        <f>IF($G149="","",IF(G149=prazo_subp,1,IFERROR(TRUNC(ESTRUTURA!Y150/ESTRUTURA!AA149,6),0)*100))</f>
        <v/>
      </c>
      <c r="K149" s="112"/>
      <c r="M149" s="110" t="str">
        <f>ESTRUTURA!M150</f>
        <v/>
      </c>
      <c r="N149" s="111" t="str">
        <f>ESTRUTURA!O150</f>
        <v/>
      </c>
      <c r="O149" s="111" t="str">
        <f>ESTRUTURA!Q150</f>
        <v/>
      </c>
      <c r="P149" s="113" t="str">
        <f>IF($M149="","",IF(M149=prazo_sub,1,IFERROR(TRUNC(ESTRUTURA!AE150/ESTRUTURA!AG149,6),0)*100))</f>
        <v/>
      </c>
      <c r="Q149" s="112"/>
    </row>
    <row r="150" spans="1:17" x14ac:dyDescent="0.3">
      <c r="A150" s="110" t="str">
        <f>IF(ESTRUTURA!A151&gt;prazo_se,"",ESTRUTURA!A151)</f>
        <v/>
      </c>
      <c r="B150" s="111" t="str">
        <f>ESTRUTURA!C151</f>
        <v/>
      </c>
      <c r="C150" s="111" t="str">
        <f>ESTRUTURA!E151</f>
        <v/>
      </c>
      <c r="D150" s="113" t="str">
        <f>IF($A150="","",IF(A150=prazo_se,1,IFERROR(TRUNC(ESTRUTURA!R151/ESTRUTURA!T150,6),0)*100))</f>
        <v/>
      </c>
      <c r="E150" s="112"/>
      <c r="G150" s="110" t="str">
        <f>IF(ESTRUTURA!A151&gt;prazo_subp,"",ESTRUTURA!A151)</f>
        <v/>
      </c>
      <c r="H150" s="111" t="str">
        <f>IF(G150="","",ESTRUTURA!C151)</f>
        <v/>
      </c>
      <c r="I150" s="111" t="str">
        <f>IF(G150="","",ESTRUTURA!E151)</f>
        <v/>
      </c>
      <c r="J150" s="113" t="str">
        <f>IF($G150="","",IF(G150=prazo_subp,1,IFERROR(TRUNC(ESTRUTURA!Y151/ESTRUTURA!AA150,6),0)*100))</f>
        <v/>
      </c>
      <c r="K150" s="112"/>
      <c r="M150" s="110" t="str">
        <f>ESTRUTURA!M151</f>
        <v/>
      </c>
      <c r="N150" s="111" t="str">
        <f>ESTRUTURA!O151</f>
        <v/>
      </c>
      <c r="O150" s="111" t="str">
        <f>ESTRUTURA!Q151</f>
        <v/>
      </c>
      <c r="P150" s="113" t="str">
        <f>IF($M150="","",IF(M150=prazo_sub,1,IFERROR(TRUNC(ESTRUTURA!AE151/ESTRUTURA!AG150,6),0)*100))</f>
        <v/>
      </c>
      <c r="Q150" s="112"/>
    </row>
    <row r="151" spans="1:17" x14ac:dyDescent="0.3">
      <c r="A151" s="110" t="str">
        <f>IF(ESTRUTURA!A152&gt;prazo_se,"",ESTRUTURA!A152)</f>
        <v/>
      </c>
      <c r="B151" s="111" t="str">
        <f>ESTRUTURA!C152</f>
        <v/>
      </c>
      <c r="C151" s="111" t="str">
        <f>ESTRUTURA!E152</f>
        <v/>
      </c>
      <c r="D151" s="113" t="str">
        <f>IF($A151="","",IF(A151=prazo_se,1,IFERROR(TRUNC(ESTRUTURA!R152/ESTRUTURA!T151,6),0)*100))</f>
        <v/>
      </c>
      <c r="E151" s="112"/>
      <c r="G151" s="110" t="str">
        <f>IF(ESTRUTURA!A152&gt;prazo_subp,"",ESTRUTURA!A152)</f>
        <v/>
      </c>
      <c r="H151" s="111" t="str">
        <f>IF(G151="","",ESTRUTURA!C152)</f>
        <v/>
      </c>
      <c r="I151" s="111" t="str">
        <f>IF(G151="","",ESTRUTURA!E152)</f>
        <v/>
      </c>
      <c r="J151" s="113" t="str">
        <f>IF($G151="","",IF(G151=prazo_subp,1,IFERROR(TRUNC(ESTRUTURA!Y152/ESTRUTURA!AA151,6),0)*100))</f>
        <v/>
      </c>
      <c r="K151" s="112"/>
      <c r="M151" s="110" t="str">
        <f>ESTRUTURA!M152</f>
        <v/>
      </c>
      <c r="N151" s="111" t="str">
        <f>ESTRUTURA!O152</f>
        <v/>
      </c>
      <c r="O151" s="111" t="str">
        <f>ESTRUTURA!Q152</f>
        <v/>
      </c>
      <c r="P151" s="113" t="str">
        <f>IF($M151="","",IF(M151=prazo_sub,1,IFERROR(TRUNC(ESTRUTURA!AE152/ESTRUTURA!AG151,6),0)*100))</f>
        <v/>
      </c>
      <c r="Q151" s="112"/>
    </row>
    <row r="152" spans="1:17" x14ac:dyDescent="0.3">
      <c r="A152" s="110" t="str">
        <f>IF(ESTRUTURA!A153&gt;prazo_se,"",ESTRUTURA!A153)</f>
        <v/>
      </c>
      <c r="B152" s="111" t="str">
        <f>ESTRUTURA!C153</f>
        <v/>
      </c>
      <c r="C152" s="111" t="str">
        <f>ESTRUTURA!E153</f>
        <v/>
      </c>
      <c r="D152" s="113" t="str">
        <f>IF($A152="","",IF(A152=prazo_se,1,IFERROR(TRUNC(ESTRUTURA!R153/ESTRUTURA!T152,6),0)*100))</f>
        <v/>
      </c>
      <c r="E152" s="112"/>
      <c r="G152" s="110" t="str">
        <f>IF(ESTRUTURA!A153&gt;prazo_subp,"",ESTRUTURA!A153)</f>
        <v/>
      </c>
      <c r="H152" s="111" t="str">
        <f>IF(G152="","",ESTRUTURA!C153)</f>
        <v/>
      </c>
      <c r="I152" s="111" t="str">
        <f>IF(G152="","",ESTRUTURA!E153)</f>
        <v/>
      </c>
      <c r="J152" s="113" t="str">
        <f>IF($G152="","",IF(G152=prazo_subp,1,IFERROR(TRUNC(ESTRUTURA!Y153/ESTRUTURA!AA152,6),0)*100))</f>
        <v/>
      </c>
      <c r="K152" s="112"/>
      <c r="M152" s="110" t="str">
        <f>ESTRUTURA!M153</f>
        <v/>
      </c>
      <c r="N152" s="111" t="str">
        <f>ESTRUTURA!O153</f>
        <v/>
      </c>
      <c r="O152" s="111" t="str">
        <f>ESTRUTURA!Q153</f>
        <v/>
      </c>
      <c r="P152" s="113" t="str">
        <f>IF($M152="","",IF(M152=prazo_sub,1,IFERROR(TRUNC(ESTRUTURA!AE153/ESTRUTURA!AG152,6),0)*100))</f>
        <v/>
      </c>
      <c r="Q152" s="112"/>
    </row>
    <row r="153" spans="1:17" x14ac:dyDescent="0.3">
      <c r="A153" s="110" t="str">
        <f>IF(ESTRUTURA!A154&gt;prazo_se,"",ESTRUTURA!A154)</f>
        <v/>
      </c>
      <c r="B153" s="111" t="str">
        <f>ESTRUTURA!C154</f>
        <v/>
      </c>
      <c r="C153" s="111" t="str">
        <f>ESTRUTURA!E154</f>
        <v/>
      </c>
      <c r="D153" s="113" t="str">
        <f>IF($A153="","",IF(A153=prazo_se,1,IFERROR(TRUNC(ESTRUTURA!R154/ESTRUTURA!T153,6),0)*100))</f>
        <v/>
      </c>
      <c r="E153" s="112"/>
      <c r="G153" s="110" t="str">
        <f>IF(ESTRUTURA!A154&gt;prazo_subp,"",ESTRUTURA!A154)</f>
        <v/>
      </c>
      <c r="H153" s="111" t="str">
        <f>IF(G153="","",ESTRUTURA!C154)</f>
        <v/>
      </c>
      <c r="I153" s="111" t="str">
        <f>IF(G153="","",ESTRUTURA!E154)</f>
        <v/>
      </c>
      <c r="J153" s="113" t="str">
        <f>IF($G153="","",IF(G153=prazo_subp,1,IFERROR(TRUNC(ESTRUTURA!Y154/ESTRUTURA!AA153,6),0)*100))</f>
        <v/>
      </c>
      <c r="K153" s="112"/>
      <c r="M153" s="110" t="str">
        <f>ESTRUTURA!M154</f>
        <v/>
      </c>
      <c r="N153" s="111" t="str">
        <f>ESTRUTURA!O154</f>
        <v/>
      </c>
      <c r="O153" s="111" t="str">
        <f>ESTRUTURA!Q154</f>
        <v/>
      </c>
      <c r="P153" s="113" t="str">
        <f>IF($M153="","",IF(M153=prazo_sub,1,IFERROR(TRUNC(ESTRUTURA!AE154/ESTRUTURA!AG153,6),0)*100))</f>
        <v/>
      </c>
      <c r="Q153" s="112"/>
    </row>
    <row r="154" spans="1:17" x14ac:dyDescent="0.3">
      <c r="A154" s="110" t="str">
        <f>IF(ESTRUTURA!A155&gt;prazo_se,"",ESTRUTURA!A155)</f>
        <v/>
      </c>
      <c r="B154" s="111" t="str">
        <f>ESTRUTURA!C155</f>
        <v/>
      </c>
      <c r="C154" s="111" t="str">
        <f>ESTRUTURA!E155</f>
        <v/>
      </c>
      <c r="D154" s="113" t="str">
        <f>IF($A154="","",IF(A154=prazo_se,1,IFERROR(TRUNC(ESTRUTURA!R155/ESTRUTURA!T154,6),0)*100))</f>
        <v/>
      </c>
      <c r="E154" s="112"/>
      <c r="G154" s="110" t="str">
        <f>IF(ESTRUTURA!A155&gt;prazo_subp,"",ESTRUTURA!A155)</f>
        <v/>
      </c>
      <c r="H154" s="111" t="str">
        <f>IF(G154="","",ESTRUTURA!C155)</f>
        <v/>
      </c>
      <c r="I154" s="111" t="str">
        <f>IF(G154="","",ESTRUTURA!E155)</f>
        <v/>
      </c>
      <c r="J154" s="113" t="str">
        <f>IF($G154="","",IF(G154=prazo_subp,1,IFERROR(TRUNC(ESTRUTURA!Y155/ESTRUTURA!AA154,6),0)*100))</f>
        <v/>
      </c>
      <c r="K154" s="112"/>
      <c r="M154" s="110" t="str">
        <f>ESTRUTURA!M155</f>
        <v/>
      </c>
      <c r="N154" s="111" t="str">
        <f>ESTRUTURA!O155</f>
        <v/>
      </c>
      <c r="O154" s="111" t="str">
        <f>ESTRUTURA!Q155</f>
        <v/>
      </c>
      <c r="P154" s="113" t="str">
        <f>IF($M154="","",IF(M154=prazo_sub,1,IFERROR(TRUNC(ESTRUTURA!AE155/ESTRUTURA!AG154,6),0)*100))</f>
        <v/>
      </c>
      <c r="Q154" s="112"/>
    </row>
    <row r="155" spans="1:17" x14ac:dyDescent="0.3">
      <c r="A155" s="110" t="str">
        <f>IF(ESTRUTURA!A156&gt;prazo_se,"",ESTRUTURA!A156)</f>
        <v/>
      </c>
      <c r="B155" s="111" t="str">
        <f>ESTRUTURA!C156</f>
        <v/>
      </c>
      <c r="C155" s="111" t="str">
        <f>ESTRUTURA!E156</f>
        <v/>
      </c>
      <c r="D155" s="113" t="str">
        <f>IF($A155="","",IF(A155=prazo_se,1,IFERROR(TRUNC(ESTRUTURA!R156/ESTRUTURA!T155,6),0)*100))</f>
        <v/>
      </c>
      <c r="E155" s="112"/>
      <c r="G155" s="110" t="str">
        <f>IF(ESTRUTURA!A156&gt;prazo_subp,"",ESTRUTURA!A156)</f>
        <v/>
      </c>
      <c r="H155" s="111" t="str">
        <f>IF(G155="","",ESTRUTURA!C156)</f>
        <v/>
      </c>
      <c r="I155" s="111" t="str">
        <f>IF(G155="","",ESTRUTURA!E156)</f>
        <v/>
      </c>
      <c r="J155" s="113" t="str">
        <f>IF($G155="","",IF(G155=prazo_subp,1,IFERROR(TRUNC(ESTRUTURA!Y156/ESTRUTURA!AA155,6),0)*100))</f>
        <v/>
      </c>
      <c r="K155" s="112"/>
      <c r="M155" s="110" t="str">
        <f>ESTRUTURA!M156</f>
        <v/>
      </c>
      <c r="N155" s="111" t="str">
        <f>ESTRUTURA!O156</f>
        <v/>
      </c>
      <c r="O155" s="111" t="str">
        <f>ESTRUTURA!Q156</f>
        <v/>
      </c>
      <c r="P155" s="113" t="str">
        <f>IF($M155="","",IF(M155=prazo_sub,1,IFERROR(TRUNC(ESTRUTURA!AE156/ESTRUTURA!AG155,6),0)*100))</f>
        <v/>
      </c>
      <c r="Q155" s="112"/>
    </row>
    <row r="156" spans="1:17" x14ac:dyDescent="0.3">
      <c r="A156" s="110" t="str">
        <f>IF(ESTRUTURA!A157&gt;prazo_se,"",ESTRUTURA!A157)</f>
        <v/>
      </c>
      <c r="B156" s="111" t="str">
        <f>ESTRUTURA!C157</f>
        <v/>
      </c>
      <c r="C156" s="111" t="str">
        <f>ESTRUTURA!E157</f>
        <v/>
      </c>
      <c r="D156" s="113" t="str">
        <f>IF($A156="","",IF(A156=prazo_se,1,IFERROR(TRUNC(ESTRUTURA!R157/ESTRUTURA!T156,6),0)*100))</f>
        <v/>
      </c>
      <c r="E156" s="112"/>
      <c r="G156" s="110" t="str">
        <f>IF(ESTRUTURA!A157&gt;prazo_subp,"",ESTRUTURA!A157)</f>
        <v/>
      </c>
      <c r="H156" s="111" t="str">
        <f>IF(G156="","",ESTRUTURA!C157)</f>
        <v/>
      </c>
      <c r="I156" s="111" t="str">
        <f>IF(G156="","",ESTRUTURA!E157)</f>
        <v/>
      </c>
      <c r="J156" s="113" t="str">
        <f>IF($G156="","",IF(G156=prazo_subp,1,IFERROR(TRUNC(ESTRUTURA!Y157/ESTRUTURA!AA156,6),0)*100))</f>
        <v/>
      </c>
      <c r="K156" s="112"/>
      <c r="M156" s="110" t="str">
        <f>ESTRUTURA!M157</f>
        <v/>
      </c>
      <c r="N156" s="111" t="str">
        <f>ESTRUTURA!O157</f>
        <v/>
      </c>
      <c r="O156" s="111" t="str">
        <f>ESTRUTURA!Q157</f>
        <v/>
      </c>
      <c r="P156" s="113" t="str">
        <f>IF($M156="","",IF(M156=prazo_sub,1,IFERROR(TRUNC(ESTRUTURA!AE157/ESTRUTURA!AG156,6),0)*100))</f>
        <v/>
      </c>
      <c r="Q156" s="112"/>
    </row>
    <row r="157" spans="1:17" x14ac:dyDescent="0.3">
      <c r="A157" s="110" t="str">
        <f>IF(ESTRUTURA!A158&gt;prazo_se,"",ESTRUTURA!A158)</f>
        <v/>
      </c>
      <c r="B157" s="111" t="str">
        <f>ESTRUTURA!C158</f>
        <v/>
      </c>
      <c r="C157" s="111" t="str">
        <f>ESTRUTURA!E158</f>
        <v/>
      </c>
      <c r="D157" s="113" t="str">
        <f>IF($A157="","",IF(A157=prazo_se,1,IFERROR(TRUNC(ESTRUTURA!R158/ESTRUTURA!T157,6),0)*100))</f>
        <v/>
      </c>
      <c r="E157" s="112"/>
      <c r="G157" s="110" t="str">
        <f>IF(ESTRUTURA!A158&gt;prazo_subp,"",ESTRUTURA!A158)</f>
        <v/>
      </c>
      <c r="H157" s="111" t="str">
        <f>IF(G157="","",ESTRUTURA!C158)</f>
        <v/>
      </c>
      <c r="I157" s="111" t="str">
        <f>IF(G157="","",ESTRUTURA!E158)</f>
        <v/>
      </c>
      <c r="J157" s="113" t="str">
        <f>IF($G157="","",IF(G157=prazo_subp,1,IFERROR(TRUNC(ESTRUTURA!Y158/ESTRUTURA!AA157,6),0)*100))</f>
        <v/>
      </c>
      <c r="K157" s="112"/>
      <c r="M157" s="110" t="str">
        <f>ESTRUTURA!M158</f>
        <v/>
      </c>
      <c r="N157" s="111" t="str">
        <f>ESTRUTURA!O158</f>
        <v/>
      </c>
      <c r="O157" s="111" t="str">
        <f>ESTRUTURA!Q158</f>
        <v/>
      </c>
      <c r="P157" s="113" t="str">
        <f>IF($M157="","",IF(M157=prazo_sub,1,IFERROR(TRUNC(ESTRUTURA!AE158/ESTRUTURA!AG157,6),0)*100))</f>
        <v/>
      </c>
      <c r="Q157" s="112"/>
    </row>
    <row r="158" spans="1:17" x14ac:dyDescent="0.3">
      <c r="A158" s="110" t="str">
        <f>IF(ESTRUTURA!A159&gt;prazo_se,"",ESTRUTURA!A159)</f>
        <v/>
      </c>
      <c r="B158" s="111" t="str">
        <f>ESTRUTURA!C159</f>
        <v/>
      </c>
      <c r="C158" s="111" t="str">
        <f>ESTRUTURA!E159</f>
        <v/>
      </c>
      <c r="D158" s="113" t="str">
        <f>IF($A158="","",IF(A158=prazo_se,1,IFERROR(TRUNC(ESTRUTURA!R159/ESTRUTURA!T158,6),0)*100))</f>
        <v/>
      </c>
      <c r="E158" s="112"/>
      <c r="G158" s="110" t="str">
        <f>IF(ESTRUTURA!A159&gt;prazo_subp,"",ESTRUTURA!A159)</f>
        <v/>
      </c>
      <c r="H158" s="111" t="str">
        <f>IF(G158="","",ESTRUTURA!C159)</f>
        <v/>
      </c>
      <c r="I158" s="111" t="str">
        <f>IF(G158="","",ESTRUTURA!E159)</f>
        <v/>
      </c>
      <c r="J158" s="113" t="str">
        <f>IF($G158="","",IF(G158=prazo_subp,1,IFERROR(TRUNC(ESTRUTURA!Y159/ESTRUTURA!AA158,6),0)*100))</f>
        <v/>
      </c>
      <c r="K158" s="112"/>
      <c r="M158" s="110" t="str">
        <f>ESTRUTURA!M159</f>
        <v/>
      </c>
      <c r="N158" s="111" t="str">
        <f>ESTRUTURA!O159</f>
        <v/>
      </c>
      <c r="O158" s="111" t="str">
        <f>ESTRUTURA!Q159</f>
        <v/>
      </c>
      <c r="P158" s="113" t="str">
        <f>IF($M158="","",IF(M158=prazo_sub,1,IFERROR(TRUNC(ESTRUTURA!AE159/ESTRUTURA!AG158,6),0)*100))</f>
        <v/>
      </c>
      <c r="Q158" s="112"/>
    </row>
    <row r="159" spans="1:17" x14ac:dyDescent="0.3">
      <c r="A159" s="110" t="str">
        <f>IF(ESTRUTURA!A160&gt;prazo_se,"",ESTRUTURA!A160)</f>
        <v/>
      </c>
      <c r="B159" s="111" t="str">
        <f>ESTRUTURA!C160</f>
        <v/>
      </c>
      <c r="C159" s="111" t="str">
        <f>ESTRUTURA!E160</f>
        <v/>
      </c>
      <c r="D159" s="113" t="str">
        <f>IF($A159="","",IF(A159=prazo_se,1,IFERROR(TRUNC(ESTRUTURA!R160/ESTRUTURA!T159,6),0)*100))</f>
        <v/>
      </c>
      <c r="E159" s="112"/>
      <c r="G159" s="110" t="str">
        <f>IF(ESTRUTURA!A160&gt;prazo_subp,"",ESTRUTURA!A160)</f>
        <v/>
      </c>
      <c r="H159" s="111" t="str">
        <f>IF(G159="","",ESTRUTURA!C160)</f>
        <v/>
      </c>
      <c r="I159" s="111" t="str">
        <f>IF(G159="","",ESTRUTURA!E160)</f>
        <v/>
      </c>
      <c r="J159" s="113" t="str">
        <f>IF($G159="","",IF(G159=prazo_subp,1,IFERROR(TRUNC(ESTRUTURA!Y160/ESTRUTURA!AA159,6),0)*100))</f>
        <v/>
      </c>
      <c r="K159" s="112"/>
      <c r="M159" s="110" t="str">
        <f>ESTRUTURA!M160</f>
        <v/>
      </c>
      <c r="N159" s="111" t="str">
        <f>ESTRUTURA!O160</f>
        <v/>
      </c>
      <c r="O159" s="111" t="str">
        <f>ESTRUTURA!Q160</f>
        <v/>
      </c>
      <c r="P159" s="113" t="str">
        <f>IF($M159="","",IF(M159=prazo_sub,1,IFERROR(TRUNC(ESTRUTURA!AE160/ESTRUTURA!AG159,6),0)*100))</f>
        <v/>
      </c>
      <c r="Q159" s="112"/>
    </row>
    <row r="160" spans="1:17" x14ac:dyDescent="0.3">
      <c r="A160" s="110" t="str">
        <f>IF(ESTRUTURA!A161&gt;prazo_se,"",ESTRUTURA!A161)</f>
        <v/>
      </c>
      <c r="B160" s="111" t="str">
        <f>ESTRUTURA!C161</f>
        <v/>
      </c>
      <c r="C160" s="111" t="str">
        <f>ESTRUTURA!E161</f>
        <v/>
      </c>
      <c r="D160" s="113" t="str">
        <f>IF($A160="","",IF(A160=prazo_se,1,IFERROR(TRUNC(ESTRUTURA!R161/ESTRUTURA!T160,6),0)*100))</f>
        <v/>
      </c>
      <c r="E160" s="112"/>
      <c r="G160" s="110" t="str">
        <f>IF(ESTRUTURA!A161&gt;prazo_subp,"",ESTRUTURA!A161)</f>
        <v/>
      </c>
      <c r="H160" s="111" t="str">
        <f>IF(G160="","",ESTRUTURA!C161)</f>
        <v/>
      </c>
      <c r="I160" s="111" t="str">
        <f>IF(G160="","",ESTRUTURA!E161)</f>
        <v/>
      </c>
      <c r="J160" s="113" t="str">
        <f>IF($G160="","",IF(G160=prazo_subp,1,IFERROR(TRUNC(ESTRUTURA!Y161/ESTRUTURA!AA160,6),0)*100))</f>
        <v/>
      </c>
      <c r="K160" s="112"/>
      <c r="M160" s="110" t="str">
        <f>ESTRUTURA!M161</f>
        <v/>
      </c>
      <c r="N160" s="111" t="str">
        <f>ESTRUTURA!O161</f>
        <v/>
      </c>
      <c r="O160" s="111" t="str">
        <f>ESTRUTURA!Q161</f>
        <v/>
      </c>
      <c r="P160" s="113" t="str">
        <f>IF($M160="","",IF(M160=prazo_sub,1,IFERROR(TRUNC(ESTRUTURA!AE161/ESTRUTURA!AG160,6),0)*100))</f>
        <v/>
      </c>
      <c r="Q160" s="112"/>
    </row>
    <row r="161" spans="1:17" x14ac:dyDescent="0.3">
      <c r="A161" s="110" t="str">
        <f>IF(ESTRUTURA!A162&gt;prazo_se,"",ESTRUTURA!A162)</f>
        <v/>
      </c>
      <c r="B161" s="111" t="str">
        <f>ESTRUTURA!C162</f>
        <v/>
      </c>
      <c r="C161" s="111" t="str">
        <f>ESTRUTURA!E162</f>
        <v/>
      </c>
      <c r="D161" s="113" t="str">
        <f>IF($A161="","",IF(A161=prazo_se,1,IFERROR(TRUNC(ESTRUTURA!R162/ESTRUTURA!T161,6),0)*100))</f>
        <v/>
      </c>
      <c r="E161" s="112"/>
      <c r="G161" s="110" t="str">
        <f>IF(ESTRUTURA!A162&gt;prazo_subp,"",ESTRUTURA!A162)</f>
        <v/>
      </c>
      <c r="H161" s="111" t="str">
        <f>IF(G161="","",ESTRUTURA!C162)</f>
        <v/>
      </c>
      <c r="I161" s="111" t="str">
        <f>IF(G161="","",ESTRUTURA!E162)</f>
        <v/>
      </c>
      <c r="J161" s="113" t="str">
        <f>IF($G161="","",IF(G161=prazo_subp,1,IFERROR(TRUNC(ESTRUTURA!Y162/ESTRUTURA!AA161,6),0)*100))</f>
        <v/>
      </c>
      <c r="K161" s="112"/>
      <c r="M161" s="110" t="str">
        <f>ESTRUTURA!M162</f>
        <v/>
      </c>
      <c r="N161" s="111" t="str">
        <f>ESTRUTURA!O162</f>
        <v/>
      </c>
      <c r="O161" s="111" t="str">
        <f>ESTRUTURA!Q162</f>
        <v/>
      </c>
      <c r="P161" s="113" t="str">
        <f>IF($M161="","",IF(M161=prazo_sub,1,IFERROR(TRUNC(ESTRUTURA!AE162/ESTRUTURA!AG161,6),0)*100))</f>
        <v/>
      </c>
      <c r="Q161" s="112"/>
    </row>
    <row r="162" spans="1:17" x14ac:dyDescent="0.3">
      <c r="A162" s="110" t="str">
        <f>IF(ESTRUTURA!A163&gt;prazo_se,"",ESTRUTURA!A163)</f>
        <v/>
      </c>
      <c r="B162" s="111" t="str">
        <f>ESTRUTURA!C163</f>
        <v/>
      </c>
      <c r="C162" s="111" t="str">
        <f>ESTRUTURA!E163</f>
        <v/>
      </c>
      <c r="D162" s="113" t="str">
        <f>IF($A162="","",IF(A162=prazo_se,1,IFERROR(TRUNC(ESTRUTURA!R163/ESTRUTURA!T162,6),0)*100))</f>
        <v/>
      </c>
      <c r="E162" s="112"/>
      <c r="G162" s="110" t="str">
        <f>IF(ESTRUTURA!A163&gt;prazo_subp,"",ESTRUTURA!A163)</f>
        <v/>
      </c>
      <c r="H162" s="111" t="str">
        <f>IF(G162="","",ESTRUTURA!C163)</f>
        <v/>
      </c>
      <c r="I162" s="111" t="str">
        <f>IF(G162="","",ESTRUTURA!E163)</f>
        <v/>
      </c>
      <c r="J162" s="113" t="str">
        <f>IF($G162="","",IF(G162=prazo_subp,1,IFERROR(TRUNC(ESTRUTURA!Y163/ESTRUTURA!AA162,6),0)*100))</f>
        <v/>
      </c>
      <c r="K162" s="112"/>
      <c r="M162" s="110" t="str">
        <f>ESTRUTURA!M163</f>
        <v/>
      </c>
      <c r="N162" s="111" t="str">
        <f>ESTRUTURA!O163</f>
        <v/>
      </c>
      <c r="O162" s="111" t="str">
        <f>ESTRUTURA!Q163</f>
        <v/>
      </c>
      <c r="P162" s="113" t="str">
        <f>IF($M162="","",IF(M162=prazo_sub,1,IFERROR(TRUNC(ESTRUTURA!AE163/ESTRUTURA!AG162,6),0)*100))</f>
        <v/>
      </c>
      <c r="Q162" s="112"/>
    </row>
    <row r="163" spans="1:17" x14ac:dyDescent="0.3">
      <c r="A163" s="110" t="str">
        <f>IF(ESTRUTURA!A164&gt;prazo_se,"",ESTRUTURA!A164)</f>
        <v/>
      </c>
      <c r="B163" s="111" t="str">
        <f>ESTRUTURA!C164</f>
        <v/>
      </c>
      <c r="C163" s="111" t="str">
        <f>ESTRUTURA!E164</f>
        <v/>
      </c>
      <c r="D163" s="113" t="str">
        <f>IF($A163="","",IF(A163=prazo_se,1,IFERROR(TRUNC(ESTRUTURA!R164/ESTRUTURA!T163,6),0)*100))</f>
        <v/>
      </c>
      <c r="E163" s="112"/>
      <c r="G163" s="110" t="str">
        <f>IF(ESTRUTURA!A164&gt;prazo_subp,"",ESTRUTURA!A164)</f>
        <v/>
      </c>
      <c r="H163" s="111" t="str">
        <f>IF(G163="","",ESTRUTURA!C164)</f>
        <v/>
      </c>
      <c r="I163" s="111" t="str">
        <f>IF(G163="","",ESTRUTURA!E164)</f>
        <v/>
      </c>
      <c r="J163" s="113" t="str">
        <f>IF($G163="","",IF(G163=prazo_subp,1,IFERROR(TRUNC(ESTRUTURA!Y164/ESTRUTURA!AA163,6),0)*100))</f>
        <v/>
      </c>
      <c r="K163" s="112"/>
      <c r="M163" s="110" t="str">
        <f>ESTRUTURA!M164</f>
        <v/>
      </c>
      <c r="N163" s="111" t="str">
        <f>ESTRUTURA!O164</f>
        <v/>
      </c>
      <c r="O163" s="111" t="str">
        <f>ESTRUTURA!Q164</f>
        <v/>
      </c>
      <c r="P163" s="113" t="str">
        <f>IF($M163="","",IF(M163=prazo_sub,1,IFERROR(TRUNC(ESTRUTURA!AE164/ESTRUTURA!AG163,6),0)*100))</f>
        <v/>
      </c>
      <c r="Q163" s="112"/>
    </row>
    <row r="164" spans="1:17" x14ac:dyDescent="0.3">
      <c r="A164" s="110" t="str">
        <f>IF(ESTRUTURA!A165&gt;prazo_se,"",ESTRUTURA!A165)</f>
        <v/>
      </c>
      <c r="B164" s="111" t="str">
        <f>ESTRUTURA!C165</f>
        <v/>
      </c>
      <c r="C164" s="111" t="str">
        <f>ESTRUTURA!E165</f>
        <v/>
      </c>
      <c r="D164" s="113" t="str">
        <f>IF($A164="","",IF(A164=prazo_se,1,IFERROR(TRUNC(ESTRUTURA!R165/ESTRUTURA!T164,6),0)*100))</f>
        <v/>
      </c>
      <c r="E164" s="112"/>
      <c r="G164" s="110" t="str">
        <f>IF(ESTRUTURA!A165&gt;prazo_subp,"",ESTRUTURA!A165)</f>
        <v/>
      </c>
      <c r="H164" s="111" t="str">
        <f>IF(G164="","",ESTRUTURA!C165)</f>
        <v/>
      </c>
      <c r="I164" s="111" t="str">
        <f>IF(G164="","",ESTRUTURA!E165)</f>
        <v/>
      </c>
      <c r="J164" s="113" t="str">
        <f>IF($G164="","",IF(G164=prazo_subp,1,IFERROR(TRUNC(ESTRUTURA!Y165/ESTRUTURA!AA164,6),0)*100))</f>
        <v/>
      </c>
      <c r="K164" s="112"/>
      <c r="M164" s="110" t="str">
        <f>ESTRUTURA!M165</f>
        <v/>
      </c>
      <c r="N164" s="111" t="str">
        <f>ESTRUTURA!O165</f>
        <v/>
      </c>
      <c r="O164" s="111" t="str">
        <f>ESTRUTURA!Q165</f>
        <v/>
      </c>
      <c r="P164" s="113" t="str">
        <f>IF($M164="","",IF(M164=prazo_sub,1,IFERROR(TRUNC(ESTRUTURA!AE165/ESTRUTURA!AG164,6),0)*100))</f>
        <v/>
      </c>
      <c r="Q164" s="112"/>
    </row>
    <row r="165" spans="1:17" x14ac:dyDescent="0.3">
      <c r="A165" s="110" t="str">
        <f>IF(ESTRUTURA!A166&gt;prazo_se,"",ESTRUTURA!A166)</f>
        <v/>
      </c>
      <c r="B165" s="111" t="str">
        <f>ESTRUTURA!C166</f>
        <v/>
      </c>
      <c r="C165" s="111" t="str">
        <f>ESTRUTURA!E166</f>
        <v/>
      </c>
      <c r="D165" s="113" t="str">
        <f>IF($A165="","",IF(A165=prazo_se,1,IFERROR(TRUNC(ESTRUTURA!R166/ESTRUTURA!T165,6),0)*100))</f>
        <v/>
      </c>
      <c r="E165" s="112"/>
      <c r="G165" s="110" t="str">
        <f>IF(ESTRUTURA!A166&gt;prazo_subp,"",ESTRUTURA!A166)</f>
        <v/>
      </c>
      <c r="H165" s="111" t="str">
        <f>IF(G165="","",ESTRUTURA!C166)</f>
        <v/>
      </c>
      <c r="I165" s="111" t="str">
        <f>IF(G165="","",ESTRUTURA!E166)</f>
        <v/>
      </c>
      <c r="J165" s="113" t="str">
        <f>IF($G165="","",IF(G165=prazo_subp,1,IFERROR(TRUNC(ESTRUTURA!Y166/ESTRUTURA!AA165,6),0)*100))</f>
        <v/>
      </c>
      <c r="K165" s="112"/>
      <c r="M165" s="110" t="str">
        <f>ESTRUTURA!M166</f>
        <v/>
      </c>
      <c r="N165" s="111" t="str">
        <f>ESTRUTURA!O166</f>
        <v/>
      </c>
      <c r="O165" s="111" t="str">
        <f>ESTRUTURA!Q166</f>
        <v/>
      </c>
      <c r="P165" s="113" t="str">
        <f>IF($M165="","",IF(M165=prazo_sub,1,IFERROR(TRUNC(ESTRUTURA!AE166/ESTRUTURA!AG165,6),0)*100))</f>
        <v/>
      </c>
      <c r="Q165" s="112"/>
    </row>
    <row r="166" spans="1:17" x14ac:dyDescent="0.3">
      <c r="A166" s="110" t="str">
        <f>IF(ESTRUTURA!A167&gt;prazo_se,"",ESTRUTURA!A167)</f>
        <v/>
      </c>
      <c r="B166" s="111" t="str">
        <f>ESTRUTURA!C167</f>
        <v/>
      </c>
      <c r="C166" s="111" t="str">
        <f>ESTRUTURA!E167</f>
        <v/>
      </c>
      <c r="D166" s="113" t="str">
        <f>IF($A166="","",IF(A166=prazo_se,1,IFERROR(TRUNC(ESTRUTURA!R167/ESTRUTURA!T166,6),0)*100))</f>
        <v/>
      </c>
      <c r="E166" s="112"/>
      <c r="G166" s="110" t="str">
        <f>IF(ESTRUTURA!A167&gt;prazo_subp,"",ESTRUTURA!A167)</f>
        <v/>
      </c>
      <c r="H166" s="111" t="str">
        <f>IF(G166="","",ESTRUTURA!C167)</f>
        <v/>
      </c>
      <c r="I166" s="111" t="str">
        <f>IF(G166="","",ESTRUTURA!E167)</f>
        <v/>
      </c>
      <c r="J166" s="113" t="str">
        <f>IF($G166="","",IF(G166=prazo_subp,1,IFERROR(TRUNC(ESTRUTURA!Y167/ESTRUTURA!AA166,6),0)*100))</f>
        <v/>
      </c>
      <c r="K166" s="112"/>
      <c r="M166" s="110" t="str">
        <f>ESTRUTURA!M167</f>
        <v/>
      </c>
      <c r="N166" s="111" t="str">
        <f>ESTRUTURA!O167</f>
        <v/>
      </c>
      <c r="O166" s="111" t="str">
        <f>ESTRUTURA!Q167</f>
        <v/>
      </c>
      <c r="P166" s="113" t="str">
        <f>IF($M166="","",IF(M166=prazo_sub,1,IFERROR(TRUNC(ESTRUTURA!AE167/ESTRUTURA!AG166,6),0)*100))</f>
        <v/>
      </c>
      <c r="Q166" s="112"/>
    </row>
    <row r="167" spans="1:17" x14ac:dyDescent="0.3">
      <c r="A167" s="110" t="str">
        <f>IF(ESTRUTURA!A168&gt;prazo_se,"",ESTRUTURA!A168)</f>
        <v/>
      </c>
      <c r="B167" s="111" t="str">
        <f>ESTRUTURA!C168</f>
        <v/>
      </c>
      <c r="C167" s="111" t="str">
        <f>ESTRUTURA!E168</f>
        <v/>
      </c>
      <c r="D167" s="113" t="str">
        <f>IF($A167="","",IF(A167=prazo_se,1,IFERROR(TRUNC(ESTRUTURA!R168/ESTRUTURA!T167,6),0)*100))</f>
        <v/>
      </c>
      <c r="E167" s="112"/>
      <c r="G167" s="110" t="str">
        <f>IF(ESTRUTURA!A168&gt;prazo_subp,"",ESTRUTURA!A168)</f>
        <v/>
      </c>
      <c r="H167" s="111" t="str">
        <f>IF(G167="","",ESTRUTURA!C168)</f>
        <v/>
      </c>
      <c r="I167" s="111" t="str">
        <f>IF(G167="","",ESTRUTURA!E168)</f>
        <v/>
      </c>
      <c r="J167" s="113" t="str">
        <f>IF($G167="","",IF(G167=prazo_subp,1,IFERROR(TRUNC(ESTRUTURA!Y168/ESTRUTURA!AA167,6),0)*100))</f>
        <v/>
      </c>
      <c r="K167" s="112"/>
      <c r="M167" s="110" t="str">
        <f>ESTRUTURA!M168</f>
        <v/>
      </c>
      <c r="N167" s="111" t="str">
        <f>ESTRUTURA!O168</f>
        <v/>
      </c>
      <c r="O167" s="111" t="str">
        <f>ESTRUTURA!Q168</f>
        <v/>
      </c>
      <c r="P167" s="113" t="str">
        <f>IF($M167="","",IF(M167=prazo_sub,1,IFERROR(TRUNC(ESTRUTURA!AE168/ESTRUTURA!AG167,6),0)*100))</f>
        <v/>
      </c>
      <c r="Q167" s="112"/>
    </row>
    <row r="168" spans="1:17" x14ac:dyDescent="0.3">
      <c r="A168" s="110" t="str">
        <f>IF(ESTRUTURA!A169&gt;prazo_se,"",ESTRUTURA!A169)</f>
        <v/>
      </c>
      <c r="B168" s="111" t="str">
        <f>ESTRUTURA!C169</f>
        <v/>
      </c>
      <c r="C168" s="111" t="str">
        <f>ESTRUTURA!E169</f>
        <v/>
      </c>
      <c r="D168" s="113" t="str">
        <f>IF($A168="","",IF(A168=prazo_se,1,IFERROR(TRUNC(ESTRUTURA!R169/ESTRUTURA!T168,6),0)*100))</f>
        <v/>
      </c>
      <c r="E168" s="112"/>
      <c r="G168" s="110" t="str">
        <f>IF(ESTRUTURA!A169&gt;prazo_subp,"",ESTRUTURA!A169)</f>
        <v/>
      </c>
      <c r="H168" s="111" t="str">
        <f>IF(G168="","",ESTRUTURA!C169)</f>
        <v/>
      </c>
      <c r="I168" s="111" t="str">
        <f>IF(G168="","",ESTRUTURA!E169)</f>
        <v/>
      </c>
      <c r="J168" s="113" t="str">
        <f>IF($G168="","",IF(G168=prazo_subp,1,IFERROR(TRUNC(ESTRUTURA!Y169/ESTRUTURA!AA168,6),0)*100))</f>
        <v/>
      </c>
      <c r="K168" s="112"/>
      <c r="M168" s="110" t="str">
        <f>ESTRUTURA!M169</f>
        <v/>
      </c>
      <c r="N168" s="111" t="str">
        <f>ESTRUTURA!O169</f>
        <v/>
      </c>
      <c r="O168" s="111" t="str">
        <f>ESTRUTURA!Q169</f>
        <v/>
      </c>
      <c r="P168" s="113" t="str">
        <f>IF($M168="","",IF(M168=prazo_sub,1,IFERROR(TRUNC(ESTRUTURA!AE169/ESTRUTURA!AG168,6),0)*100))</f>
        <v/>
      </c>
      <c r="Q168" s="112"/>
    </row>
    <row r="169" spans="1:17" x14ac:dyDescent="0.3">
      <c r="A169" s="110" t="str">
        <f>IF(ESTRUTURA!A170&gt;prazo_se,"",ESTRUTURA!A170)</f>
        <v/>
      </c>
      <c r="B169" s="111" t="str">
        <f>ESTRUTURA!C170</f>
        <v/>
      </c>
      <c r="C169" s="111" t="str">
        <f>ESTRUTURA!E170</f>
        <v/>
      </c>
      <c r="D169" s="113" t="str">
        <f>IF($A169="","",IF(A169=prazo_se,1,IFERROR(TRUNC(ESTRUTURA!R170/ESTRUTURA!T169,6),0)*100))</f>
        <v/>
      </c>
      <c r="E169" s="112"/>
      <c r="G169" s="110" t="str">
        <f>IF(ESTRUTURA!A170&gt;prazo_subp,"",ESTRUTURA!A170)</f>
        <v/>
      </c>
      <c r="H169" s="111" t="str">
        <f>IF(G169="","",ESTRUTURA!C170)</f>
        <v/>
      </c>
      <c r="I169" s="111" t="str">
        <f>IF(G169="","",ESTRUTURA!E170)</f>
        <v/>
      </c>
      <c r="J169" s="113" t="str">
        <f>IF($G169="","",IF(G169=prazo_subp,1,IFERROR(TRUNC(ESTRUTURA!Y170/ESTRUTURA!AA169,6),0)*100))</f>
        <v/>
      </c>
      <c r="K169" s="112"/>
      <c r="M169" s="110" t="str">
        <f>ESTRUTURA!M170</f>
        <v/>
      </c>
      <c r="N169" s="111" t="str">
        <f>ESTRUTURA!O170</f>
        <v/>
      </c>
      <c r="O169" s="111" t="str">
        <f>ESTRUTURA!Q170</f>
        <v/>
      </c>
      <c r="P169" s="113" t="str">
        <f>IF($M169="","",IF(M169=prazo_sub,1,IFERROR(TRUNC(ESTRUTURA!AE170/ESTRUTURA!AG169,6),0)*100))</f>
        <v/>
      </c>
      <c r="Q169" s="112"/>
    </row>
    <row r="170" spans="1:17" x14ac:dyDescent="0.3">
      <c r="A170" s="110" t="str">
        <f>IF(ESTRUTURA!A171&gt;prazo_se,"",ESTRUTURA!A171)</f>
        <v/>
      </c>
      <c r="B170" s="111" t="str">
        <f>ESTRUTURA!C171</f>
        <v/>
      </c>
      <c r="C170" s="111" t="str">
        <f>ESTRUTURA!E171</f>
        <v/>
      </c>
      <c r="D170" s="113" t="str">
        <f>IF($A170="","",IF(A170=prazo_se,1,IFERROR(TRUNC(ESTRUTURA!R171/ESTRUTURA!T170,6),0)*100))</f>
        <v/>
      </c>
      <c r="E170" s="112"/>
      <c r="G170" s="110" t="str">
        <f>IF(ESTRUTURA!A171&gt;prazo_subp,"",ESTRUTURA!A171)</f>
        <v/>
      </c>
      <c r="H170" s="111" t="str">
        <f>IF(G170="","",ESTRUTURA!C171)</f>
        <v/>
      </c>
      <c r="I170" s="111" t="str">
        <f>IF(G170="","",ESTRUTURA!E171)</f>
        <v/>
      </c>
      <c r="J170" s="113" t="str">
        <f>IF($G170="","",IF(G170=prazo_subp,1,IFERROR(TRUNC(ESTRUTURA!Y171/ESTRUTURA!AA170,6),0)*100))</f>
        <v/>
      </c>
      <c r="K170" s="112"/>
      <c r="M170" s="110" t="str">
        <f>ESTRUTURA!M171</f>
        <v/>
      </c>
      <c r="N170" s="111" t="str">
        <f>ESTRUTURA!O171</f>
        <v/>
      </c>
      <c r="O170" s="111" t="str">
        <f>ESTRUTURA!Q171</f>
        <v/>
      </c>
      <c r="P170" s="113" t="str">
        <f>IF($M170="","",IF(M170=prazo_sub,1,IFERROR(TRUNC(ESTRUTURA!AE171/ESTRUTURA!AG170,6),0)*100))</f>
        <v/>
      </c>
      <c r="Q170" s="112"/>
    </row>
    <row r="171" spans="1:17" x14ac:dyDescent="0.3">
      <c r="A171" s="110" t="str">
        <f>IF(ESTRUTURA!A172&gt;prazo_se,"",ESTRUTURA!A172)</f>
        <v/>
      </c>
      <c r="B171" s="111" t="str">
        <f>ESTRUTURA!C172</f>
        <v/>
      </c>
      <c r="C171" s="111" t="str">
        <f>ESTRUTURA!E172</f>
        <v/>
      </c>
      <c r="D171" s="113" t="str">
        <f>IF($A171="","",IF(A171=prazo_se,1,IFERROR(TRUNC(ESTRUTURA!R172/ESTRUTURA!T171,6),0)*100))</f>
        <v/>
      </c>
      <c r="E171" s="112"/>
      <c r="G171" s="110" t="str">
        <f>IF(ESTRUTURA!A172&gt;prazo_subp,"",ESTRUTURA!A172)</f>
        <v/>
      </c>
      <c r="H171" s="111" t="str">
        <f>IF(G171="","",ESTRUTURA!C172)</f>
        <v/>
      </c>
      <c r="I171" s="111" t="str">
        <f>IF(G171="","",ESTRUTURA!E172)</f>
        <v/>
      </c>
      <c r="J171" s="113" t="str">
        <f>IF($G171="","",IF(G171=prazo_subp,1,IFERROR(TRUNC(ESTRUTURA!Y172/ESTRUTURA!AA171,6),0)*100))</f>
        <v/>
      </c>
      <c r="K171" s="112"/>
      <c r="M171" s="110" t="str">
        <f>ESTRUTURA!M172</f>
        <v/>
      </c>
      <c r="N171" s="111" t="str">
        <f>ESTRUTURA!O172</f>
        <v/>
      </c>
      <c r="O171" s="111" t="str">
        <f>ESTRUTURA!Q172</f>
        <v/>
      </c>
      <c r="P171" s="113" t="str">
        <f>IF($M171="","",IF(M171=prazo_sub,1,IFERROR(TRUNC(ESTRUTURA!AE172/ESTRUTURA!AG171,6),0)*100))</f>
        <v/>
      </c>
      <c r="Q171" s="112"/>
    </row>
    <row r="172" spans="1:17" x14ac:dyDescent="0.3">
      <c r="A172" s="110" t="str">
        <f>IF(ESTRUTURA!A173&gt;prazo_se,"",ESTRUTURA!A173)</f>
        <v/>
      </c>
      <c r="B172" s="111" t="str">
        <f>ESTRUTURA!C173</f>
        <v/>
      </c>
      <c r="C172" s="111" t="str">
        <f>ESTRUTURA!E173</f>
        <v/>
      </c>
      <c r="D172" s="113" t="str">
        <f>IF($A172="","",IF(A172=prazo_se,1,IFERROR(TRUNC(ESTRUTURA!R173/ESTRUTURA!T172,6),0)*100))</f>
        <v/>
      </c>
      <c r="E172" s="112"/>
      <c r="G172" s="110" t="str">
        <f>IF(ESTRUTURA!A173&gt;prazo_subp,"",ESTRUTURA!A173)</f>
        <v/>
      </c>
      <c r="H172" s="111" t="str">
        <f>IF(G172="","",ESTRUTURA!C173)</f>
        <v/>
      </c>
      <c r="I172" s="111" t="str">
        <f>IF(G172="","",ESTRUTURA!E173)</f>
        <v/>
      </c>
      <c r="J172" s="113" t="str">
        <f>IF($G172="","",IF(G172=prazo_subp,1,IFERROR(TRUNC(ESTRUTURA!Y173/ESTRUTURA!AA172,6),0)*100))</f>
        <v/>
      </c>
      <c r="K172" s="112"/>
      <c r="M172" s="110" t="str">
        <f>ESTRUTURA!M173</f>
        <v/>
      </c>
      <c r="N172" s="111" t="str">
        <f>ESTRUTURA!O173</f>
        <v/>
      </c>
      <c r="O172" s="111" t="str">
        <f>ESTRUTURA!Q173</f>
        <v/>
      </c>
      <c r="P172" s="113" t="str">
        <f>IF($M172="","",IF(M172=prazo_sub,1,IFERROR(TRUNC(ESTRUTURA!AE173/ESTRUTURA!AG172,6),0)*100))</f>
        <v/>
      </c>
      <c r="Q172" s="112"/>
    </row>
    <row r="173" spans="1:17" x14ac:dyDescent="0.3">
      <c r="A173" s="110" t="str">
        <f>IF(ESTRUTURA!A174&gt;prazo_se,"",ESTRUTURA!A174)</f>
        <v/>
      </c>
      <c r="B173" s="111" t="str">
        <f>ESTRUTURA!C174</f>
        <v/>
      </c>
      <c r="C173" s="111" t="str">
        <f>ESTRUTURA!E174</f>
        <v/>
      </c>
      <c r="D173" s="113" t="str">
        <f>IF($A173="","",IF(A173=prazo_se,1,IFERROR(TRUNC(ESTRUTURA!R174/ESTRUTURA!T173,6),0)*100))</f>
        <v/>
      </c>
      <c r="E173" s="112"/>
      <c r="G173" s="110" t="str">
        <f>IF(ESTRUTURA!A174&gt;prazo_subp,"",ESTRUTURA!A174)</f>
        <v/>
      </c>
      <c r="H173" s="111" t="str">
        <f>IF(G173="","",ESTRUTURA!C174)</f>
        <v/>
      </c>
      <c r="I173" s="111" t="str">
        <f>IF(G173="","",ESTRUTURA!E174)</f>
        <v/>
      </c>
      <c r="J173" s="113" t="str">
        <f>IF($G173="","",IF(G173=prazo_subp,1,IFERROR(TRUNC(ESTRUTURA!Y174/ESTRUTURA!AA173,6),0)*100))</f>
        <v/>
      </c>
      <c r="K173" s="112"/>
      <c r="M173" s="110" t="str">
        <f>ESTRUTURA!M174</f>
        <v/>
      </c>
      <c r="N173" s="111" t="str">
        <f>ESTRUTURA!O174</f>
        <v/>
      </c>
      <c r="O173" s="111" t="str">
        <f>ESTRUTURA!Q174</f>
        <v/>
      </c>
      <c r="P173" s="113" t="str">
        <f>IF($M173="","",IF(M173=prazo_sub,1,IFERROR(TRUNC(ESTRUTURA!AE174/ESTRUTURA!AG173,6),0)*100))</f>
        <v/>
      </c>
      <c r="Q173" s="112"/>
    </row>
    <row r="174" spans="1:17" x14ac:dyDescent="0.3">
      <c r="A174" s="110" t="str">
        <f>IF(ESTRUTURA!A175&gt;prazo_se,"",ESTRUTURA!A175)</f>
        <v/>
      </c>
      <c r="B174" s="111" t="str">
        <f>ESTRUTURA!C175</f>
        <v/>
      </c>
      <c r="C174" s="111" t="str">
        <f>ESTRUTURA!E175</f>
        <v/>
      </c>
      <c r="D174" s="113" t="str">
        <f>IF($A174="","",IF(A174=prazo_se,1,IFERROR(TRUNC(ESTRUTURA!R175/ESTRUTURA!T174,6),0)*100))</f>
        <v/>
      </c>
      <c r="E174" s="112"/>
      <c r="G174" s="110" t="str">
        <f>IF(ESTRUTURA!A175&gt;prazo_subp,"",ESTRUTURA!A175)</f>
        <v/>
      </c>
      <c r="H174" s="111" t="str">
        <f>IF(G174="","",ESTRUTURA!C175)</f>
        <v/>
      </c>
      <c r="I174" s="111" t="str">
        <f>IF(G174="","",ESTRUTURA!E175)</f>
        <v/>
      </c>
      <c r="J174" s="113" t="str">
        <f>IF($G174="","",IF(G174=prazo_subp,1,IFERROR(TRUNC(ESTRUTURA!Y175/ESTRUTURA!AA174,6),0)*100))</f>
        <v/>
      </c>
      <c r="K174" s="112"/>
      <c r="M174" s="110" t="str">
        <f>ESTRUTURA!M175</f>
        <v/>
      </c>
      <c r="N174" s="111" t="str">
        <f>ESTRUTURA!O175</f>
        <v/>
      </c>
      <c r="O174" s="111" t="str">
        <f>ESTRUTURA!Q175</f>
        <v/>
      </c>
      <c r="P174" s="113" t="str">
        <f>IF($M174="","",IF(M174=prazo_sub,1,IFERROR(TRUNC(ESTRUTURA!AE175/ESTRUTURA!AG174,6),0)*100))</f>
        <v/>
      </c>
      <c r="Q174" s="112"/>
    </row>
    <row r="175" spans="1:17" x14ac:dyDescent="0.3">
      <c r="A175" s="110" t="str">
        <f>IF(ESTRUTURA!A176&gt;prazo_se,"",ESTRUTURA!A176)</f>
        <v/>
      </c>
      <c r="B175" s="111" t="str">
        <f>ESTRUTURA!C176</f>
        <v/>
      </c>
      <c r="C175" s="111" t="str">
        <f>ESTRUTURA!E176</f>
        <v/>
      </c>
      <c r="D175" s="113" t="str">
        <f>IF($A175="","",IF(A175=prazo_se,1,IFERROR(TRUNC(ESTRUTURA!R176/ESTRUTURA!T175,6),0)*100))</f>
        <v/>
      </c>
      <c r="E175" s="112"/>
      <c r="G175" s="110" t="str">
        <f>IF(ESTRUTURA!A176&gt;prazo_subp,"",ESTRUTURA!A176)</f>
        <v/>
      </c>
      <c r="H175" s="111" t="str">
        <f>IF(G175="","",ESTRUTURA!C176)</f>
        <v/>
      </c>
      <c r="I175" s="111" t="str">
        <f>IF(G175="","",ESTRUTURA!E176)</f>
        <v/>
      </c>
      <c r="J175" s="113" t="str">
        <f>IF($G175="","",IF(G175=prazo_subp,1,IFERROR(TRUNC(ESTRUTURA!Y176/ESTRUTURA!AA175,6),0)*100))</f>
        <v/>
      </c>
      <c r="K175" s="112"/>
      <c r="M175" s="110" t="str">
        <f>ESTRUTURA!M176</f>
        <v/>
      </c>
      <c r="N175" s="111" t="str">
        <f>ESTRUTURA!O176</f>
        <v/>
      </c>
      <c r="O175" s="111" t="str">
        <f>ESTRUTURA!Q176</f>
        <v/>
      </c>
      <c r="P175" s="113" t="str">
        <f>IF($M175="","",IF(M175=prazo_sub,1,IFERROR(TRUNC(ESTRUTURA!AE176/ESTRUTURA!AG175,6),0)*100))</f>
        <v/>
      </c>
      <c r="Q175" s="112"/>
    </row>
    <row r="176" spans="1:17" x14ac:dyDescent="0.3">
      <c r="A176" s="110" t="str">
        <f>IF(ESTRUTURA!A177&gt;prazo_se,"",ESTRUTURA!A177)</f>
        <v/>
      </c>
      <c r="B176" s="111" t="str">
        <f>ESTRUTURA!C177</f>
        <v/>
      </c>
      <c r="C176" s="111" t="str">
        <f>ESTRUTURA!E177</f>
        <v/>
      </c>
      <c r="D176" s="113" t="str">
        <f>IF($A176="","",IF(A176=prazo_se,1,IFERROR(TRUNC(ESTRUTURA!R177/ESTRUTURA!T176,6),0)*100))</f>
        <v/>
      </c>
      <c r="E176" s="112"/>
      <c r="G176" s="110" t="str">
        <f>IF(ESTRUTURA!A177&gt;prazo_subp,"",ESTRUTURA!A177)</f>
        <v/>
      </c>
      <c r="H176" s="111" t="str">
        <f>IF(G176="","",ESTRUTURA!C177)</f>
        <v/>
      </c>
      <c r="I176" s="111" t="str">
        <f>IF(G176="","",ESTRUTURA!E177)</f>
        <v/>
      </c>
      <c r="J176" s="113" t="str">
        <f>IF($G176="","",IF(G176=prazo_subp,1,IFERROR(TRUNC(ESTRUTURA!Y177/ESTRUTURA!AA176,6),0)*100))</f>
        <v/>
      </c>
      <c r="K176" s="112"/>
      <c r="M176" s="110" t="str">
        <f>ESTRUTURA!M177</f>
        <v/>
      </c>
      <c r="N176" s="111" t="str">
        <f>ESTRUTURA!O177</f>
        <v/>
      </c>
      <c r="O176" s="111" t="str">
        <f>ESTRUTURA!Q177</f>
        <v/>
      </c>
      <c r="P176" s="113" t="str">
        <f>IF($M176="","",IF(M176=prazo_sub,1,IFERROR(TRUNC(ESTRUTURA!AE177/ESTRUTURA!AG176,6),0)*100))</f>
        <v/>
      </c>
      <c r="Q176" s="112"/>
    </row>
    <row r="177" spans="1:17" x14ac:dyDescent="0.3">
      <c r="A177" s="110" t="str">
        <f>IF(ESTRUTURA!A178&gt;prazo_se,"",ESTRUTURA!A178)</f>
        <v/>
      </c>
      <c r="B177" s="111" t="str">
        <f>ESTRUTURA!C178</f>
        <v/>
      </c>
      <c r="C177" s="111" t="str">
        <f>ESTRUTURA!E178</f>
        <v/>
      </c>
      <c r="D177" s="113" t="str">
        <f>IF($A177="","",IF(A177=prazo_se,1,IFERROR(TRUNC(ESTRUTURA!R178/ESTRUTURA!T177,6),0)*100))</f>
        <v/>
      </c>
      <c r="E177" s="112"/>
      <c r="G177" s="110" t="str">
        <f>IF(ESTRUTURA!A178&gt;prazo_subp,"",ESTRUTURA!A178)</f>
        <v/>
      </c>
      <c r="H177" s="111" t="str">
        <f>IF(G177="","",ESTRUTURA!C178)</f>
        <v/>
      </c>
      <c r="I177" s="111" t="str">
        <f>IF(G177="","",ESTRUTURA!E178)</f>
        <v/>
      </c>
      <c r="J177" s="113" t="str">
        <f>IF($G177="","",IF(G177=prazo_subp,1,IFERROR(TRUNC(ESTRUTURA!Y178/ESTRUTURA!AA177,6),0)*100))</f>
        <v/>
      </c>
      <c r="K177" s="112"/>
      <c r="M177" s="110" t="str">
        <f>ESTRUTURA!M178</f>
        <v/>
      </c>
      <c r="N177" s="111" t="str">
        <f>ESTRUTURA!O178</f>
        <v/>
      </c>
      <c r="O177" s="111" t="str">
        <f>ESTRUTURA!Q178</f>
        <v/>
      </c>
      <c r="P177" s="113" t="str">
        <f>IF($M177="","",IF(M177=prazo_sub,1,IFERROR(TRUNC(ESTRUTURA!AE178/ESTRUTURA!AG177,6),0)*100))</f>
        <v/>
      </c>
      <c r="Q177" s="112"/>
    </row>
    <row r="178" spans="1:17" x14ac:dyDescent="0.3">
      <c r="A178" s="110" t="str">
        <f>IF(ESTRUTURA!A179&gt;prazo_se,"",ESTRUTURA!A179)</f>
        <v/>
      </c>
      <c r="B178" s="111" t="str">
        <f>ESTRUTURA!C179</f>
        <v/>
      </c>
      <c r="C178" s="111" t="str">
        <f>ESTRUTURA!E179</f>
        <v/>
      </c>
      <c r="D178" s="113" t="str">
        <f>IF($A178="","",IF(A178=prazo_se,1,IFERROR(TRUNC(ESTRUTURA!R179/ESTRUTURA!T178,6),0)*100))</f>
        <v/>
      </c>
      <c r="E178" s="112"/>
      <c r="G178" s="110" t="str">
        <f>IF(ESTRUTURA!A179&gt;prazo_subp,"",ESTRUTURA!A179)</f>
        <v/>
      </c>
      <c r="H178" s="111" t="str">
        <f>IF(G178="","",ESTRUTURA!C179)</f>
        <v/>
      </c>
      <c r="I178" s="111" t="str">
        <f>IF(G178="","",ESTRUTURA!E179)</f>
        <v/>
      </c>
      <c r="J178" s="113" t="str">
        <f>IF($G178="","",IF(G178=prazo_subp,1,IFERROR(TRUNC(ESTRUTURA!Y179/ESTRUTURA!AA178,6),0)*100))</f>
        <v/>
      </c>
      <c r="K178" s="112"/>
      <c r="M178" s="110" t="str">
        <f>ESTRUTURA!M179</f>
        <v/>
      </c>
      <c r="N178" s="111" t="str">
        <f>ESTRUTURA!O179</f>
        <v/>
      </c>
      <c r="O178" s="111" t="str">
        <f>ESTRUTURA!Q179</f>
        <v/>
      </c>
      <c r="P178" s="113" t="str">
        <f>IF($M178="","",IF(M178=prazo_sub,1,IFERROR(TRUNC(ESTRUTURA!AE179/ESTRUTURA!AG178,6),0)*100))</f>
        <v/>
      </c>
      <c r="Q178" s="112"/>
    </row>
    <row r="179" spans="1:17" x14ac:dyDescent="0.3">
      <c r="A179" s="110" t="str">
        <f>IF(ESTRUTURA!A180&gt;prazo_se,"",ESTRUTURA!A180)</f>
        <v/>
      </c>
      <c r="B179" s="111" t="str">
        <f>ESTRUTURA!C180</f>
        <v/>
      </c>
      <c r="C179" s="111" t="str">
        <f>ESTRUTURA!E180</f>
        <v/>
      </c>
      <c r="D179" s="113" t="str">
        <f>IF($A179="","",IF(A179=prazo_se,1,IFERROR(TRUNC(ESTRUTURA!R180/ESTRUTURA!T179,6),0)*100))</f>
        <v/>
      </c>
      <c r="E179" s="112"/>
      <c r="G179" s="110" t="str">
        <f>IF(ESTRUTURA!A180&gt;prazo_subp,"",ESTRUTURA!A180)</f>
        <v/>
      </c>
      <c r="H179" s="111" t="str">
        <f>IF(G179="","",ESTRUTURA!C180)</f>
        <v/>
      </c>
      <c r="I179" s="111" t="str">
        <f>IF(G179="","",ESTRUTURA!E180)</f>
        <v/>
      </c>
      <c r="J179" s="113" t="str">
        <f>IF($G179="","",IF(G179=prazo_subp,1,IFERROR(TRUNC(ESTRUTURA!Y180/ESTRUTURA!AA179,6),0)*100))</f>
        <v/>
      </c>
      <c r="K179" s="112"/>
      <c r="M179" s="110" t="str">
        <f>ESTRUTURA!M180</f>
        <v/>
      </c>
      <c r="N179" s="111" t="str">
        <f>ESTRUTURA!O180</f>
        <v/>
      </c>
      <c r="O179" s="111" t="str">
        <f>ESTRUTURA!Q180</f>
        <v/>
      </c>
      <c r="P179" s="113" t="str">
        <f>IF($M179="","",IF(M179=prazo_sub,1,IFERROR(TRUNC(ESTRUTURA!AE180/ESTRUTURA!AG179,6),0)*100))</f>
        <v/>
      </c>
      <c r="Q179" s="112"/>
    </row>
    <row r="180" spans="1:17" x14ac:dyDescent="0.3">
      <c r="A180" s="110" t="str">
        <f>IF(ESTRUTURA!A181&gt;prazo_se,"",ESTRUTURA!A181)</f>
        <v/>
      </c>
      <c r="B180" s="111" t="str">
        <f>ESTRUTURA!C181</f>
        <v/>
      </c>
      <c r="C180" s="111" t="str">
        <f>ESTRUTURA!E181</f>
        <v/>
      </c>
      <c r="D180" s="113" t="str">
        <f>IF($A180="","",IF(A180=prazo_se,1,IFERROR(TRUNC(ESTRUTURA!R181/ESTRUTURA!T180,6),0)*100))</f>
        <v/>
      </c>
      <c r="E180" s="112"/>
      <c r="G180" s="110" t="str">
        <f>IF(ESTRUTURA!A181&gt;prazo_subp,"",ESTRUTURA!A181)</f>
        <v/>
      </c>
      <c r="H180" s="111" t="str">
        <f>IF(G180="","",ESTRUTURA!C181)</f>
        <v/>
      </c>
      <c r="I180" s="111" t="str">
        <f>IF(G180="","",ESTRUTURA!E181)</f>
        <v/>
      </c>
      <c r="J180" s="113" t="str">
        <f>IF($G180="","",IF(G180=prazo_subp,1,IFERROR(TRUNC(ESTRUTURA!Y181/ESTRUTURA!AA180,6),0)*100))</f>
        <v/>
      </c>
      <c r="K180" s="112"/>
      <c r="M180" s="110" t="str">
        <f>ESTRUTURA!M181</f>
        <v/>
      </c>
      <c r="N180" s="111" t="str">
        <f>ESTRUTURA!O181</f>
        <v/>
      </c>
      <c r="O180" s="111" t="str">
        <f>ESTRUTURA!Q181</f>
        <v/>
      </c>
      <c r="P180" s="113" t="str">
        <f>IF($M180="","",IF(M180=prazo_sub,1,IFERROR(TRUNC(ESTRUTURA!AE181/ESTRUTURA!AG180,6),0)*100))</f>
        <v/>
      </c>
      <c r="Q180" s="112"/>
    </row>
    <row r="181" spans="1:17" x14ac:dyDescent="0.3">
      <c r="A181" s="110" t="str">
        <f>IF(ESTRUTURA!A182&gt;prazo_se,"",ESTRUTURA!A182)</f>
        <v/>
      </c>
      <c r="B181" s="111" t="str">
        <f>ESTRUTURA!C182</f>
        <v/>
      </c>
      <c r="C181" s="111" t="str">
        <f>ESTRUTURA!E182</f>
        <v/>
      </c>
      <c r="D181" s="113" t="str">
        <f>IF($A181="","",IF(A181=prazo_se,1,IFERROR(TRUNC(ESTRUTURA!R182/ESTRUTURA!T181,6),0)*100))</f>
        <v/>
      </c>
      <c r="E181" s="112"/>
      <c r="G181" s="110" t="str">
        <f>IF(ESTRUTURA!A182&gt;prazo_subp,"",ESTRUTURA!A182)</f>
        <v/>
      </c>
      <c r="H181" s="111" t="str">
        <f>IF(G181="","",ESTRUTURA!C182)</f>
        <v/>
      </c>
      <c r="I181" s="111" t="str">
        <f>IF(G181="","",ESTRUTURA!E182)</f>
        <v/>
      </c>
      <c r="J181" s="113" t="str">
        <f>IF($G181="","",IF(G181=prazo_subp,1,IFERROR(TRUNC(ESTRUTURA!Y182/ESTRUTURA!AA181,6),0)*100))</f>
        <v/>
      </c>
      <c r="K181" s="112"/>
      <c r="M181" s="110" t="str">
        <f>ESTRUTURA!M182</f>
        <v/>
      </c>
      <c r="N181" s="111" t="str">
        <f>ESTRUTURA!O182</f>
        <v/>
      </c>
      <c r="O181" s="111" t="str">
        <f>ESTRUTURA!Q182</f>
        <v/>
      </c>
      <c r="P181" s="113" t="str">
        <f>IF($M181="","",IF(M181=prazo_sub,1,IFERROR(TRUNC(ESTRUTURA!AE182/ESTRUTURA!AG181,6),0)*100))</f>
        <v/>
      </c>
      <c r="Q181" s="112"/>
    </row>
    <row r="182" spans="1:17" x14ac:dyDescent="0.3">
      <c r="A182" s="110" t="str">
        <f>IF(ESTRUTURA!A183&gt;prazo_se,"",ESTRUTURA!A183)</f>
        <v/>
      </c>
      <c r="B182" s="111" t="str">
        <f>ESTRUTURA!C183</f>
        <v/>
      </c>
      <c r="C182" s="111" t="str">
        <f>ESTRUTURA!E183</f>
        <v/>
      </c>
      <c r="D182" s="113" t="str">
        <f>IF($A182="","",IF(A182=prazo_se,1,IFERROR(TRUNC(ESTRUTURA!R183/ESTRUTURA!T182,6),0)*100))</f>
        <v/>
      </c>
      <c r="E182" s="112"/>
      <c r="G182" s="110" t="str">
        <f>IF(ESTRUTURA!A183&gt;prazo_subp,"",ESTRUTURA!A183)</f>
        <v/>
      </c>
      <c r="H182" s="111" t="str">
        <f>IF(G182="","",ESTRUTURA!C183)</f>
        <v/>
      </c>
      <c r="I182" s="111" t="str">
        <f>IF(G182="","",ESTRUTURA!E183)</f>
        <v/>
      </c>
      <c r="J182" s="113" t="str">
        <f>IF($G182="","",IF(G182=prazo_subp,1,IFERROR(TRUNC(ESTRUTURA!Y183/ESTRUTURA!AA182,6),0)*100))</f>
        <v/>
      </c>
      <c r="K182" s="112"/>
      <c r="M182" s="110" t="str">
        <f>ESTRUTURA!M183</f>
        <v/>
      </c>
      <c r="N182" s="111" t="str">
        <f>ESTRUTURA!O183</f>
        <v/>
      </c>
      <c r="O182" s="111" t="str">
        <f>ESTRUTURA!Q183</f>
        <v/>
      </c>
      <c r="P182" s="113" t="str">
        <f>IF($M182="","",IF(M182=prazo_sub,1,IFERROR(TRUNC(ESTRUTURA!AE183/ESTRUTURA!AG182,6),0)*100))</f>
        <v/>
      </c>
      <c r="Q182" s="112"/>
    </row>
    <row r="183" spans="1:17" x14ac:dyDescent="0.3">
      <c r="A183" s="110" t="str">
        <f>IF(ESTRUTURA!A184&gt;prazo_se,"",ESTRUTURA!A184)</f>
        <v/>
      </c>
      <c r="B183" s="111" t="str">
        <f>ESTRUTURA!C184</f>
        <v/>
      </c>
      <c r="C183" s="111" t="str">
        <f>ESTRUTURA!E184</f>
        <v/>
      </c>
      <c r="D183" s="113" t="str">
        <f>IF($A183="","",IF(A183=prazo_se,1,IFERROR(TRUNC(ESTRUTURA!R184/ESTRUTURA!T183,6),0)*100))</f>
        <v/>
      </c>
      <c r="E183" s="112"/>
      <c r="G183" s="110" t="str">
        <f>IF(ESTRUTURA!A184&gt;prazo_subp,"",ESTRUTURA!A184)</f>
        <v/>
      </c>
      <c r="H183" s="111" t="str">
        <f>IF(G183="","",ESTRUTURA!C184)</f>
        <v/>
      </c>
      <c r="I183" s="111" t="str">
        <f>IF(G183="","",ESTRUTURA!E184)</f>
        <v/>
      </c>
      <c r="J183" s="113" t="str">
        <f>IF($G183="","",IF(G183=prazo_subp,1,IFERROR(TRUNC(ESTRUTURA!Y184/ESTRUTURA!AA183,6),0)*100))</f>
        <v/>
      </c>
      <c r="K183" s="112"/>
      <c r="M183" s="110" t="str">
        <f>ESTRUTURA!M184</f>
        <v/>
      </c>
      <c r="N183" s="111" t="str">
        <f>ESTRUTURA!O184</f>
        <v/>
      </c>
      <c r="O183" s="111" t="str">
        <f>ESTRUTURA!Q184</f>
        <v/>
      </c>
      <c r="P183" s="113" t="str">
        <f>IF($M183="","",IF(M183=prazo_sub,1,IFERROR(TRUNC(ESTRUTURA!AE184/ESTRUTURA!AG183,6),0)*100))</f>
        <v/>
      </c>
      <c r="Q183" s="112"/>
    </row>
    <row r="184" spans="1:17" x14ac:dyDescent="0.3">
      <c r="A184" s="110" t="str">
        <f>IF(ESTRUTURA!A185&gt;prazo_se,"",ESTRUTURA!A185)</f>
        <v/>
      </c>
      <c r="B184" s="111" t="str">
        <f>ESTRUTURA!C185</f>
        <v/>
      </c>
      <c r="C184" s="111" t="str">
        <f>ESTRUTURA!E185</f>
        <v/>
      </c>
      <c r="D184" s="113" t="str">
        <f>IF($A184="","",IF(A184=prazo_se,1,IFERROR(TRUNC(ESTRUTURA!R185/ESTRUTURA!T184,6),0)*100))</f>
        <v/>
      </c>
      <c r="E184" s="112"/>
      <c r="G184" s="110" t="str">
        <f>IF(ESTRUTURA!A185&gt;prazo_subp,"",ESTRUTURA!A185)</f>
        <v/>
      </c>
      <c r="H184" s="111" t="str">
        <f>IF(G184="","",ESTRUTURA!C185)</f>
        <v/>
      </c>
      <c r="I184" s="111" t="str">
        <f>IF(G184="","",ESTRUTURA!E185)</f>
        <v/>
      </c>
      <c r="J184" s="113" t="str">
        <f>IF($G184="","",IF(G184=prazo_subp,1,IFERROR(TRUNC(ESTRUTURA!Y185/ESTRUTURA!AA184,6),0)*100))</f>
        <v/>
      </c>
      <c r="K184" s="112"/>
      <c r="M184" s="110" t="str">
        <f>ESTRUTURA!M185</f>
        <v/>
      </c>
      <c r="N184" s="111" t="str">
        <f>ESTRUTURA!O185</f>
        <v/>
      </c>
      <c r="O184" s="111" t="str">
        <f>ESTRUTURA!Q185</f>
        <v/>
      </c>
      <c r="P184" s="113" t="str">
        <f>IF($M184="","",IF(M184=prazo_sub,1,IFERROR(TRUNC(ESTRUTURA!AE185/ESTRUTURA!AG184,6),0)*100))</f>
        <v/>
      </c>
      <c r="Q184" s="112"/>
    </row>
    <row r="185" spans="1:17" x14ac:dyDescent="0.3">
      <c r="A185" s="110" t="str">
        <f>IF(ESTRUTURA!A186&gt;prazo_se,"",ESTRUTURA!A186)</f>
        <v/>
      </c>
      <c r="B185" s="111" t="str">
        <f>ESTRUTURA!C186</f>
        <v/>
      </c>
      <c r="C185" s="111" t="str">
        <f>ESTRUTURA!E186</f>
        <v/>
      </c>
      <c r="D185" s="113" t="str">
        <f>IF($A185="","",IF(A185=prazo_se,1,IFERROR(TRUNC(ESTRUTURA!R186/ESTRUTURA!T185,6),0)*100))</f>
        <v/>
      </c>
      <c r="E185" s="112"/>
      <c r="G185" s="110" t="str">
        <f>IF(ESTRUTURA!A186&gt;prazo_subp,"",ESTRUTURA!A186)</f>
        <v/>
      </c>
      <c r="H185" s="111" t="str">
        <f>IF(G185="","",ESTRUTURA!C186)</f>
        <v/>
      </c>
      <c r="I185" s="111" t="str">
        <f>IF(G185="","",ESTRUTURA!E186)</f>
        <v/>
      </c>
      <c r="J185" s="113" t="str">
        <f>IF($G185="","",IF(G185=prazo_subp,1,IFERROR(TRUNC(ESTRUTURA!Y186/ESTRUTURA!AA185,6),0)*100))</f>
        <v/>
      </c>
      <c r="K185" s="112"/>
      <c r="M185" s="110" t="str">
        <f>ESTRUTURA!M186</f>
        <v/>
      </c>
      <c r="N185" s="111" t="str">
        <f>ESTRUTURA!O186</f>
        <v/>
      </c>
      <c r="O185" s="111" t="str">
        <f>ESTRUTURA!Q186</f>
        <v/>
      </c>
      <c r="P185" s="113" t="str">
        <f>IF($M185="","",IF(M185=prazo_sub,1,IFERROR(TRUNC(ESTRUTURA!AE186/ESTRUTURA!AG185,6),0)*100))</f>
        <v/>
      </c>
      <c r="Q185" s="112"/>
    </row>
    <row r="186" spans="1:17" x14ac:dyDescent="0.3">
      <c r="A186" s="110" t="str">
        <f>IF(ESTRUTURA!A187&gt;prazo_se,"",ESTRUTURA!A187)</f>
        <v/>
      </c>
      <c r="B186" s="111" t="str">
        <f>ESTRUTURA!C187</f>
        <v/>
      </c>
      <c r="C186" s="111" t="str">
        <f>ESTRUTURA!E187</f>
        <v/>
      </c>
      <c r="D186" s="113" t="str">
        <f>IF($A186="","",IF(A186=prazo_se,1,IFERROR(TRUNC(ESTRUTURA!R187/ESTRUTURA!T186,6),0)*100))</f>
        <v/>
      </c>
      <c r="E186" s="112"/>
      <c r="G186" s="110" t="str">
        <f>IF(ESTRUTURA!A187&gt;prazo_subp,"",ESTRUTURA!A187)</f>
        <v/>
      </c>
      <c r="H186" s="111" t="str">
        <f>IF(G186="","",ESTRUTURA!C187)</f>
        <v/>
      </c>
      <c r="I186" s="111" t="str">
        <f>IF(G186="","",ESTRUTURA!E187)</f>
        <v/>
      </c>
      <c r="J186" s="113" t="str">
        <f>IF($G186="","",IF(G186=prazo_subp,1,IFERROR(TRUNC(ESTRUTURA!Y187/ESTRUTURA!AA186,6),0)*100))</f>
        <v/>
      </c>
      <c r="K186" s="112"/>
      <c r="M186" s="110" t="str">
        <f>ESTRUTURA!M187</f>
        <v/>
      </c>
      <c r="N186" s="111" t="str">
        <f>ESTRUTURA!O187</f>
        <v/>
      </c>
      <c r="O186" s="111" t="str">
        <f>ESTRUTURA!Q187</f>
        <v/>
      </c>
      <c r="P186" s="113" t="str">
        <f>IF($M186="","",IF(M186=prazo_sub,1,IFERROR(TRUNC(ESTRUTURA!AE187/ESTRUTURA!AG186,6),0)*100))</f>
        <v/>
      </c>
      <c r="Q186" s="112"/>
    </row>
    <row r="187" spans="1:17" x14ac:dyDescent="0.3">
      <c r="A187" s="110" t="str">
        <f>IF(ESTRUTURA!A188&gt;prazo_se,"",ESTRUTURA!A188)</f>
        <v/>
      </c>
      <c r="B187" s="111" t="str">
        <f>ESTRUTURA!C188</f>
        <v/>
      </c>
      <c r="C187" s="111" t="str">
        <f>ESTRUTURA!E188</f>
        <v/>
      </c>
      <c r="D187" s="113" t="str">
        <f>IF($A187="","",IF(A187=prazo_se,1,IFERROR(TRUNC(ESTRUTURA!R188/ESTRUTURA!T187,6),0)*100))</f>
        <v/>
      </c>
      <c r="E187" s="112"/>
      <c r="G187" s="110" t="str">
        <f>IF(ESTRUTURA!A188&gt;prazo_subp,"",ESTRUTURA!A188)</f>
        <v/>
      </c>
      <c r="H187" s="111" t="str">
        <f>IF(G187="","",ESTRUTURA!C188)</f>
        <v/>
      </c>
      <c r="I187" s="111" t="str">
        <f>IF(G187="","",ESTRUTURA!E188)</f>
        <v/>
      </c>
      <c r="J187" s="113" t="str">
        <f>IF($G187="","",IF(G187=prazo_subp,1,IFERROR(TRUNC(ESTRUTURA!Y188/ESTRUTURA!AA187,6),0)*100))</f>
        <v/>
      </c>
      <c r="K187" s="112"/>
      <c r="M187" s="110" t="str">
        <f>ESTRUTURA!M188</f>
        <v/>
      </c>
      <c r="N187" s="111" t="str">
        <f>ESTRUTURA!O188</f>
        <v/>
      </c>
      <c r="O187" s="111" t="str">
        <f>ESTRUTURA!Q188</f>
        <v/>
      </c>
      <c r="P187" s="113" t="str">
        <f>IF($M187="","",IF(M187=prazo_sub,1,IFERROR(TRUNC(ESTRUTURA!AE188/ESTRUTURA!AG187,6),0)*100))</f>
        <v/>
      </c>
      <c r="Q187" s="112"/>
    </row>
    <row r="188" spans="1:17" x14ac:dyDescent="0.3">
      <c r="A188" s="110" t="str">
        <f>IF(ESTRUTURA!A189&gt;prazo_se,"",ESTRUTURA!A189)</f>
        <v/>
      </c>
      <c r="B188" s="111" t="str">
        <f>ESTRUTURA!C189</f>
        <v/>
      </c>
      <c r="C188" s="111" t="str">
        <f>ESTRUTURA!E189</f>
        <v/>
      </c>
      <c r="D188" s="113" t="str">
        <f>IF($A188="","",IF(A188=prazo_se,1,IFERROR(TRUNC(ESTRUTURA!R189/ESTRUTURA!T188,6),0)*100))</f>
        <v/>
      </c>
      <c r="E188" s="112"/>
      <c r="G188" s="110" t="str">
        <f>IF(ESTRUTURA!A189&gt;prazo_subp,"",ESTRUTURA!A189)</f>
        <v/>
      </c>
      <c r="H188" s="111" t="str">
        <f>IF(G188="","",ESTRUTURA!C189)</f>
        <v/>
      </c>
      <c r="I188" s="111" t="str">
        <f>IF(G188="","",ESTRUTURA!E189)</f>
        <v/>
      </c>
      <c r="J188" s="113" t="str">
        <f>IF($G188="","",IF(G188=prazo_subp,1,IFERROR(TRUNC(ESTRUTURA!Y189/ESTRUTURA!AA188,6),0)*100))</f>
        <v/>
      </c>
      <c r="K188" s="112"/>
      <c r="M188" s="110" t="str">
        <f>ESTRUTURA!M189</f>
        <v/>
      </c>
      <c r="N188" s="111" t="str">
        <f>ESTRUTURA!O189</f>
        <v/>
      </c>
      <c r="O188" s="111" t="str">
        <f>ESTRUTURA!Q189</f>
        <v/>
      </c>
      <c r="P188" s="113" t="str">
        <f>IF($M188="","",IF(M188=prazo_sub,1,IFERROR(TRUNC(ESTRUTURA!AE189/ESTRUTURA!AG188,6),0)*100))</f>
        <v/>
      </c>
      <c r="Q188" s="112"/>
    </row>
    <row r="189" spans="1:17" x14ac:dyDescent="0.3">
      <c r="A189" s="110" t="str">
        <f>IF(ESTRUTURA!A190&gt;prazo_se,"",ESTRUTURA!A190)</f>
        <v/>
      </c>
      <c r="B189" s="111" t="str">
        <f>ESTRUTURA!C190</f>
        <v/>
      </c>
      <c r="C189" s="111" t="str">
        <f>ESTRUTURA!E190</f>
        <v/>
      </c>
      <c r="D189" s="113" t="str">
        <f>IF($A189="","",IF(A189=prazo_se,1,IFERROR(TRUNC(ESTRUTURA!R190/ESTRUTURA!T189,6),0)*100))</f>
        <v/>
      </c>
      <c r="E189" s="112"/>
      <c r="G189" s="110" t="str">
        <f>IF(ESTRUTURA!A190&gt;prazo_subp,"",ESTRUTURA!A190)</f>
        <v/>
      </c>
      <c r="H189" s="111" t="str">
        <f>IF(G189="","",ESTRUTURA!C190)</f>
        <v/>
      </c>
      <c r="I189" s="111" t="str">
        <f>IF(G189="","",ESTRUTURA!E190)</f>
        <v/>
      </c>
      <c r="J189" s="113" t="str">
        <f>IF($G189="","",IF(G189=prazo_subp,1,IFERROR(TRUNC(ESTRUTURA!Y190/ESTRUTURA!AA189,6),0)*100))</f>
        <v/>
      </c>
      <c r="K189" s="112"/>
      <c r="M189" s="110" t="str">
        <f>ESTRUTURA!M190</f>
        <v/>
      </c>
      <c r="N189" s="111" t="str">
        <f>ESTRUTURA!O190</f>
        <v/>
      </c>
      <c r="O189" s="111" t="str">
        <f>ESTRUTURA!Q190</f>
        <v/>
      </c>
      <c r="P189" s="113" t="str">
        <f>IF($M189="","",IF(M189=prazo_sub,1,IFERROR(TRUNC(ESTRUTURA!AE190/ESTRUTURA!AG189,6),0)*100))</f>
        <v/>
      </c>
      <c r="Q189" s="112"/>
    </row>
    <row r="190" spans="1:17" x14ac:dyDescent="0.3">
      <c r="A190" s="110" t="str">
        <f>IF(ESTRUTURA!A191&gt;prazo_se,"",ESTRUTURA!A191)</f>
        <v/>
      </c>
      <c r="B190" s="111" t="str">
        <f>ESTRUTURA!C191</f>
        <v/>
      </c>
      <c r="C190" s="111" t="str">
        <f>ESTRUTURA!E191</f>
        <v/>
      </c>
      <c r="D190" s="113" t="str">
        <f>IF($A190="","",IF(A190=prazo_se,1,IFERROR(TRUNC(ESTRUTURA!R191/ESTRUTURA!T190,6),0)*100))</f>
        <v/>
      </c>
      <c r="E190" s="112"/>
      <c r="G190" s="110" t="str">
        <f>IF(ESTRUTURA!A191&gt;prazo_subp,"",ESTRUTURA!A191)</f>
        <v/>
      </c>
      <c r="H190" s="111" t="str">
        <f>IF(G190="","",ESTRUTURA!C191)</f>
        <v/>
      </c>
      <c r="I190" s="111" t="str">
        <f>IF(G190="","",ESTRUTURA!E191)</f>
        <v/>
      </c>
      <c r="J190" s="113" t="str">
        <f>IF($G190="","",IF(G190=prazo_subp,1,IFERROR(TRUNC(ESTRUTURA!Y191/ESTRUTURA!AA190,6),0)*100))</f>
        <v/>
      </c>
      <c r="K190" s="112"/>
      <c r="M190" s="110" t="str">
        <f>ESTRUTURA!M191</f>
        <v/>
      </c>
      <c r="N190" s="111" t="str">
        <f>ESTRUTURA!O191</f>
        <v/>
      </c>
      <c r="O190" s="111" t="str">
        <f>ESTRUTURA!Q191</f>
        <v/>
      </c>
      <c r="P190" s="113" t="str">
        <f>IF($M190="","",IF(M190=prazo_sub,1,IFERROR(TRUNC(ESTRUTURA!AE191/ESTRUTURA!AG190,6),0)*100))</f>
        <v/>
      </c>
      <c r="Q190" s="112"/>
    </row>
    <row r="191" spans="1:17" x14ac:dyDescent="0.3">
      <c r="A191" s="110" t="str">
        <f>IF(ESTRUTURA!A192&gt;prazo_se,"",ESTRUTURA!A192)</f>
        <v/>
      </c>
      <c r="B191" s="111" t="str">
        <f>ESTRUTURA!C192</f>
        <v/>
      </c>
      <c r="C191" s="111" t="str">
        <f>ESTRUTURA!E192</f>
        <v/>
      </c>
      <c r="D191" s="113" t="str">
        <f>IF($A191="","",IF(A191=prazo_se,1,IFERROR(TRUNC(ESTRUTURA!R192/ESTRUTURA!T191,6),0)*100))</f>
        <v/>
      </c>
      <c r="E191" s="112"/>
      <c r="G191" s="110" t="str">
        <f>IF(ESTRUTURA!A192&gt;prazo_subp,"",ESTRUTURA!A192)</f>
        <v/>
      </c>
      <c r="H191" s="111" t="str">
        <f>IF(G191="","",ESTRUTURA!C192)</f>
        <v/>
      </c>
      <c r="I191" s="111" t="str">
        <f>IF(G191="","",ESTRUTURA!E192)</f>
        <v/>
      </c>
      <c r="J191" s="113" t="str">
        <f>IF($G191="","",IF(G191=prazo_subp,1,IFERROR(TRUNC(ESTRUTURA!Y192/ESTRUTURA!AA191,6),0)*100))</f>
        <v/>
      </c>
      <c r="K191" s="112"/>
      <c r="M191" s="110" t="str">
        <f>ESTRUTURA!M192</f>
        <v/>
      </c>
      <c r="N191" s="111" t="str">
        <f>ESTRUTURA!O192</f>
        <v/>
      </c>
      <c r="O191" s="111" t="str">
        <f>ESTRUTURA!Q192</f>
        <v/>
      </c>
      <c r="P191" s="113" t="str">
        <f>IF($M191="","",IF(M191=prazo_sub,1,IFERROR(TRUNC(ESTRUTURA!AE192/ESTRUTURA!AG191,6),0)*100))</f>
        <v/>
      </c>
      <c r="Q191" s="112"/>
    </row>
    <row r="192" spans="1:17" x14ac:dyDescent="0.3">
      <c r="A192" s="110" t="str">
        <f>IF(ESTRUTURA!A193&gt;prazo_se,"",ESTRUTURA!A193)</f>
        <v/>
      </c>
      <c r="B192" s="111" t="str">
        <f>ESTRUTURA!C193</f>
        <v/>
      </c>
      <c r="C192" s="111" t="str">
        <f>ESTRUTURA!E193</f>
        <v/>
      </c>
      <c r="D192" s="113" t="str">
        <f>IF($A192="","",IF(A192=prazo_se,1,IFERROR(TRUNC(ESTRUTURA!R193/ESTRUTURA!T192,6),0)*100))</f>
        <v/>
      </c>
      <c r="E192" s="112"/>
      <c r="G192" s="110" t="str">
        <f>IF(ESTRUTURA!A193&gt;prazo_subp,"",ESTRUTURA!A193)</f>
        <v/>
      </c>
      <c r="H192" s="111" t="str">
        <f>IF(G192="","",ESTRUTURA!C193)</f>
        <v/>
      </c>
      <c r="I192" s="111" t="str">
        <f>IF(G192="","",ESTRUTURA!E193)</f>
        <v/>
      </c>
      <c r="J192" s="113" t="str">
        <f>IF($G192="","",IF(G192=prazo_subp,1,IFERROR(TRUNC(ESTRUTURA!Y193/ESTRUTURA!AA192,6),0)*100))</f>
        <v/>
      </c>
      <c r="K192" s="112"/>
      <c r="M192" s="110" t="str">
        <f>ESTRUTURA!M193</f>
        <v/>
      </c>
      <c r="N192" s="111" t="str">
        <f>ESTRUTURA!O193</f>
        <v/>
      </c>
      <c r="O192" s="111" t="str">
        <f>ESTRUTURA!Q193</f>
        <v/>
      </c>
      <c r="P192" s="113" t="str">
        <f>IF($M192="","",IF(M192=prazo_sub,1,IFERROR(TRUNC(ESTRUTURA!AE193/ESTRUTURA!AG192,6),0)*100))</f>
        <v/>
      </c>
      <c r="Q192" s="112"/>
    </row>
    <row r="193" spans="1:17" x14ac:dyDescent="0.3">
      <c r="A193" s="110" t="str">
        <f>IF(ESTRUTURA!A194&gt;prazo_se,"",ESTRUTURA!A194)</f>
        <v/>
      </c>
      <c r="B193" s="111" t="str">
        <f>ESTRUTURA!C194</f>
        <v/>
      </c>
      <c r="C193" s="111" t="str">
        <f>ESTRUTURA!E194</f>
        <v/>
      </c>
      <c r="D193" s="113" t="str">
        <f>IF($A193="","",IF(A193=prazo_se,1,IFERROR(TRUNC(ESTRUTURA!R194/ESTRUTURA!T193,6),0)*100))</f>
        <v/>
      </c>
      <c r="E193" s="112"/>
      <c r="G193" s="110" t="str">
        <f>IF(ESTRUTURA!A194&gt;prazo_subp,"",ESTRUTURA!A194)</f>
        <v/>
      </c>
      <c r="H193" s="111" t="str">
        <f>IF(G193="","",ESTRUTURA!C194)</f>
        <v/>
      </c>
      <c r="I193" s="111" t="str">
        <f>IF(G193="","",ESTRUTURA!E194)</f>
        <v/>
      </c>
      <c r="J193" s="113" t="str">
        <f>IF($G193="","",IF(G193=prazo_subp,1,IFERROR(TRUNC(ESTRUTURA!Y194/ESTRUTURA!AA193,6),0)*100))</f>
        <v/>
      </c>
      <c r="K193" s="112"/>
      <c r="M193" s="110" t="str">
        <f>ESTRUTURA!M194</f>
        <v/>
      </c>
      <c r="N193" s="111" t="str">
        <f>ESTRUTURA!O194</f>
        <v/>
      </c>
      <c r="O193" s="111" t="str">
        <f>ESTRUTURA!Q194</f>
        <v/>
      </c>
      <c r="P193" s="113" t="str">
        <f>IF($M193="","",IF(M193=prazo_sub,1,IFERROR(TRUNC(ESTRUTURA!AE194/ESTRUTURA!AG193,6),0)*100))</f>
        <v/>
      </c>
      <c r="Q193" s="112"/>
    </row>
    <row r="194" spans="1:17" x14ac:dyDescent="0.3">
      <c r="A194" s="110" t="str">
        <f>IF(ESTRUTURA!A195&gt;prazo_se,"",ESTRUTURA!A195)</f>
        <v/>
      </c>
      <c r="B194" s="111" t="str">
        <f>ESTRUTURA!C195</f>
        <v/>
      </c>
      <c r="C194" s="111" t="str">
        <f>ESTRUTURA!E195</f>
        <v/>
      </c>
      <c r="D194" s="113" t="str">
        <f>IF($A194="","",IF(A194=prazo_se,1,IFERROR(TRUNC(ESTRUTURA!R195/ESTRUTURA!T194,6),0)*100))</f>
        <v/>
      </c>
      <c r="E194" s="112"/>
      <c r="G194" s="110" t="str">
        <f>IF(ESTRUTURA!A195&gt;prazo_subp,"",ESTRUTURA!A195)</f>
        <v/>
      </c>
      <c r="H194" s="111" t="str">
        <f>IF(G194="","",ESTRUTURA!C195)</f>
        <v/>
      </c>
      <c r="I194" s="111" t="str">
        <f>IF(G194="","",ESTRUTURA!E195)</f>
        <v/>
      </c>
      <c r="J194" s="113" t="str">
        <f>IF($G194="","",IF(G194=prazo_subp,1,IFERROR(TRUNC(ESTRUTURA!Y195/ESTRUTURA!AA194,6),0)*100))</f>
        <v/>
      </c>
      <c r="K194" s="112"/>
      <c r="M194" s="110" t="str">
        <f>ESTRUTURA!M195</f>
        <v/>
      </c>
      <c r="N194" s="111" t="str">
        <f>ESTRUTURA!O195</f>
        <v/>
      </c>
      <c r="O194" s="111" t="str">
        <f>ESTRUTURA!Q195</f>
        <v/>
      </c>
      <c r="P194" s="113" t="str">
        <f>IF($M194="","",IF(M194=prazo_sub,1,IFERROR(TRUNC(ESTRUTURA!AE195/ESTRUTURA!AG194,6),0)*100))</f>
        <v/>
      </c>
      <c r="Q194" s="112"/>
    </row>
    <row r="195" spans="1:17" x14ac:dyDescent="0.3">
      <c r="A195" s="110" t="str">
        <f>IF(ESTRUTURA!A196&gt;prazo_se,"",ESTRUTURA!A196)</f>
        <v/>
      </c>
      <c r="B195" s="111" t="str">
        <f>ESTRUTURA!C196</f>
        <v/>
      </c>
      <c r="C195" s="111" t="str">
        <f>ESTRUTURA!E196</f>
        <v/>
      </c>
      <c r="D195" s="113" t="str">
        <f>IF($A195="","",IF(A195=prazo_se,1,IFERROR(TRUNC(ESTRUTURA!R196/ESTRUTURA!T195,6),0)*100))</f>
        <v/>
      </c>
      <c r="E195" s="112"/>
      <c r="G195" s="110" t="str">
        <f>IF(ESTRUTURA!A196&gt;prazo_subp,"",ESTRUTURA!A196)</f>
        <v/>
      </c>
      <c r="H195" s="111" t="str">
        <f>IF(G195="","",ESTRUTURA!C196)</f>
        <v/>
      </c>
      <c r="I195" s="111" t="str">
        <f>IF(G195="","",ESTRUTURA!E196)</f>
        <v/>
      </c>
      <c r="J195" s="113" t="str">
        <f>IF($G195="","",IF(G195=prazo_subp,1,IFERROR(TRUNC(ESTRUTURA!Y196/ESTRUTURA!AA195,6),0)*100))</f>
        <v/>
      </c>
      <c r="K195" s="112"/>
      <c r="M195" s="110" t="str">
        <f>ESTRUTURA!M196</f>
        <v/>
      </c>
      <c r="N195" s="111" t="str">
        <f>ESTRUTURA!O196</f>
        <v/>
      </c>
      <c r="O195" s="111" t="str">
        <f>ESTRUTURA!Q196</f>
        <v/>
      </c>
      <c r="P195" s="113" t="str">
        <f>IF($M195="","",IF(M195=prazo_sub,1,IFERROR(TRUNC(ESTRUTURA!AE196/ESTRUTURA!AG195,6),0)*100))</f>
        <v/>
      </c>
      <c r="Q195" s="112"/>
    </row>
    <row r="196" spans="1:17" x14ac:dyDescent="0.3">
      <c r="A196" s="110" t="str">
        <f>IF(ESTRUTURA!A197&gt;prazo_se,"",ESTRUTURA!A197)</f>
        <v/>
      </c>
      <c r="B196" s="111" t="str">
        <f>ESTRUTURA!C197</f>
        <v/>
      </c>
      <c r="C196" s="111" t="str">
        <f>ESTRUTURA!E197</f>
        <v/>
      </c>
      <c r="D196" s="113" t="str">
        <f>IF($A196="","",IF(A196=prazo_se,1,IFERROR(TRUNC(ESTRUTURA!R197/ESTRUTURA!T196,6),0)*100))</f>
        <v/>
      </c>
      <c r="E196" s="112"/>
      <c r="G196" s="110" t="str">
        <f>IF(ESTRUTURA!A197&gt;prazo_subp,"",ESTRUTURA!A197)</f>
        <v/>
      </c>
      <c r="H196" s="111" t="str">
        <f>IF(G196="","",ESTRUTURA!C197)</f>
        <v/>
      </c>
      <c r="I196" s="111" t="str">
        <f>IF(G196="","",ESTRUTURA!E197)</f>
        <v/>
      </c>
      <c r="J196" s="113" t="str">
        <f>IF($G196="","",IF(G196=prazo_subp,1,IFERROR(TRUNC(ESTRUTURA!Y197/ESTRUTURA!AA196,6),0)*100))</f>
        <v/>
      </c>
      <c r="K196" s="112"/>
      <c r="M196" s="110" t="str">
        <f>ESTRUTURA!M197</f>
        <v/>
      </c>
      <c r="N196" s="111" t="str">
        <f>ESTRUTURA!O197</f>
        <v/>
      </c>
      <c r="O196" s="111" t="str">
        <f>ESTRUTURA!Q197</f>
        <v/>
      </c>
      <c r="P196" s="113" t="str">
        <f>IF($M196="","",IF(M196=prazo_sub,1,IFERROR(TRUNC(ESTRUTURA!AE197/ESTRUTURA!AG196,6),0)*100))</f>
        <v/>
      </c>
      <c r="Q196" s="112"/>
    </row>
    <row r="197" spans="1:17" x14ac:dyDescent="0.3">
      <c r="A197" s="110" t="str">
        <f>IF(ESTRUTURA!A198&gt;prazo_se,"",ESTRUTURA!A198)</f>
        <v/>
      </c>
      <c r="B197" s="111" t="str">
        <f>ESTRUTURA!C198</f>
        <v/>
      </c>
      <c r="C197" s="111" t="str">
        <f>ESTRUTURA!E198</f>
        <v/>
      </c>
      <c r="D197" s="113" t="str">
        <f>IF($A197="","",IF(A197=prazo_se,1,IFERROR(TRUNC(ESTRUTURA!R198/ESTRUTURA!T197,6),0)*100))</f>
        <v/>
      </c>
      <c r="E197" s="112"/>
      <c r="G197" s="110" t="str">
        <f>IF(ESTRUTURA!A198&gt;prazo_subp,"",ESTRUTURA!A198)</f>
        <v/>
      </c>
      <c r="H197" s="111" t="str">
        <f>IF(G197="","",ESTRUTURA!C198)</f>
        <v/>
      </c>
      <c r="I197" s="111" t="str">
        <f>IF(G197="","",ESTRUTURA!E198)</f>
        <v/>
      </c>
      <c r="J197" s="113" t="str">
        <f>IF($G197="","",IF(G197=prazo_subp,1,IFERROR(TRUNC(ESTRUTURA!Y198/ESTRUTURA!AA197,6),0)*100))</f>
        <v/>
      </c>
      <c r="K197" s="112"/>
      <c r="M197" s="110" t="str">
        <f>ESTRUTURA!M198</f>
        <v/>
      </c>
      <c r="N197" s="111" t="str">
        <f>ESTRUTURA!O198</f>
        <v/>
      </c>
      <c r="O197" s="111" t="str">
        <f>ESTRUTURA!Q198</f>
        <v/>
      </c>
      <c r="P197" s="113" t="str">
        <f>IF($M197="","",IF(M197=prazo_sub,1,IFERROR(TRUNC(ESTRUTURA!AE198/ESTRUTURA!AG197,6),0)*100))</f>
        <v/>
      </c>
      <c r="Q197" s="112"/>
    </row>
    <row r="198" spans="1:17" x14ac:dyDescent="0.3">
      <c r="A198" s="110" t="str">
        <f>IF(ESTRUTURA!A199&gt;prazo_se,"",ESTRUTURA!A199)</f>
        <v/>
      </c>
      <c r="B198" s="111" t="str">
        <f>ESTRUTURA!C199</f>
        <v/>
      </c>
      <c r="C198" s="111" t="str">
        <f>ESTRUTURA!E199</f>
        <v/>
      </c>
      <c r="D198" s="113" t="str">
        <f>IF($A198="","",IF(A198=prazo_se,1,IFERROR(TRUNC(ESTRUTURA!R199/ESTRUTURA!T198,6),0)*100))</f>
        <v/>
      </c>
      <c r="E198" s="112"/>
      <c r="G198" s="110" t="str">
        <f>IF(ESTRUTURA!A199&gt;prazo_subp,"",ESTRUTURA!A199)</f>
        <v/>
      </c>
      <c r="H198" s="111" t="str">
        <f>IF(G198="","",ESTRUTURA!C199)</f>
        <v/>
      </c>
      <c r="I198" s="111" t="str">
        <f>IF(G198="","",ESTRUTURA!E199)</f>
        <v/>
      </c>
      <c r="J198" s="113" t="str">
        <f>IF($G198="","",IF(G198=prazo_subp,1,IFERROR(TRUNC(ESTRUTURA!Y199/ESTRUTURA!AA198,6),0)*100))</f>
        <v/>
      </c>
      <c r="K198" s="112"/>
      <c r="M198" s="110" t="str">
        <f>ESTRUTURA!M199</f>
        <v/>
      </c>
      <c r="N198" s="111" t="str">
        <f>ESTRUTURA!O199</f>
        <v/>
      </c>
      <c r="O198" s="111" t="str">
        <f>ESTRUTURA!Q199</f>
        <v/>
      </c>
      <c r="P198" s="113" t="str">
        <f>IF($M198="","",IF(M198=prazo_sub,1,IFERROR(TRUNC(ESTRUTURA!AE199/ESTRUTURA!AG198,6),0)*100))</f>
        <v/>
      </c>
      <c r="Q198" s="112"/>
    </row>
    <row r="199" spans="1:17" x14ac:dyDescent="0.3">
      <c r="A199" s="110" t="str">
        <f>IF(ESTRUTURA!A200&gt;prazo_se,"",ESTRUTURA!A200)</f>
        <v/>
      </c>
      <c r="B199" s="111" t="str">
        <f>ESTRUTURA!C200</f>
        <v/>
      </c>
      <c r="C199" s="111" t="str">
        <f>ESTRUTURA!E200</f>
        <v/>
      </c>
      <c r="D199" s="113" t="str">
        <f>IF($A199="","",IF(A199=prazo_se,1,IFERROR(TRUNC(ESTRUTURA!R200/ESTRUTURA!T199,6),0)*100))</f>
        <v/>
      </c>
      <c r="E199" s="112"/>
      <c r="G199" s="110" t="str">
        <f>IF(ESTRUTURA!A200&gt;prazo_subp,"",ESTRUTURA!A200)</f>
        <v/>
      </c>
      <c r="H199" s="111" t="str">
        <f>IF(G199="","",ESTRUTURA!C200)</f>
        <v/>
      </c>
      <c r="I199" s="111" t="str">
        <f>IF(G199="","",ESTRUTURA!E200)</f>
        <v/>
      </c>
      <c r="J199" s="113" t="str">
        <f>IF($G199="","",IF(G199=prazo_subp,1,IFERROR(TRUNC(ESTRUTURA!Y200/ESTRUTURA!AA199,6),0)*100))</f>
        <v/>
      </c>
      <c r="K199" s="112"/>
      <c r="M199" s="110" t="str">
        <f>ESTRUTURA!M200</f>
        <v/>
      </c>
      <c r="N199" s="111" t="str">
        <f>ESTRUTURA!O200</f>
        <v/>
      </c>
      <c r="O199" s="111" t="str">
        <f>ESTRUTURA!Q200</f>
        <v/>
      </c>
      <c r="P199" s="113" t="str">
        <f>IF($M199="","",IF(M199=prazo_sub,1,IFERROR(TRUNC(ESTRUTURA!AE200/ESTRUTURA!AG199,6),0)*100))</f>
        <v/>
      </c>
      <c r="Q199" s="112"/>
    </row>
    <row r="200" spans="1:17" x14ac:dyDescent="0.3">
      <c r="A200" s="110" t="str">
        <f>IF(ESTRUTURA!A201&gt;prazo_se,"",ESTRUTURA!A201)</f>
        <v/>
      </c>
      <c r="B200" s="111" t="str">
        <f>ESTRUTURA!C201</f>
        <v/>
      </c>
      <c r="C200" s="111" t="str">
        <f>ESTRUTURA!E201</f>
        <v/>
      </c>
      <c r="D200" s="113" t="str">
        <f>IF($A200="","",IF(A200=prazo_se,1,IFERROR(TRUNC(ESTRUTURA!R201/ESTRUTURA!T200,6),0)*100))</f>
        <v/>
      </c>
      <c r="E200" s="112"/>
      <c r="G200" s="110" t="str">
        <f>IF(ESTRUTURA!A201&gt;prazo_subp,"",ESTRUTURA!A201)</f>
        <v/>
      </c>
      <c r="H200" s="111" t="str">
        <f>IF(G200="","",ESTRUTURA!C201)</f>
        <v/>
      </c>
      <c r="I200" s="111" t="str">
        <f>IF(G200="","",ESTRUTURA!E201)</f>
        <v/>
      </c>
      <c r="J200" s="113" t="str">
        <f>IF($G200="","",IF(G200=prazo_subp,1,IFERROR(TRUNC(ESTRUTURA!Y201/ESTRUTURA!AA200,6),0)*100))</f>
        <v/>
      </c>
      <c r="K200" s="112"/>
      <c r="M200" s="110" t="str">
        <f>ESTRUTURA!M201</f>
        <v/>
      </c>
      <c r="N200" s="111" t="str">
        <f>ESTRUTURA!O201</f>
        <v/>
      </c>
      <c r="O200" s="111" t="str">
        <f>ESTRUTURA!Q201</f>
        <v/>
      </c>
      <c r="P200" s="113" t="str">
        <f>IF($M200="","",IF(M200=prazo_sub,1,IFERROR(TRUNC(ESTRUTURA!AE201/ESTRUTURA!AG200,6),0)*100))</f>
        <v/>
      </c>
      <c r="Q200" s="112"/>
    </row>
    <row r="201" spans="1:17" x14ac:dyDescent="0.3">
      <c r="A201" s="110" t="str">
        <f>IF(ESTRUTURA!A202&gt;prazo_se,"",ESTRUTURA!A202)</f>
        <v/>
      </c>
      <c r="B201" s="111" t="str">
        <f>ESTRUTURA!C202</f>
        <v/>
      </c>
      <c r="C201" s="111" t="str">
        <f>ESTRUTURA!E202</f>
        <v/>
      </c>
      <c r="D201" s="113" t="str">
        <f>IF($A201="","",IF(A201=prazo_se,1,IFERROR(TRUNC(ESTRUTURA!R202/ESTRUTURA!T201,6),0)*100))</f>
        <v/>
      </c>
      <c r="E201" s="112"/>
      <c r="G201" s="110" t="str">
        <f>IF(ESTRUTURA!A202&gt;prazo_subp,"",ESTRUTURA!A202)</f>
        <v/>
      </c>
      <c r="H201" s="111" t="str">
        <f>IF(G201="","",ESTRUTURA!C202)</f>
        <v/>
      </c>
      <c r="I201" s="111" t="str">
        <f>IF(G201="","",ESTRUTURA!E202)</f>
        <v/>
      </c>
      <c r="J201" s="113" t="str">
        <f>IF($G201="","",IF(G201=prazo_subp,1,IFERROR(TRUNC(ESTRUTURA!Y202/ESTRUTURA!AA201,6),0)*100))</f>
        <v/>
      </c>
      <c r="K201" s="112"/>
      <c r="M201" s="110" t="str">
        <f>ESTRUTURA!M202</f>
        <v/>
      </c>
      <c r="N201" s="111" t="str">
        <f>ESTRUTURA!O202</f>
        <v/>
      </c>
      <c r="O201" s="111" t="str">
        <f>ESTRUTURA!Q202</f>
        <v/>
      </c>
      <c r="P201" s="113" t="str">
        <f>IF($M201="","",IF(M201=prazo_sub,1,IFERROR(TRUNC(ESTRUTURA!AE202/ESTRUTURA!AG201,6),0)*100))</f>
        <v/>
      </c>
      <c r="Q201" s="112"/>
    </row>
    <row r="202" spans="1:17" x14ac:dyDescent="0.3">
      <c r="A202" s="110" t="str">
        <f>IF(ESTRUTURA!A203&gt;prazo_se,"",ESTRUTURA!A203)</f>
        <v/>
      </c>
      <c r="B202" s="111" t="str">
        <f>ESTRUTURA!C203</f>
        <v/>
      </c>
      <c r="C202" s="111" t="str">
        <f>ESTRUTURA!E203</f>
        <v/>
      </c>
      <c r="D202" s="113" t="str">
        <f>IF($A202="","",IF(A202=prazo_se,1,IFERROR(TRUNC(ESTRUTURA!R203/ESTRUTURA!T202,6),0)*100))</f>
        <v/>
      </c>
      <c r="E202" s="112"/>
      <c r="G202" s="110" t="str">
        <f>IF(ESTRUTURA!A203&gt;prazo_subp,"",ESTRUTURA!A203)</f>
        <v/>
      </c>
      <c r="H202" s="111" t="str">
        <f>IF(G202="","",ESTRUTURA!C203)</f>
        <v/>
      </c>
      <c r="I202" s="111" t="str">
        <f>IF(G202="","",ESTRUTURA!E203)</f>
        <v/>
      </c>
      <c r="J202" s="113" t="str">
        <f>IF($G202="","",IF(G202=prazo_subp,1,IFERROR(TRUNC(ESTRUTURA!Y203/ESTRUTURA!AA202,6),0)*100))</f>
        <v/>
      </c>
      <c r="K202" s="112"/>
      <c r="M202" s="110" t="str">
        <f>ESTRUTURA!M203</f>
        <v/>
      </c>
      <c r="N202" s="111" t="str">
        <f>ESTRUTURA!O203</f>
        <v/>
      </c>
      <c r="O202" s="111" t="str">
        <f>ESTRUTURA!Q203</f>
        <v/>
      </c>
      <c r="P202" s="113" t="str">
        <f>IF($M202="","",IF(M202=prazo_sub,1,IFERROR(TRUNC(ESTRUTURA!AE203/ESTRUTURA!AG202,6),0)*100))</f>
        <v/>
      </c>
      <c r="Q202" s="112"/>
    </row>
    <row r="203" spans="1:17" x14ac:dyDescent="0.3">
      <c r="A203" s="110" t="str">
        <f>IF(ESTRUTURA!A204&gt;prazo_se,"",ESTRUTURA!A204)</f>
        <v/>
      </c>
      <c r="B203" s="111" t="str">
        <f>ESTRUTURA!C204</f>
        <v/>
      </c>
      <c r="C203" s="111" t="str">
        <f>ESTRUTURA!E204</f>
        <v/>
      </c>
      <c r="D203" s="113" t="str">
        <f>IF($A203="","",IF(A203=prazo_se,1,IFERROR(TRUNC(ESTRUTURA!R204/ESTRUTURA!T203,6),0)*100))</f>
        <v/>
      </c>
      <c r="E203" s="112"/>
      <c r="G203" s="110" t="str">
        <f>IF(ESTRUTURA!A204&gt;prazo_subp,"",ESTRUTURA!A204)</f>
        <v/>
      </c>
      <c r="H203" s="111" t="str">
        <f>IF(G203="","",ESTRUTURA!C204)</f>
        <v/>
      </c>
      <c r="I203" s="111" t="str">
        <f>IF(G203="","",ESTRUTURA!E204)</f>
        <v/>
      </c>
      <c r="J203" s="113" t="str">
        <f>IF($G203="","",IF(G203=prazo_subp,1,IFERROR(TRUNC(ESTRUTURA!Y204/ESTRUTURA!AA203,6),0)*100))</f>
        <v/>
      </c>
      <c r="K203" s="112"/>
      <c r="M203" s="110" t="str">
        <f>ESTRUTURA!M204</f>
        <v/>
      </c>
      <c r="N203" s="111" t="str">
        <f>ESTRUTURA!O204</f>
        <v/>
      </c>
      <c r="O203" s="111" t="str">
        <f>ESTRUTURA!Q204</f>
        <v/>
      </c>
      <c r="P203" s="113" t="str">
        <f>IF($M203="","",IF(M203=prazo_sub,1,IFERROR(TRUNC(ESTRUTURA!AE204/ESTRUTURA!AG203,6),0)*100))</f>
        <v/>
      </c>
      <c r="Q203" s="112"/>
    </row>
    <row r="204" spans="1:17" x14ac:dyDescent="0.3">
      <c r="A204" s="110" t="str">
        <f>IF(ESTRUTURA!A205&gt;prazo_se,"",ESTRUTURA!A205)</f>
        <v/>
      </c>
      <c r="B204" s="111" t="str">
        <f>ESTRUTURA!C205</f>
        <v/>
      </c>
      <c r="C204" s="111" t="str">
        <f>ESTRUTURA!E205</f>
        <v/>
      </c>
      <c r="D204" s="113" t="str">
        <f>IF($A204="","",IF(A204=prazo_se,1,IFERROR(TRUNC(ESTRUTURA!R205/ESTRUTURA!T204,6),0)*100))</f>
        <v/>
      </c>
      <c r="E204" s="112"/>
      <c r="G204" s="110" t="str">
        <f>IF(ESTRUTURA!A205&gt;prazo_subp,"",ESTRUTURA!A205)</f>
        <v/>
      </c>
      <c r="H204" s="111" t="str">
        <f>IF(G204="","",ESTRUTURA!C205)</f>
        <v/>
      </c>
      <c r="I204" s="111" t="str">
        <f>IF(G204="","",ESTRUTURA!E205)</f>
        <v/>
      </c>
      <c r="J204" s="113" t="str">
        <f>IF($G204="","",IF(G204=prazo_subp,1,IFERROR(TRUNC(ESTRUTURA!Y205/ESTRUTURA!AA204,6),0)*100))</f>
        <v/>
      </c>
      <c r="K204" s="112"/>
      <c r="M204" s="110" t="str">
        <f>ESTRUTURA!M205</f>
        <v/>
      </c>
      <c r="N204" s="111" t="str">
        <f>ESTRUTURA!O205</f>
        <v/>
      </c>
      <c r="O204" s="111" t="str">
        <f>ESTRUTURA!Q205</f>
        <v/>
      </c>
      <c r="P204" s="113" t="str">
        <f>IF($M204="","",IF(M204=prazo_sub,1,IFERROR(TRUNC(ESTRUTURA!AE205/ESTRUTURA!AG204,6),0)*100))</f>
        <v/>
      </c>
      <c r="Q204" s="112"/>
    </row>
    <row r="205" spans="1:17" x14ac:dyDescent="0.3">
      <c r="A205" s="110" t="str">
        <f>IF(ESTRUTURA!A206&gt;prazo_se,"",ESTRUTURA!A206)</f>
        <v/>
      </c>
      <c r="B205" s="111" t="str">
        <f>ESTRUTURA!C206</f>
        <v/>
      </c>
      <c r="C205" s="111" t="str">
        <f>ESTRUTURA!E206</f>
        <v/>
      </c>
      <c r="D205" s="113" t="str">
        <f>IF($A205="","",IF(A205=prazo_se,1,IFERROR(TRUNC(ESTRUTURA!R206/ESTRUTURA!T205,6),0)*100))</f>
        <v/>
      </c>
      <c r="E205" s="112"/>
      <c r="G205" s="110" t="str">
        <f>IF(ESTRUTURA!A206&gt;prazo_subp,"",ESTRUTURA!A206)</f>
        <v/>
      </c>
      <c r="H205" s="111" t="str">
        <f>IF(G205="","",ESTRUTURA!C206)</f>
        <v/>
      </c>
      <c r="I205" s="111" t="str">
        <f>IF(G205="","",ESTRUTURA!E206)</f>
        <v/>
      </c>
      <c r="J205" s="113" t="str">
        <f>IF($G205="","",IF(G205=prazo_subp,1,IFERROR(TRUNC(ESTRUTURA!Y206/ESTRUTURA!AA205,6),0)*100))</f>
        <v/>
      </c>
      <c r="K205" s="112"/>
      <c r="M205" s="110" t="str">
        <f>ESTRUTURA!M206</f>
        <v/>
      </c>
      <c r="N205" s="111" t="str">
        <f>ESTRUTURA!O206</f>
        <v/>
      </c>
      <c r="O205" s="111" t="str">
        <f>ESTRUTURA!Q206</f>
        <v/>
      </c>
      <c r="P205" s="113" t="str">
        <f>IF($M205="","",IF(M205=prazo_sub,1,IFERROR(TRUNC(ESTRUTURA!AE206/ESTRUTURA!AG205,6),0)*100))</f>
        <v/>
      </c>
      <c r="Q205" s="112"/>
    </row>
    <row r="206" spans="1:17" x14ac:dyDescent="0.3">
      <c r="A206" s="110" t="str">
        <f>IF(ESTRUTURA!A207&gt;prazo_se,"",ESTRUTURA!A207)</f>
        <v/>
      </c>
      <c r="B206" s="111" t="str">
        <f>ESTRUTURA!C207</f>
        <v/>
      </c>
      <c r="C206" s="111" t="str">
        <f>ESTRUTURA!E207</f>
        <v/>
      </c>
      <c r="D206" s="113" t="str">
        <f>IF($A206="","",IF(A206=prazo_se,1,IFERROR(TRUNC(ESTRUTURA!R207/ESTRUTURA!T206,6),0)*100))</f>
        <v/>
      </c>
      <c r="E206" s="112"/>
      <c r="G206" s="110" t="str">
        <f>IF(ESTRUTURA!A207&gt;prazo_subp,"",ESTRUTURA!A207)</f>
        <v/>
      </c>
      <c r="H206" s="111" t="str">
        <f>IF(G206="","",ESTRUTURA!C207)</f>
        <v/>
      </c>
      <c r="I206" s="111" t="str">
        <f>IF(G206="","",ESTRUTURA!E207)</f>
        <v/>
      </c>
      <c r="J206" s="113" t="str">
        <f>IF($G206="","",IF(G206=prazo_subp,1,IFERROR(TRUNC(ESTRUTURA!Y207/ESTRUTURA!AA206,6),0)*100))</f>
        <v/>
      </c>
      <c r="K206" s="112"/>
      <c r="M206" s="110" t="str">
        <f>ESTRUTURA!M207</f>
        <v/>
      </c>
      <c r="N206" s="111" t="str">
        <f>ESTRUTURA!O207</f>
        <v/>
      </c>
      <c r="O206" s="111" t="str">
        <f>ESTRUTURA!Q207</f>
        <v/>
      </c>
      <c r="P206" s="113" t="str">
        <f>IF($M206="","",IF(M206=prazo_sub,1,IFERROR(TRUNC(ESTRUTURA!AE207/ESTRUTURA!AG206,6),0)*100))</f>
        <v/>
      </c>
      <c r="Q206" s="112"/>
    </row>
    <row r="207" spans="1:17" x14ac:dyDescent="0.3">
      <c r="A207" s="110" t="str">
        <f>IF(ESTRUTURA!A208&gt;prazo_se,"",ESTRUTURA!A208)</f>
        <v/>
      </c>
      <c r="B207" s="111" t="str">
        <f>ESTRUTURA!C208</f>
        <v/>
      </c>
      <c r="C207" s="111" t="str">
        <f>ESTRUTURA!E208</f>
        <v/>
      </c>
      <c r="D207" s="113" t="str">
        <f>IF($A207="","",IF(A207=prazo_se,1,IFERROR(TRUNC(ESTRUTURA!R208/ESTRUTURA!T207,6),0)*100))</f>
        <v/>
      </c>
      <c r="E207" s="112"/>
      <c r="G207" s="110" t="str">
        <f>IF(ESTRUTURA!A208&gt;prazo_subp,"",ESTRUTURA!A208)</f>
        <v/>
      </c>
      <c r="H207" s="111" t="str">
        <f>IF(G207="","",ESTRUTURA!C208)</f>
        <v/>
      </c>
      <c r="I207" s="111" t="str">
        <f>IF(G207="","",ESTRUTURA!E208)</f>
        <v/>
      </c>
      <c r="J207" s="113" t="str">
        <f>IF($G207="","",IF(G207=prazo_subp,1,IFERROR(TRUNC(ESTRUTURA!Y208/ESTRUTURA!AA207,6),0)*100))</f>
        <v/>
      </c>
      <c r="K207" s="112"/>
      <c r="M207" s="110" t="str">
        <f>ESTRUTURA!M208</f>
        <v/>
      </c>
      <c r="N207" s="111" t="str">
        <f>ESTRUTURA!O208</f>
        <v/>
      </c>
      <c r="O207" s="111" t="str">
        <f>ESTRUTURA!Q208</f>
        <v/>
      </c>
      <c r="P207" s="113" t="str">
        <f>IF($M207="","",IF(M207=prazo_sub,1,IFERROR(TRUNC(ESTRUTURA!AE208/ESTRUTURA!AG207,6),0)*100))</f>
        <v/>
      </c>
      <c r="Q207" s="112"/>
    </row>
    <row r="208" spans="1:17" x14ac:dyDescent="0.3">
      <c r="A208" s="110" t="str">
        <f>IF(ESTRUTURA!A209&gt;prazo_se,"",ESTRUTURA!A209)</f>
        <v/>
      </c>
      <c r="B208" s="111" t="str">
        <f>ESTRUTURA!C209</f>
        <v/>
      </c>
      <c r="C208" s="111" t="str">
        <f>ESTRUTURA!E209</f>
        <v/>
      </c>
      <c r="D208" s="113" t="str">
        <f>IF($A208="","",IF(A208=prazo_se,1,IFERROR(TRUNC(ESTRUTURA!R209/ESTRUTURA!T208,6),0)*100))</f>
        <v/>
      </c>
      <c r="E208" s="112"/>
      <c r="G208" s="110" t="str">
        <f>IF(ESTRUTURA!A209&gt;prazo_subp,"",ESTRUTURA!A209)</f>
        <v/>
      </c>
      <c r="H208" s="111" t="str">
        <f>IF(G208="","",ESTRUTURA!C209)</f>
        <v/>
      </c>
      <c r="I208" s="111" t="str">
        <f>IF(G208="","",ESTRUTURA!E209)</f>
        <v/>
      </c>
      <c r="J208" s="113" t="str">
        <f>IF($G208="","",IF(G208=prazo_subp,1,IFERROR(TRUNC(ESTRUTURA!Y209/ESTRUTURA!AA208,6),0)*100))</f>
        <v/>
      </c>
      <c r="K208" s="112"/>
      <c r="M208" s="110" t="str">
        <f>ESTRUTURA!M209</f>
        <v/>
      </c>
      <c r="N208" s="111" t="str">
        <f>ESTRUTURA!O209</f>
        <v/>
      </c>
      <c r="O208" s="111" t="str">
        <f>ESTRUTURA!Q209</f>
        <v/>
      </c>
      <c r="P208" s="113" t="str">
        <f>IF($M208="","",IF(M208=prazo_sub,1,IFERROR(TRUNC(ESTRUTURA!AE209/ESTRUTURA!AG208,6),0)*100))</f>
        <v/>
      </c>
      <c r="Q208" s="112"/>
    </row>
    <row r="209" spans="1:17" x14ac:dyDescent="0.3">
      <c r="A209" s="110" t="str">
        <f>IF(ESTRUTURA!A210&gt;prazo_se,"",ESTRUTURA!A210)</f>
        <v/>
      </c>
      <c r="B209" s="111" t="str">
        <f>ESTRUTURA!C210</f>
        <v/>
      </c>
      <c r="C209" s="111" t="str">
        <f>ESTRUTURA!E210</f>
        <v/>
      </c>
      <c r="D209" s="113" t="str">
        <f>IF($A209="","",IF(A209=prazo_se,1,IFERROR(TRUNC(ESTRUTURA!R210/ESTRUTURA!T209,6),0)*100))</f>
        <v/>
      </c>
      <c r="E209" s="112"/>
      <c r="G209" s="110" t="str">
        <f>IF(ESTRUTURA!A210&gt;prazo_subp,"",ESTRUTURA!A210)</f>
        <v/>
      </c>
      <c r="H209" s="111" t="str">
        <f>IF(G209="","",ESTRUTURA!C210)</f>
        <v/>
      </c>
      <c r="I209" s="111" t="str">
        <f>IF(G209="","",ESTRUTURA!E210)</f>
        <v/>
      </c>
      <c r="J209" s="113" t="str">
        <f>IF($G209="","",IF(G209=prazo_subp,1,IFERROR(TRUNC(ESTRUTURA!Y210/ESTRUTURA!AA209,6),0)*100))</f>
        <v/>
      </c>
      <c r="K209" s="112"/>
      <c r="M209" s="110" t="str">
        <f>ESTRUTURA!M210</f>
        <v/>
      </c>
      <c r="N209" s="111" t="str">
        <f>ESTRUTURA!O210</f>
        <v/>
      </c>
      <c r="O209" s="111" t="str">
        <f>ESTRUTURA!Q210</f>
        <v/>
      </c>
      <c r="P209" s="113" t="str">
        <f>IF($M209="","",IF(M209=prazo_sub,1,IFERROR(TRUNC(ESTRUTURA!AE210/ESTRUTURA!AG209,6),0)*100))</f>
        <v/>
      </c>
      <c r="Q209" s="112"/>
    </row>
    <row r="210" spans="1:17" x14ac:dyDescent="0.3">
      <c r="A210" s="110" t="str">
        <f>IF(ESTRUTURA!A211&gt;prazo_se,"",ESTRUTURA!A211)</f>
        <v/>
      </c>
      <c r="B210" s="111" t="str">
        <f>ESTRUTURA!C211</f>
        <v/>
      </c>
      <c r="C210" s="111" t="str">
        <f>ESTRUTURA!E211</f>
        <v/>
      </c>
      <c r="D210" s="113" t="str">
        <f>IF($A210="","",IF(A210=prazo_se,1,IFERROR(TRUNC(ESTRUTURA!R211/ESTRUTURA!T210,6),0)*100))</f>
        <v/>
      </c>
      <c r="E210" s="112"/>
      <c r="G210" s="110" t="str">
        <f>IF(ESTRUTURA!A211&gt;prazo_subp,"",ESTRUTURA!A211)</f>
        <v/>
      </c>
      <c r="H210" s="111" t="str">
        <f>IF(G210="","",ESTRUTURA!C211)</f>
        <v/>
      </c>
      <c r="I210" s="111" t="str">
        <f>IF(G210="","",ESTRUTURA!E211)</f>
        <v/>
      </c>
      <c r="J210" s="113" t="str">
        <f>IF($G210="","",IF(G210=prazo_subp,1,IFERROR(TRUNC(ESTRUTURA!Y211/ESTRUTURA!AA210,6),0)*100))</f>
        <v/>
      </c>
      <c r="K210" s="112"/>
      <c r="M210" s="110" t="str">
        <f>ESTRUTURA!M211</f>
        <v/>
      </c>
      <c r="N210" s="111" t="str">
        <f>ESTRUTURA!O211</f>
        <v/>
      </c>
      <c r="O210" s="111" t="str">
        <f>ESTRUTURA!Q211</f>
        <v/>
      </c>
      <c r="P210" s="113" t="str">
        <f>IF($M210="","",IF(M210=prazo_sub,1,IFERROR(TRUNC(ESTRUTURA!AE211/ESTRUTURA!AG210,6),0)*100))</f>
        <v/>
      </c>
      <c r="Q210" s="112"/>
    </row>
    <row r="211" spans="1:17" x14ac:dyDescent="0.3">
      <c r="A211" s="110" t="str">
        <f>IF(ESTRUTURA!A212&gt;prazo_se,"",ESTRUTURA!A212)</f>
        <v/>
      </c>
      <c r="B211" s="111" t="str">
        <f>ESTRUTURA!C212</f>
        <v/>
      </c>
      <c r="C211" s="111" t="str">
        <f>ESTRUTURA!E212</f>
        <v/>
      </c>
      <c r="D211" s="113" t="str">
        <f>IF($A211="","",IF(A211=prazo_se,1,IFERROR(TRUNC(ESTRUTURA!R212/ESTRUTURA!T211,6),0)*100))</f>
        <v/>
      </c>
      <c r="E211" s="112"/>
      <c r="G211" s="110" t="str">
        <f>IF(ESTRUTURA!A212&gt;prazo_subp,"",ESTRUTURA!A212)</f>
        <v/>
      </c>
      <c r="H211" s="111" t="str">
        <f>IF(G211="","",ESTRUTURA!C212)</f>
        <v/>
      </c>
      <c r="I211" s="111" t="str">
        <f>IF(G211="","",ESTRUTURA!E212)</f>
        <v/>
      </c>
      <c r="J211" s="113" t="str">
        <f>IF($G211="","",IF(G211=prazo_subp,1,IFERROR(TRUNC(ESTRUTURA!Y212/ESTRUTURA!AA211,6),0)*100))</f>
        <v/>
      </c>
      <c r="K211" s="112"/>
      <c r="M211" s="110" t="str">
        <f>ESTRUTURA!M212</f>
        <v/>
      </c>
      <c r="N211" s="111" t="str">
        <f>ESTRUTURA!O212</f>
        <v/>
      </c>
      <c r="O211" s="111" t="str">
        <f>ESTRUTURA!Q212</f>
        <v/>
      </c>
      <c r="P211" s="113" t="str">
        <f>IF($M211="","",IF(M211=prazo_sub,1,IFERROR(TRUNC(ESTRUTURA!AE212/ESTRUTURA!AG211,6),0)*100))</f>
        <v/>
      </c>
      <c r="Q211" s="112"/>
    </row>
    <row r="212" spans="1:17" x14ac:dyDescent="0.3">
      <c r="A212" s="110" t="str">
        <f>IF(ESTRUTURA!A213&gt;prazo_se,"",ESTRUTURA!A213)</f>
        <v/>
      </c>
      <c r="B212" s="111" t="str">
        <f>ESTRUTURA!C213</f>
        <v/>
      </c>
      <c r="C212" s="111" t="str">
        <f>ESTRUTURA!E213</f>
        <v/>
      </c>
      <c r="D212" s="113" t="str">
        <f>IF($A212="","",IF(A212=prazo_se,1,IFERROR(TRUNC(ESTRUTURA!R213/ESTRUTURA!T212,6),0)*100))</f>
        <v/>
      </c>
      <c r="E212" s="112"/>
      <c r="G212" s="110" t="str">
        <f>IF(ESTRUTURA!A213&gt;prazo_subp,"",ESTRUTURA!A213)</f>
        <v/>
      </c>
      <c r="H212" s="111" t="str">
        <f>IF(G212="","",ESTRUTURA!C213)</f>
        <v/>
      </c>
      <c r="I212" s="111" t="str">
        <f>IF(G212="","",ESTRUTURA!E213)</f>
        <v/>
      </c>
      <c r="J212" s="113" t="str">
        <f>IF($G212="","",IF(G212=prazo_subp,1,IFERROR(TRUNC(ESTRUTURA!Y213/ESTRUTURA!AA212,6),0)*100))</f>
        <v/>
      </c>
      <c r="K212" s="112"/>
      <c r="M212" s="110" t="str">
        <f>ESTRUTURA!M213</f>
        <v/>
      </c>
      <c r="N212" s="111" t="str">
        <f>ESTRUTURA!O213</f>
        <v/>
      </c>
      <c r="O212" s="111" t="str">
        <f>ESTRUTURA!Q213</f>
        <v/>
      </c>
      <c r="P212" s="113" t="str">
        <f>IF($M212="","",IF(M212=prazo_sub,1,IFERROR(TRUNC(ESTRUTURA!AE213/ESTRUTURA!AG212,6),0)*100))</f>
        <v/>
      </c>
      <c r="Q212" s="112"/>
    </row>
    <row r="213" spans="1:17" x14ac:dyDescent="0.3">
      <c r="A213" s="110" t="str">
        <f>IF(ESTRUTURA!A214&gt;prazo_se,"",ESTRUTURA!A214)</f>
        <v/>
      </c>
      <c r="B213" s="111" t="str">
        <f>ESTRUTURA!C214</f>
        <v/>
      </c>
      <c r="C213" s="111" t="str">
        <f>ESTRUTURA!E214</f>
        <v/>
      </c>
      <c r="D213" s="113" t="str">
        <f>IF($A213="","",IF(A213=prazo_se,1,IFERROR(TRUNC(ESTRUTURA!R214/ESTRUTURA!T213,6),0)*100))</f>
        <v/>
      </c>
      <c r="E213" s="112"/>
      <c r="G213" s="110" t="str">
        <f>IF(ESTRUTURA!A214&gt;prazo_subp,"",ESTRUTURA!A214)</f>
        <v/>
      </c>
      <c r="H213" s="111" t="str">
        <f>IF(G213="","",ESTRUTURA!C214)</f>
        <v/>
      </c>
      <c r="I213" s="111" t="str">
        <f>IF(G213="","",ESTRUTURA!E214)</f>
        <v/>
      </c>
      <c r="J213" s="113" t="str">
        <f>IF($G213="","",IF(G213=prazo_subp,1,IFERROR(TRUNC(ESTRUTURA!Y214/ESTRUTURA!AA213,6),0)*100))</f>
        <v/>
      </c>
      <c r="K213" s="112"/>
      <c r="M213" s="110" t="str">
        <f>ESTRUTURA!M214</f>
        <v/>
      </c>
      <c r="N213" s="111" t="str">
        <f>ESTRUTURA!O214</f>
        <v/>
      </c>
      <c r="O213" s="111" t="str">
        <f>ESTRUTURA!Q214</f>
        <v/>
      </c>
      <c r="P213" s="113" t="str">
        <f>IF($M213="","",IF(M213=prazo_sub,1,IFERROR(TRUNC(ESTRUTURA!AE214/ESTRUTURA!AG213,6),0)*100))</f>
        <v/>
      </c>
      <c r="Q213" s="112"/>
    </row>
    <row r="214" spans="1:17" x14ac:dyDescent="0.3">
      <c r="A214" s="110" t="str">
        <f>IF(ESTRUTURA!A215&gt;prazo_se,"",ESTRUTURA!A215)</f>
        <v/>
      </c>
      <c r="B214" s="111" t="str">
        <f>ESTRUTURA!C215</f>
        <v/>
      </c>
      <c r="C214" s="111" t="str">
        <f>ESTRUTURA!E215</f>
        <v/>
      </c>
      <c r="D214" s="113" t="str">
        <f>IF($A214="","",IF(A214=prazo_se,1,IFERROR(TRUNC(ESTRUTURA!R215/ESTRUTURA!T214,6),0)*100))</f>
        <v/>
      </c>
      <c r="E214" s="112"/>
      <c r="G214" s="110" t="str">
        <f>IF(ESTRUTURA!A215&gt;prazo_subp,"",ESTRUTURA!A215)</f>
        <v/>
      </c>
      <c r="H214" s="111" t="str">
        <f>IF(G214="","",ESTRUTURA!C215)</f>
        <v/>
      </c>
      <c r="I214" s="111" t="str">
        <f>IF(G214="","",ESTRUTURA!E215)</f>
        <v/>
      </c>
      <c r="J214" s="113" t="str">
        <f>IF($G214="","",IF(G214=prazo_subp,1,IFERROR(TRUNC(ESTRUTURA!Y215/ESTRUTURA!AA214,6),0)*100))</f>
        <v/>
      </c>
      <c r="K214" s="112"/>
      <c r="M214" s="110" t="str">
        <f>ESTRUTURA!M215</f>
        <v/>
      </c>
      <c r="N214" s="111" t="str">
        <f>ESTRUTURA!O215</f>
        <v/>
      </c>
      <c r="O214" s="111" t="str">
        <f>ESTRUTURA!Q215</f>
        <v/>
      </c>
      <c r="P214" s="113" t="str">
        <f>IF($M214="","",IF(M214=prazo_sub,1,IFERROR(TRUNC(ESTRUTURA!AE215/ESTRUTURA!AG214,6),0)*100))</f>
        <v/>
      </c>
      <c r="Q214" s="112"/>
    </row>
    <row r="215" spans="1:17" x14ac:dyDescent="0.3">
      <c r="A215" s="110" t="str">
        <f>IF(ESTRUTURA!A216&gt;prazo_se,"",ESTRUTURA!A216)</f>
        <v/>
      </c>
      <c r="B215" s="111" t="str">
        <f>ESTRUTURA!C216</f>
        <v/>
      </c>
      <c r="C215" s="111" t="str">
        <f>ESTRUTURA!E216</f>
        <v/>
      </c>
      <c r="D215" s="113" t="str">
        <f>IF($A215="","",IF(A215=prazo_se,1,IFERROR(TRUNC(ESTRUTURA!R216/ESTRUTURA!T215,6),0)*100))</f>
        <v/>
      </c>
      <c r="E215" s="112"/>
      <c r="G215" s="110" t="str">
        <f>IF(ESTRUTURA!A216&gt;prazo_subp,"",ESTRUTURA!A216)</f>
        <v/>
      </c>
      <c r="H215" s="111" t="str">
        <f>IF(G215="","",ESTRUTURA!C216)</f>
        <v/>
      </c>
      <c r="I215" s="111" t="str">
        <f>IF(G215="","",ESTRUTURA!E216)</f>
        <v/>
      </c>
      <c r="J215" s="113" t="str">
        <f>IF($G215="","",IF(G215=prazo_subp,1,IFERROR(TRUNC(ESTRUTURA!Y216/ESTRUTURA!AA215,6),0)*100))</f>
        <v/>
      </c>
      <c r="K215" s="112"/>
      <c r="M215" s="110" t="str">
        <f>ESTRUTURA!M216</f>
        <v/>
      </c>
      <c r="N215" s="111" t="str">
        <f>ESTRUTURA!O216</f>
        <v/>
      </c>
      <c r="O215" s="111" t="str">
        <f>ESTRUTURA!Q216</f>
        <v/>
      </c>
      <c r="P215" s="113" t="str">
        <f>IF($M215="","",IF(M215=prazo_sub,1,IFERROR(TRUNC(ESTRUTURA!AE216/ESTRUTURA!AG215,6),0)*100))</f>
        <v/>
      </c>
      <c r="Q215" s="112"/>
    </row>
    <row r="216" spans="1:17" x14ac:dyDescent="0.3">
      <c r="A216" s="110" t="str">
        <f>IF(ESTRUTURA!A217&gt;prazo_se,"",ESTRUTURA!A217)</f>
        <v/>
      </c>
      <c r="B216" s="111" t="str">
        <f>ESTRUTURA!C217</f>
        <v/>
      </c>
      <c r="C216" s="111" t="str">
        <f>ESTRUTURA!E217</f>
        <v/>
      </c>
      <c r="D216" s="113" t="str">
        <f>IF($A216="","",IF(A216=prazo_se,1,IFERROR(TRUNC(ESTRUTURA!R217/ESTRUTURA!T216,6),0)*100))</f>
        <v/>
      </c>
      <c r="E216" s="112"/>
      <c r="G216" s="110" t="str">
        <f>IF(ESTRUTURA!A217&gt;prazo_subp,"",ESTRUTURA!A217)</f>
        <v/>
      </c>
      <c r="H216" s="111" t="str">
        <f>IF(G216="","",ESTRUTURA!C217)</f>
        <v/>
      </c>
      <c r="I216" s="111" t="str">
        <f>IF(G216="","",ESTRUTURA!E217)</f>
        <v/>
      </c>
      <c r="J216" s="113" t="str">
        <f>IF($G216="","",IF(G216=prazo_subp,1,IFERROR(TRUNC(ESTRUTURA!Y217/ESTRUTURA!AA216,6),0)*100))</f>
        <v/>
      </c>
      <c r="K216" s="112"/>
      <c r="M216" s="110" t="str">
        <f>ESTRUTURA!M217</f>
        <v/>
      </c>
      <c r="N216" s="111" t="str">
        <f>ESTRUTURA!O217</f>
        <v/>
      </c>
      <c r="O216" s="111" t="str">
        <f>ESTRUTURA!Q217</f>
        <v/>
      </c>
      <c r="P216" s="113" t="str">
        <f>IF($M216="","",IF(M216=prazo_sub,1,IFERROR(TRUNC(ESTRUTURA!AE217/ESTRUTURA!AG216,6),0)*100))</f>
        <v/>
      </c>
      <c r="Q216" s="112"/>
    </row>
    <row r="217" spans="1:17" x14ac:dyDescent="0.3">
      <c r="A217" s="110" t="str">
        <f>IF(ESTRUTURA!A218&gt;prazo_se,"",ESTRUTURA!A218)</f>
        <v/>
      </c>
      <c r="B217" s="111" t="str">
        <f>ESTRUTURA!C218</f>
        <v/>
      </c>
      <c r="C217" s="111" t="str">
        <f>ESTRUTURA!E218</f>
        <v/>
      </c>
      <c r="D217" s="113" t="str">
        <f>IF($A217="","",IF(A217=prazo_se,1,IFERROR(TRUNC(ESTRUTURA!R218/ESTRUTURA!T217,6),0)*100))</f>
        <v/>
      </c>
      <c r="E217" s="112"/>
      <c r="G217" s="110" t="str">
        <f>IF(ESTRUTURA!A218&gt;prazo_subp,"",ESTRUTURA!A218)</f>
        <v/>
      </c>
      <c r="H217" s="111" t="str">
        <f>IF(G217="","",ESTRUTURA!C218)</f>
        <v/>
      </c>
      <c r="I217" s="111" t="str">
        <f>IF(G217="","",ESTRUTURA!E218)</f>
        <v/>
      </c>
      <c r="J217" s="113" t="str">
        <f>IF($G217="","",IF(G217=prazo_subp,1,IFERROR(TRUNC(ESTRUTURA!Y218/ESTRUTURA!AA217,6),0)*100))</f>
        <v/>
      </c>
      <c r="K217" s="112"/>
      <c r="M217" s="110" t="str">
        <f>ESTRUTURA!M218</f>
        <v/>
      </c>
      <c r="N217" s="111" t="str">
        <f>ESTRUTURA!O218</f>
        <v/>
      </c>
      <c r="O217" s="111" t="str">
        <f>ESTRUTURA!Q218</f>
        <v/>
      </c>
      <c r="P217" s="113" t="str">
        <f>IF($M217="","",IF(M217=prazo_sub,1,IFERROR(TRUNC(ESTRUTURA!AE218/ESTRUTURA!AG217,6),0)*100))</f>
        <v/>
      </c>
      <c r="Q217" s="112"/>
    </row>
    <row r="218" spans="1:17" x14ac:dyDescent="0.3">
      <c r="A218" s="110" t="str">
        <f>IF(ESTRUTURA!A219&gt;prazo_se,"",ESTRUTURA!A219)</f>
        <v/>
      </c>
      <c r="B218" s="111" t="str">
        <f>ESTRUTURA!C219</f>
        <v/>
      </c>
      <c r="C218" s="111" t="str">
        <f>ESTRUTURA!E219</f>
        <v/>
      </c>
      <c r="D218" s="113" t="str">
        <f>IF($A218="","",IF(A218=prazo_se,1,IFERROR(TRUNC(ESTRUTURA!R219/ESTRUTURA!T218,6),0)*100))</f>
        <v/>
      </c>
      <c r="E218" s="112"/>
      <c r="G218" s="110" t="str">
        <f>IF(ESTRUTURA!A219&gt;prazo_subp,"",ESTRUTURA!A219)</f>
        <v/>
      </c>
      <c r="H218" s="111" t="str">
        <f>IF(G218="","",ESTRUTURA!C219)</f>
        <v/>
      </c>
      <c r="I218" s="111" t="str">
        <f>IF(G218="","",ESTRUTURA!E219)</f>
        <v/>
      </c>
      <c r="J218" s="113" t="str">
        <f>IF($G218="","",IF(G218=prazo_subp,1,IFERROR(TRUNC(ESTRUTURA!Y219/ESTRUTURA!AA218,6),0)*100))</f>
        <v/>
      </c>
      <c r="K218" s="112"/>
      <c r="M218" s="110" t="str">
        <f>ESTRUTURA!M219</f>
        <v/>
      </c>
      <c r="N218" s="111" t="str">
        <f>ESTRUTURA!O219</f>
        <v/>
      </c>
      <c r="O218" s="111" t="str">
        <f>ESTRUTURA!Q219</f>
        <v/>
      </c>
      <c r="P218" s="113" t="str">
        <f>IF($M218="","",IF(M218=prazo_sub,1,IFERROR(TRUNC(ESTRUTURA!AE219/ESTRUTURA!AG218,6),0)*100))</f>
        <v/>
      </c>
      <c r="Q218" s="112"/>
    </row>
    <row r="219" spans="1:17" x14ac:dyDescent="0.3">
      <c r="A219" s="110" t="str">
        <f>IF(ESTRUTURA!A220&gt;prazo_se,"",ESTRUTURA!A220)</f>
        <v/>
      </c>
      <c r="B219" s="111" t="str">
        <f>ESTRUTURA!C220</f>
        <v/>
      </c>
      <c r="C219" s="111" t="str">
        <f>ESTRUTURA!E220</f>
        <v/>
      </c>
      <c r="D219" s="113" t="str">
        <f>IF($A219="","",IF(A219=prazo_se,1,IFERROR(TRUNC(ESTRUTURA!R220/ESTRUTURA!T219,6),0)*100))</f>
        <v/>
      </c>
      <c r="E219" s="112"/>
      <c r="G219" s="110" t="str">
        <f>IF(ESTRUTURA!A220&gt;prazo_subp,"",ESTRUTURA!A220)</f>
        <v/>
      </c>
      <c r="H219" s="111" t="str">
        <f>IF(G219="","",ESTRUTURA!C220)</f>
        <v/>
      </c>
      <c r="I219" s="111" t="str">
        <f>IF(G219="","",ESTRUTURA!E220)</f>
        <v/>
      </c>
      <c r="J219" s="113" t="str">
        <f>IF($G219="","",IF(G219=prazo_subp,1,IFERROR(TRUNC(ESTRUTURA!Y220/ESTRUTURA!AA219,6),0)*100))</f>
        <v/>
      </c>
      <c r="K219" s="112"/>
      <c r="M219" s="110" t="str">
        <f>ESTRUTURA!M220</f>
        <v/>
      </c>
      <c r="N219" s="111" t="str">
        <f>ESTRUTURA!O220</f>
        <v/>
      </c>
      <c r="O219" s="111" t="str">
        <f>ESTRUTURA!Q220</f>
        <v/>
      </c>
      <c r="P219" s="113" t="str">
        <f>IF($M219="","",IF(M219=prazo_sub,1,IFERROR(TRUNC(ESTRUTURA!AE220/ESTRUTURA!AG219,6),0)*100))</f>
        <v/>
      </c>
      <c r="Q219" s="112"/>
    </row>
    <row r="220" spans="1:17" x14ac:dyDescent="0.3">
      <c r="A220" s="110" t="str">
        <f>IF(ESTRUTURA!A221&gt;prazo_se,"",ESTRUTURA!A221)</f>
        <v/>
      </c>
      <c r="B220" s="111" t="str">
        <f>ESTRUTURA!C221</f>
        <v/>
      </c>
      <c r="C220" s="111" t="str">
        <f>ESTRUTURA!E221</f>
        <v/>
      </c>
      <c r="D220" s="113" t="str">
        <f>IF($A220="","",IF(A220=prazo_se,1,IFERROR(TRUNC(ESTRUTURA!R221/ESTRUTURA!T220,6),0)*100))</f>
        <v/>
      </c>
      <c r="E220" s="112"/>
      <c r="G220" s="110" t="str">
        <f>IF(ESTRUTURA!A221&gt;prazo_subp,"",ESTRUTURA!A221)</f>
        <v/>
      </c>
      <c r="H220" s="111" t="str">
        <f>IF(G220="","",ESTRUTURA!C221)</f>
        <v/>
      </c>
      <c r="I220" s="111" t="str">
        <f>IF(G220="","",ESTRUTURA!E221)</f>
        <v/>
      </c>
      <c r="J220" s="113" t="str">
        <f>IF($G220="","",IF(G220=prazo_subp,1,IFERROR(TRUNC(ESTRUTURA!Y221/ESTRUTURA!AA220,6),0)*100))</f>
        <v/>
      </c>
      <c r="K220" s="112"/>
      <c r="M220" s="110" t="str">
        <f>ESTRUTURA!M221</f>
        <v/>
      </c>
      <c r="N220" s="111" t="str">
        <f>ESTRUTURA!O221</f>
        <v/>
      </c>
      <c r="O220" s="111" t="str">
        <f>ESTRUTURA!Q221</f>
        <v/>
      </c>
      <c r="P220" s="113" t="str">
        <f>IF($M220="","",IF(M220=prazo_sub,1,IFERROR(TRUNC(ESTRUTURA!AE221/ESTRUTURA!AG220,6),0)*100))</f>
        <v/>
      </c>
      <c r="Q220" s="112"/>
    </row>
    <row r="221" spans="1:17" x14ac:dyDescent="0.3">
      <c r="A221" s="110" t="str">
        <f>IF(ESTRUTURA!A222&gt;prazo_se,"",ESTRUTURA!A222)</f>
        <v/>
      </c>
      <c r="B221" s="111" t="str">
        <f>ESTRUTURA!C222</f>
        <v/>
      </c>
      <c r="C221" s="111" t="str">
        <f>ESTRUTURA!E222</f>
        <v/>
      </c>
      <c r="D221" s="113" t="str">
        <f>IF($A221="","",IF(A221=prazo_se,1,IFERROR(TRUNC(ESTRUTURA!R222/ESTRUTURA!T221,6),0)*100))</f>
        <v/>
      </c>
      <c r="E221" s="112"/>
      <c r="G221" s="110" t="str">
        <f>IF(ESTRUTURA!A222&gt;prazo_subp,"",ESTRUTURA!A222)</f>
        <v/>
      </c>
      <c r="H221" s="111" t="str">
        <f>IF(G221="","",ESTRUTURA!C222)</f>
        <v/>
      </c>
      <c r="I221" s="111" t="str">
        <f>IF(G221="","",ESTRUTURA!E222)</f>
        <v/>
      </c>
      <c r="J221" s="113" t="str">
        <f>IF($G221="","",IF(G221=prazo_subp,1,IFERROR(TRUNC(ESTRUTURA!Y222/ESTRUTURA!AA221,6),0)*100))</f>
        <v/>
      </c>
      <c r="K221" s="112"/>
      <c r="M221" s="110" t="str">
        <f>ESTRUTURA!M222</f>
        <v/>
      </c>
      <c r="N221" s="111" t="str">
        <f>ESTRUTURA!O222</f>
        <v/>
      </c>
      <c r="O221" s="111" t="str">
        <f>ESTRUTURA!Q222</f>
        <v/>
      </c>
      <c r="P221" s="113" t="str">
        <f>IF($M221="","",IF(M221=prazo_sub,1,IFERROR(TRUNC(ESTRUTURA!AE222/ESTRUTURA!AG221,6),0)*100))</f>
        <v/>
      </c>
      <c r="Q221" s="112"/>
    </row>
    <row r="222" spans="1:17" x14ac:dyDescent="0.3">
      <c r="A222" s="110" t="str">
        <f>IF(ESTRUTURA!A223&gt;prazo_se,"",ESTRUTURA!A223)</f>
        <v/>
      </c>
      <c r="B222" s="111" t="str">
        <f>ESTRUTURA!C223</f>
        <v/>
      </c>
      <c r="C222" s="111" t="str">
        <f>ESTRUTURA!E223</f>
        <v/>
      </c>
      <c r="D222" s="113" t="str">
        <f>IF($A222="","",IF(A222=prazo_se,1,IFERROR(TRUNC(ESTRUTURA!R223/ESTRUTURA!T222,6),0)*100))</f>
        <v/>
      </c>
      <c r="E222" s="112"/>
      <c r="G222" s="110" t="str">
        <f>IF(ESTRUTURA!A223&gt;prazo_subp,"",ESTRUTURA!A223)</f>
        <v/>
      </c>
      <c r="H222" s="111" t="str">
        <f>IF(G222="","",ESTRUTURA!C223)</f>
        <v/>
      </c>
      <c r="I222" s="111" t="str">
        <f>IF(G222="","",ESTRUTURA!E223)</f>
        <v/>
      </c>
      <c r="J222" s="113" t="str">
        <f>IF($G222="","",IF(G222=prazo_subp,1,IFERROR(TRUNC(ESTRUTURA!Y223/ESTRUTURA!AA222,6),0)*100))</f>
        <v/>
      </c>
      <c r="K222" s="112"/>
      <c r="M222" s="110" t="str">
        <f>ESTRUTURA!M223</f>
        <v/>
      </c>
      <c r="N222" s="111" t="str">
        <f>ESTRUTURA!O223</f>
        <v/>
      </c>
      <c r="O222" s="111" t="str">
        <f>ESTRUTURA!Q223</f>
        <v/>
      </c>
      <c r="P222" s="113" t="str">
        <f>IF($M222="","",IF(M222=prazo_sub,1,IFERROR(TRUNC(ESTRUTURA!AE223/ESTRUTURA!AG222,6),0)*100))</f>
        <v/>
      </c>
      <c r="Q222" s="112"/>
    </row>
    <row r="223" spans="1:17" x14ac:dyDescent="0.3">
      <c r="A223" s="110" t="str">
        <f>IF(ESTRUTURA!A224&gt;prazo_se,"",ESTRUTURA!A224)</f>
        <v/>
      </c>
      <c r="B223" s="111" t="str">
        <f>ESTRUTURA!C224</f>
        <v/>
      </c>
      <c r="C223" s="111" t="str">
        <f>ESTRUTURA!E224</f>
        <v/>
      </c>
      <c r="D223" s="113" t="str">
        <f>IF($A223="","",IF(A223=prazo_se,1,IFERROR(TRUNC(ESTRUTURA!R224/ESTRUTURA!T223,6),0)*100))</f>
        <v/>
      </c>
      <c r="E223" s="112"/>
      <c r="G223" s="110" t="str">
        <f>IF(ESTRUTURA!A224&gt;prazo_subp,"",ESTRUTURA!A224)</f>
        <v/>
      </c>
      <c r="H223" s="111" t="str">
        <f>IF(G223="","",ESTRUTURA!C224)</f>
        <v/>
      </c>
      <c r="I223" s="111" t="str">
        <f>IF(G223="","",ESTRUTURA!E224)</f>
        <v/>
      </c>
      <c r="J223" s="113" t="str">
        <f>IF($G223="","",IF(G223=prazo_subp,1,IFERROR(TRUNC(ESTRUTURA!Y224/ESTRUTURA!AA223,6),0)*100))</f>
        <v/>
      </c>
      <c r="K223" s="112"/>
      <c r="M223" s="110" t="str">
        <f>ESTRUTURA!M224</f>
        <v/>
      </c>
      <c r="N223" s="111" t="str">
        <f>ESTRUTURA!O224</f>
        <v/>
      </c>
      <c r="O223" s="111" t="str">
        <f>ESTRUTURA!Q224</f>
        <v/>
      </c>
      <c r="P223" s="113" t="str">
        <f>IF($M223="","",IF(M223=prazo_sub,1,IFERROR(TRUNC(ESTRUTURA!AE224/ESTRUTURA!AG223,6),0)*100))</f>
        <v/>
      </c>
      <c r="Q223" s="112"/>
    </row>
    <row r="224" spans="1:17" x14ac:dyDescent="0.3">
      <c r="A224" s="110" t="str">
        <f>IF(ESTRUTURA!A225&gt;prazo_se,"",ESTRUTURA!A225)</f>
        <v/>
      </c>
      <c r="B224" s="111" t="str">
        <f>ESTRUTURA!C225</f>
        <v/>
      </c>
      <c r="C224" s="111" t="str">
        <f>ESTRUTURA!E225</f>
        <v/>
      </c>
      <c r="D224" s="113" t="str">
        <f>IF($A224="","",IF(A224=prazo_se,1,IFERROR(TRUNC(ESTRUTURA!R225/ESTRUTURA!T224,6),0)*100))</f>
        <v/>
      </c>
      <c r="E224" s="112"/>
      <c r="G224" s="110" t="str">
        <f>IF(ESTRUTURA!A225&gt;prazo_subp,"",ESTRUTURA!A225)</f>
        <v/>
      </c>
      <c r="H224" s="111" t="str">
        <f>IF(G224="","",ESTRUTURA!C225)</f>
        <v/>
      </c>
      <c r="I224" s="111" t="str">
        <f>IF(G224="","",ESTRUTURA!E225)</f>
        <v/>
      </c>
      <c r="J224" s="113" t="str">
        <f>IF($G224="","",IF(G224=prazo_subp,1,IFERROR(TRUNC(ESTRUTURA!Y225/ESTRUTURA!AA224,6),0)*100))</f>
        <v/>
      </c>
      <c r="K224" s="112"/>
      <c r="M224" s="110" t="str">
        <f>ESTRUTURA!M225</f>
        <v/>
      </c>
      <c r="N224" s="111" t="str">
        <f>ESTRUTURA!O225</f>
        <v/>
      </c>
      <c r="O224" s="111" t="str">
        <f>ESTRUTURA!Q225</f>
        <v/>
      </c>
      <c r="P224" s="113" t="str">
        <f>IF($M224="","",IF(M224=prazo_sub,1,IFERROR(TRUNC(ESTRUTURA!AE225/ESTRUTURA!AG224,6),0)*100))</f>
        <v/>
      </c>
      <c r="Q224" s="112"/>
    </row>
    <row r="225" spans="1:17" x14ac:dyDescent="0.3">
      <c r="A225" s="110" t="str">
        <f>IF(ESTRUTURA!A226&gt;prazo_se,"",ESTRUTURA!A226)</f>
        <v/>
      </c>
      <c r="B225" s="111" t="str">
        <f>ESTRUTURA!C226</f>
        <v/>
      </c>
      <c r="C225" s="111" t="str">
        <f>ESTRUTURA!E226</f>
        <v/>
      </c>
      <c r="D225" s="113" t="str">
        <f>IF($A225="","",IF(A225=prazo_se,1,IFERROR(TRUNC(ESTRUTURA!R226/ESTRUTURA!T225,6),0)*100))</f>
        <v/>
      </c>
      <c r="E225" s="112"/>
      <c r="G225" s="110" t="str">
        <f>IF(ESTRUTURA!A226&gt;prazo_subp,"",ESTRUTURA!A226)</f>
        <v/>
      </c>
      <c r="H225" s="111" t="str">
        <f>IF(G225="","",ESTRUTURA!C226)</f>
        <v/>
      </c>
      <c r="I225" s="111" t="str">
        <f>IF(G225="","",ESTRUTURA!E226)</f>
        <v/>
      </c>
      <c r="J225" s="113" t="str">
        <f>IF($G225="","",IF(G225=prazo_subp,1,IFERROR(TRUNC(ESTRUTURA!Y226/ESTRUTURA!AA225,6),0)*100))</f>
        <v/>
      </c>
      <c r="K225" s="112"/>
      <c r="M225" s="110" t="str">
        <f>ESTRUTURA!M226</f>
        <v/>
      </c>
      <c r="N225" s="111" t="str">
        <f>ESTRUTURA!O226</f>
        <v/>
      </c>
      <c r="O225" s="111" t="str">
        <f>ESTRUTURA!Q226</f>
        <v/>
      </c>
      <c r="P225" s="113" t="str">
        <f>IF($M225="","",IF(M225=prazo_sub,1,IFERROR(TRUNC(ESTRUTURA!AE226/ESTRUTURA!AG225,6),0)*100))</f>
        <v/>
      </c>
      <c r="Q225" s="112"/>
    </row>
    <row r="226" spans="1:17" x14ac:dyDescent="0.3">
      <c r="A226" s="110" t="str">
        <f>IF(ESTRUTURA!A227&gt;prazo_se,"",ESTRUTURA!A227)</f>
        <v/>
      </c>
      <c r="B226" s="111" t="str">
        <f>ESTRUTURA!C227</f>
        <v/>
      </c>
      <c r="C226" s="111" t="str">
        <f>ESTRUTURA!E227</f>
        <v/>
      </c>
      <c r="D226" s="113" t="str">
        <f>IF($A226="","",IF(A226=prazo_se,1,IFERROR(TRUNC(ESTRUTURA!R227/ESTRUTURA!T226,6),0)*100))</f>
        <v/>
      </c>
      <c r="E226" s="112"/>
      <c r="G226" s="110" t="str">
        <f>IF(ESTRUTURA!A227&gt;prazo_subp,"",ESTRUTURA!A227)</f>
        <v/>
      </c>
      <c r="H226" s="111" t="str">
        <f>IF(G226="","",ESTRUTURA!C227)</f>
        <v/>
      </c>
      <c r="I226" s="111" t="str">
        <f>IF(G226="","",ESTRUTURA!E227)</f>
        <v/>
      </c>
      <c r="J226" s="113" t="str">
        <f>IF($G226="","",IF(G226=prazo_subp,1,IFERROR(TRUNC(ESTRUTURA!Y227/ESTRUTURA!AA226,6),0)*100))</f>
        <v/>
      </c>
      <c r="K226" s="112"/>
      <c r="M226" s="110" t="str">
        <f>ESTRUTURA!M227</f>
        <v/>
      </c>
      <c r="N226" s="111" t="str">
        <f>ESTRUTURA!O227</f>
        <v/>
      </c>
      <c r="O226" s="111" t="str">
        <f>ESTRUTURA!Q227</f>
        <v/>
      </c>
      <c r="P226" s="113" t="str">
        <f>IF($M226="","",IF(M226=prazo_sub,1,IFERROR(TRUNC(ESTRUTURA!AE227/ESTRUTURA!AG226,6),0)*100))</f>
        <v/>
      </c>
      <c r="Q226" s="112"/>
    </row>
    <row r="227" spans="1:17" x14ac:dyDescent="0.3">
      <c r="A227" s="110" t="str">
        <f>IF(ESTRUTURA!A228&gt;prazo_se,"",ESTRUTURA!A228)</f>
        <v/>
      </c>
      <c r="B227" s="111" t="str">
        <f>ESTRUTURA!C228</f>
        <v/>
      </c>
      <c r="C227" s="111" t="str">
        <f>ESTRUTURA!E228</f>
        <v/>
      </c>
      <c r="D227" s="113" t="str">
        <f>IF($A227="","",IF(A227=prazo_se,1,IFERROR(TRUNC(ESTRUTURA!R228/ESTRUTURA!T227,6),0)*100))</f>
        <v/>
      </c>
      <c r="E227" s="112"/>
      <c r="G227" s="110" t="str">
        <f>IF(ESTRUTURA!A228&gt;prazo_subp,"",ESTRUTURA!A228)</f>
        <v/>
      </c>
      <c r="H227" s="111" t="str">
        <f>IF(G227="","",ESTRUTURA!C228)</f>
        <v/>
      </c>
      <c r="I227" s="111" t="str">
        <f>IF(G227="","",ESTRUTURA!E228)</f>
        <v/>
      </c>
      <c r="J227" s="113" t="str">
        <f>IF($G227="","",IF(G227=prazo_subp,1,IFERROR(TRUNC(ESTRUTURA!Y228/ESTRUTURA!AA227,6),0)*100))</f>
        <v/>
      </c>
      <c r="K227" s="112"/>
      <c r="M227" s="110" t="str">
        <f>ESTRUTURA!M228</f>
        <v/>
      </c>
      <c r="N227" s="111" t="str">
        <f>ESTRUTURA!O228</f>
        <v/>
      </c>
      <c r="O227" s="111" t="str">
        <f>ESTRUTURA!Q228</f>
        <v/>
      </c>
      <c r="P227" s="113" t="str">
        <f>IF($M227="","",IF(M227=prazo_sub,1,IFERROR(TRUNC(ESTRUTURA!AE228/ESTRUTURA!AG227,6),0)*100))</f>
        <v/>
      </c>
      <c r="Q227" s="112"/>
    </row>
    <row r="228" spans="1:17" x14ac:dyDescent="0.3">
      <c r="A228" s="110" t="str">
        <f>IF(ESTRUTURA!A229&gt;prazo_se,"",ESTRUTURA!A229)</f>
        <v/>
      </c>
      <c r="B228" s="111" t="str">
        <f>ESTRUTURA!C229</f>
        <v/>
      </c>
      <c r="C228" s="111" t="str">
        <f>ESTRUTURA!E229</f>
        <v/>
      </c>
      <c r="D228" s="113" t="str">
        <f>IF($A228="","",IF(A228=prazo_se,1,IFERROR(TRUNC(ESTRUTURA!R229/ESTRUTURA!T228,6),0)*100))</f>
        <v/>
      </c>
      <c r="E228" s="112"/>
      <c r="G228" s="110" t="str">
        <f>IF(ESTRUTURA!A229&gt;prazo_subp,"",ESTRUTURA!A229)</f>
        <v/>
      </c>
      <c r="H228" s="111" t="str">
        <f>IF(G228="","",ESTRUTURA!C229)</f>
        <v/>
      </c>
      <c r="I228" s="111" t="str">
        <f>IF(G228="","",ESTRUTURA!E229)</f>
        <v/>
      </c>
      <c r="J228" s="113" t="str">
        <f>IF($G228="","",IF(G228=prazo_subp,1,IFERROR(TRUNC(ESTRUTURA!Y229/ESTRUTURA!AA228,6),0)*100))</f>
        <v/>
      </c>
      <c r="K228" s="112"/>
      <c r="M228" s="110" t="str">
        <f>ESTRUTURA!M229</f>
        <v/>
      </c>
      <c r="N228" s="111" t="str">
        <f>ESTRUTURA!O229</f>
        <v/>
      </c>
      <c r="O228" s="111" t="str">
        <f>ESTRUTURA!Q229</f>
        <v/>
      </c>
      <c r="P228" s="113" t="str">
        <f>IF($M228="","",IF(M228=prazo_sub,1,IFERROR(TRUNC(ESTRUTURA!AE229/ESTRUTURA!AG228,6),0)*100))</f>
        <v/>
      </c>
      <c r="Q228" s="112"/>
    </row>
    <row r="229" spans="1:17" x14ac:dyDescent="0.3">
      <c r="A229" s="110" t="str">
        <f>IF(ESTRUTURA!A230&gt;prazo_se,"",ESTRUTURA!A230)</f>
        <v/>
      </c>
      <c r="B229" s="111" t="str">
        <f>ESTRUTURA!C230</f>
        <v/>
      </c>
      <c r="C229" s="111" t="str">
        <f>ESTRUTURA!E230</f>
        <v/>
      </c>
      <c r="D229" s="113" t="str">
        <f>IF($A229="","",IF(A229=prazo_se,1,IFERROR(TRUNC(ESTRUTURA!R230/ESTRUTURA!T229,6),0)*100))</f>
        <v/>
      </c>
      <c r="E229" s="112"/>
      <c r="G229" s="110" t="str">
        <f>IF(ESTRUTURA!A230&gt;prazo_subp,"",ESTRUTURA!A230)</f>
        <v/>
      </c>
      <c r="H229" s="111" t="str">
        <f>IF(G229="","",ESTRUTURA!C230)</f>
        <v/>
      </c>
      <c r="I229" s="111" t="str">
        <f>IF(G229="","",ESTRUTURA!E230)</f>
        <v/>
      </c>
      <c r="J229" s="113" t="str">
        <f>IF($G229="","",IF(G229=prazo_subp,1,IFERROR(TRUNC(ESTRUTURA!Y230/ESTRUTURA!AA229,6),0)*100))</f>
        <v/>
      </c>
      <c r="K229" s="112"/>
      <c r="M229" s="110" t="str">
        <f>ESTRUTURA!M230</f>
        <v/>
      </c>
      <c r="N229" s="111" t="str">
        <f>ESTRUTURA!O230</f>
        <v/>
      </c>
      <c r="O229" s="111" t="str">
        <f>ESTRUTURA!Q230</f>
        <v/>
      </c>
      <c r="P229" s="113" t="str">
        <f>IF($M229="","",IF(M229=prazo_sub,1,IFERROR(TRUNC(ESTRUTURA!AE230/ESTRUTURA!AG229,6),0)*100))</f>
        <v/>
      </c>
      <c r="Q229" s="112"/>
    </row>
    <row r="230" spans="1:17" x14ac:dyDescent="0.3">
      <c r="A230" s="110" t="str">
        <f>IF(ESTRUTURA!A231&gt;prazo_se,"",ESTRUTURA!A231)</f>
        <v/>
      </c>
      <c r="B230" s="111" t="str">
        <f>ESTRUTURA!C231</f>
        <v/>
      </c>
      <c r="C230" s="111" t="str">
        <f>ESTRUTURA!E231</f>
        <v/>
      </c>
      <c r="D230" s="113" t="str">
        <f>IF($A230="","",IF(A230=prazo_se,1,IFERROR(TRUNC(ESTRUTURA!R231/ESTRUTURA!T230,6),0)*100))</f>
        <v/>
      </c>
      <c r="E230" s="112"/>
      <c r="G230" s="110" t="str">
        <f>IF(ESTRUTURA!A231&gt;prazo_subp,"",ESTRUTURA!A231)</f>
        <v/>
      </c>
      <c r="H230" s="111" t="str">
        <f>IF(G230="","",ESTRUTURA!C231)</f>
        <v/>
      </c>
      <c r="I230" s="111" t="str">
        <f>IF(G230="","",ESTRUTURA!E231)</f>
        <v/>
      </c>
      <c r="J230" s="113" t="str">
        <f>IF($G230="","",IF(G230=prazo_subp,1,IFERROR(TRUNC(ESTRUTURA!Y231/ESTRUTURA!AA230,6),0)*100))</f>
        <v/>
      </c>
      <c r="K230" s="112"/>
      <c r="M230" s="110" t="str">
        <f>ESTRUTURA!M231</f>
        <v/>
      </c>
      <c r="N230" s="111" t="str">
        <f>ESTRUTURA!O231</f>
        <v/>
      </c>
      <c r="O230" s="111" t="str">
        <f>ESTRUTURA!Q231</f>
        <v/>
      </c>
      <c r="P230" s="113" t="str">
        <f>IF($M230="","",IF(M230=prazo_sub,1,IFERROR(TRUNC(ESTRUTURA!AE231/ESTRUTURA!AG230,6),0)*100))</f>
        <v/>
      </c>
      <c r="Q230" s="112"/>
    </row>
    <row r="231" spans="1:17" x14ac:dyDescent="0.3">
      <c r="A231" s="110" t="str">
        <f>IF(ESTRUTURA!A232&gt;prazo_se,"",ESTRUTURA!A232)</f>
        <v/>
      </c>
      <c r="B231" s="111" t="str">
        <f>ESTRUTURA!C232</f>
        <v/>
      </c>
      <c r="C231" s="111" t="str">
        <f>ESTRUTURA!E232</f>
        <v/>
      </c>
      <c r="D231" s="113" t="str">
        <f>IF($A231="","",IF(A231=prazo_se,1,IFERROR(TRUNC(ESTRUTURA!R232/ESTRUTURA!T231,6),0)*100))</f>
        <v/>
      </c>
      <c r="E231" s="112"/>
      <c r="G231" s="110" t="str">
        <f>IF(ESTRUTURA!A232&gt;prazo_subp,"",ESTRUTURA!A232)</f>
        <v/>
      </c>
      <c r="H231" s="111" t="str">
        <f>IF(G231="","",ESTRUTURA!C232)</f>
        <v/>
      </c>
      <c r="I231" s="111" t="str">
        <f>IF(G231="","",ESTRUTURA!E232)</f>
        <v/>
      </c>
      <c r="J231" s="113" t="str">
        <f>IF($G231="","",IF(G231=prazo_subp,1,IFERROR(TRUNC(ESTRUTURA!Y232/ESTRUTURA!AA231,6),0)*100))</f>
        <v/>
      </c>
      <c r="K231" s="112"/>
      <c r="M231" s="110" t="str">
        <f>ESTRUTURA!M232</f>
        <v/>
      </c>
      <c r="N231" s="111" t="str">
        <f>ESTRUTURA!O232</f>
        <v/>
      </c>
      <c r="O231" s="111" t="str">
        <f>ESTRUTURA!Q232</f>
        <v/>
      </c>
      <c r="P231" s="113" t="str">
        <f>IF($M231="","",IF(M231=prazo_sub,1,IFERROR(TRUNC(ESTRUTURA!AE232/ESTRUTURA!AG231,6),0)*100))</f>
        <v/>
      </c>
      <c r="Q231" s="112"/>
    </row>
    <row r="232" spans="1:17" x14ac:dyDescent="0.3">
      <c r="A232" s="110" t="str">
        <f>IF(ESTRUTURA!A233&gt;prazo_se,"",ESTRUTURA!A233)</f>
        <v/>
      </c>
      <c r="B232" s="111" t="str">
        <f>ESTRUTURA!C233</f>
        <v/>
      </c>
      <c r="C232" s="111" t="str">
        <f>ESTRUTURA!E233</f>
        <v/>
      </c>
      <c r="D232" s="113" t="str">
        <f>IF($A232="","",IF(A232=prazo_se,1,IFERROR(TRUNC(ESTRUTURA!R233/ESTRUTURA!T232,6),0)*100))</f>
        <v/>
      </c>
      <c r="E232" s="112"/>
      <c r="G232" s="110" t="str">
        <f>IF(ESTRUTURA!A233&gt;prazo_subp,"",ESTRUTURA!A233)</f>
        <v/>
      </c>
      <c r="H232" s="111" t="str">
        <f>IF(G232="","",ESTRUTURA!C233)</f>
        <v/>
      </c>
      <c r="I232" s="111" t="str">
        <f>IF(G232="","",ESTRUTURA!E233)</f>
        <v/>
      </c>
      <c r="J232" s="113" t="str">
        <f>IF($G232="","",IF(G232=prazo_subp,1,IFERROR(TRUNC(ESTRUTURA!Y233/ESTRUTURA!AA232,6),0)*100))</f>
        <v/>
      </c>
      <c r="K232" s="112"/>
      <c r="M232" s="110" t="str">
        <f>ESTRUTURA!M233</f>
        <v/>
      </c>
      <c r="N232" s="111" t="str">
        <f>ESTRUTURA!O233</f>
        <v/>
      </c>
      <c r="O232" s="111" t="str">
        <f>ESTRUTURA!Q233</f>
        <v/>
      </c>
      <c r="P232" s="113" t="str">
        <f>IF($M232="","",IF(M232=prazo_sub,1,IFERROR(TRUNC(ESTRUTURA!AE233/ESTRUTURA!AG232,6),0)*100))</f>
        <v/>
      </c>
      <c r="Q232" s="112"/>
    </row>
    <row r="233" spans="1:17" x14ac:dyDescent="0.3">
      <c r="A233" s="110" t="str">
        <f>IF(ESTRUTURA!A234&gt;prazo_se,"",ESTRUTURA!A234)</f>
        <v/>
      </c>
      <c r="B233" s="111" t="str">
        <f>ESTRUTURA!C234</f>
        <v/>
      </c>
      <c r="C233" s="111" t="str">
        <f>ESTRUTURA!E234</f>
        <v/>
      </c>
      <c r="D233" s="113" t="str">
        <f>IF($A233="","",IF(A233=prazo_se,1,IFERROR(TRUNC(ESTRUTURA!R234/ESTRUTURA!T233,6),0)*100))</f>
        <v/>
      </c>
      <c r="E233" s="112"/>
      <c r="G233" s="110" t="str">
        <f>IF(ESTRUTURA!A234&gt;prazo_subp,"",ESTRUTURA!A234)</f>
        <v/>
      </c>
      <c r="H233" s="111" t="str">
        <f>IF(G233="","",ESTRUTURA!C234)</f>
        <v/>
      </c>
      <c r="I233" s="111" t="str">
        <f>IF(G233="","",ESTRUTURA!E234)</f>
        <v/>
      </c>
      <c r="J233" s="113" t="str">
        <f>IF($G233="","",IF(G233=prazo_subp,1,IFERROR(TRUNC(ESTRUTURA!Y234/ESTRUTURA!AA233,6),0)*100))</f>
        <v/>
      </c>
      <c r="K233" s="112"/>
      <c r="M233" s="110" t="str">
        <f>ESTRUTURA!M234</f>
        <v/>
      </c>
      <c r="N233" s="111" t="str">
        <f>ESTRUTURA!O234</f>
        <v/>
      </c>
      <c r="O233" s="111" t="str">
        <f>ESTRUTURA!Q234</f>
        <v/>
      </c>
      <c r="P233" s="113" t="str">
        <f>IF($M233="","",IF(M233=prazo_sub,1,IFERROR(TRUNC(ESTRUTURA!AE234/ESTRUTURA!AG233,6),0)*100))</f>
        <v/>
      </c>
      <c r="Q233" s="112"/>
    </row>
    <row r="234" spans="1:17" x14ac:dyDescent="0.3">
      <c r="A234" s="110" t="str">
        <f>IF(ESTRUTURA!A235&gt;prazo_se,"",ESTRUTURA!A235)</f>
        <v/>
      </c>
      <c r="B234" s="111" t="str">
        <f>ESTRUTURA!C235</f>
        <v/>
      </c>
      <c r="C234" s="111" t="str">
        <f>ESTRUTURA!E235</f>
        <v/>
      </c>
      <c r="D234" s="113" t="str">
        <f>IF($A234="","",IF(A234=prazo_se,1,IFERROR(TRUNC(ESTRUTURA!R235/ESTRUTURA!T234,6),0)*100))</f>
        <v/>
      </c>
      <c r="E234" s="112"/>
      <c r="G234" s="110" t="str">
        <f>IF(ESTRUTURA!A235&gt;prazo_subp,"",ESTRUTURA!A235)</f>
        <v/>
      </c>
      <c r="H234" s="111" t="str">
        <f>IF(G234="","",ESTRUTURA!C235)</f>
        <v/>
      </c>
      <c r="I234" s="111" t="str">
        <f>IF(G234="","",ESTRUTURA!E235)</f>
        <v/>
      </c>
      <c r="J234" s="113" t="str">
        <f>IF($G234="","",IF(G234=prazo_subp,1,IFERROR(TRUNC(ESTRUTURA!Y235/ESTRUTURA!AA234,6),0)*100))</f>
        <v/>
      </c>
      <c r="K234" s="112"/>
      <c r="M234" s="110" t="str">
        <f>ESTRUTURA!M235</f>
        <v/>
      </c>
      <c r="N234" s="111" t="str">
        <f>ESTRUTURA!O235</f>
        <v/>
      </c>
      <c r="O234" s="111" t="str">
        <f>ESTRUTURA!Q235</f>
        <v/>
      </c>
      <c r="P234" s="113" t="str">
        <f>IF($M234="","",IF(M234=prazo_sub,1,IFERROR(TRUNC(ESTRUTURA!AE235/ESTRUTURA!AG234,6),0)*100))</f>
        <v/>
      </c>
      <c r="Q234" s="112"/>
    </row>
    <row r="235" spans="1:17" x14ac:dyDescent="0.3">
      <c r="A235" s="110" t="str">
        <f>IF(ESTRUTURA!A236&gt;prazo_se,"",ESTRUTURA!A236)</f>
        <v/>
      </c>
      <c r="B235" s="111" t="str">
        <f>ESTRUTURA!C236</f>
        <v/>
      </c>
      <c r="C235" s="111" t="str">
        <f>ESTRUTURA!E236</f>
        <v/>
      </c>
      <c r="D235" s="113" t="str">
        <f>IF($A235="","",IF(A235=prazo_se,1,IFERROR(TRUNC(ESTRUTURA!R236/ESTRUTURA!T235,6),0)*100))</f>
        <v/>
      </c>
      <c r="E235" s="112"/>
      <c r="G235" s="110" t="str">
        <f>IF(ESTRUTURA!A236&gt;prazo_subp,"",ESTRUTURA!A236)</f>
        <v/>
      </c>
      <c r="H235" s="111" t="str">
        <f>IF(G235="","",ESTRUTURA!C236)</f>
        <v/>
      </c>
      <c r="I235" s="111" t="str">
        <f>IF(G235="","",ESTRUTURA!E236)</f>
        <v/>
      </c>
      <c r="J235" s="113" t="str">
        <f>IF($G235="","",IF(G235=prazo_subp,1,IFERROR(TRUNC(ESTRUTURA!Y236/ESTRUTURA!AA235,6),0)*100))</f>
        <v/>
      </c>
      <c r="K235" s="112"/>
      <c r="M235" s="110" t="str">
        <f>ESTRUTURA!M236</f>
        <v/>
      </c>
      <c r="N235" s="111" t="str">
        <f>ESTRUTURA!O236</f>
        <v/>
      </c>
      <c r="O235" s="111" t="str">
        <f>ESTRUTURA!Q236</f>
        <v/>
      </c>
      <c r="P235" s="113" t="str">
        <f>IF($M235="","",IF(M235=prazo_sub,1,IFERROR(TRUNC(ESTRUTURA!AE236/ESTRUTURA!AG235,6),0)*100))</f>
        <v/>
      </c>
      <c r="Q235" s="112"/>
    </row>
    <row r="236" spans="1:17" x14ac:dyDescent="0.3">
      <c r="A236" s="110" t="str">
        <f>IF(ESTRUTURA!A237&gt;prazo_se,"",ESTRUTURA!A237)</f>
        <v/>
      </c>
      <c r="B236" s="111" t="str">
        <f>ESTRUTURA!C237</f>
        <v/>
      </c>
      <c r="C236" s="111" t="str">
        <f>ESTRUTURA!E237</f>
        <v/>
      </c>
      <c r="D236" s="113" t="str">
        <f>IF($A236="","",IF(A236=prazo_se,1,IFERROR(TRUNC(ESTRUTURA!R237/ESTRUTURA!T236,6),0)*100))</f>
        <v/>
      </c>
      <c r="E236" s="112"/>
      <c r="G236" s="110" t="str">
        <f>IF(ESTRUTURA!A237&gt;prazo_subp,"",ESTRUTURA!A237)</f>
        <v/>
      </c>
      <c r="H236" s="111" t="str">
        <f>IF(G236="","",ESTRUTURA!C237)</f>
        <v/>
      </c>
      <c r="I236" s="111" t="str">
        <f>IF(G236="","",ESTRUTURA!E237)</f>
        <v/>
      </c>
      <c r="J236" s="113" t="str">
        <f>IF($G236="","",IF(G236=prazo_subp,1,IFERROR(TRUNC(ESTRUTURA!Y237/ESTRUTURA!AA236,6),0)*100))</f>
        <v/>
      </c>
      <c r="K236" s="112"/>
      <c r="M236" s="110" t="str">
        <f>ESTRUTURA!M237</f>
        <v/>
      </c>
      <c r="N236" s="111" t="str">
        <f>ESTRUTURA!O237</f>
        <v/>
      </c>
      <c r="O236" s="111" t="str">
        <f>ESTRUTURA!Q237</f>
        <v/>
      </c>
      <c r="P236" s="113" t="str">
        <f>IF($M236="","",IF(M236=prazo_sub,1,IFERROR(TRUNC(ESTRUTURA!AE237/ESTRUTURA!AG236,6),0)*100))</f>
        <v/>
      </c>
      <c r="Q236" s="112"/>
    </row>
    <row r="237" spans="1:17" x14ac:dyDescent="0.3">
      <c r="A237" s="110" t="str">
        <f>IF(ESTRUTURA!A238&gt;prazo_se,"",ESTRUTURA!A238)</f>
        <v/>
      </c>
      <c r="B237" s="111" t="str">
        <f>ESTRUTURA!C238</f>
        <v/>
      </c>
      <c r="C237" s="111" t="str">
        <f>ESTRUTURA!E238</f>
        <v/>
      </c>
      <c r="D237" s="113" t="str">
        <f>IF($A237="","",IF(A237=prazo_se,1,IFERROR(TRUNC(ESTRUTURA!R238/ESTRUTURA!T237,6),0)*100))</f>
        <v/>
      </c>
      <c r="E237" s="112"/>
      <c r="G237" s="110" t="str">
        <f>IF(ESTRUTURA!A238&gt;prazo_subp,"",ESTRUTURA!A238)</f>
        <v/>
      </c>
      <c r="H237" s="111" t="str">
        <f>IF(G237="","",ESTRUTURA!C238)</f>
        <v/>
      </c>
      <c r="I237" s="111" t="str">
        <f>IF(G237="","",ESTRUTURA!E238)</f>
        <v/>
      </c>
      <c r="J237" s="113" t="str">
        <f>IF($G237="","",IF(G237=prazo_subp,1,IFERROR(TRUNC(ESTRUTURA!Y238/ESTRUTURA!AA237,6),0)*100))</f>
        <v/>
      </c>
      <c r="K237" s="112"/>
      <c r="M237" s="110" t="str">
        <f>ESTRUTURA!M238</f>
        <v/>
      </c>
      <c r="N237" s="111" t="str">
        <f>ESTRUTURA!O238</f>
        <v/>
      </c>
      <c r="O237" s="111" t="str">
        <f>ESTRUTURA!Q238</f>
        <v/>
      </c>
      <c r="P237" s="113" t="str">
        <f>IF($M237="","",IF(M237=prazo_sub,1,IFERROR(TRUNC(ESTRUTURA!AE238/ESTRUTURA!AG237,6),0)*100))</f>
        <v/>
      </c>
      <c r="Q237" s="112"/>
    </row>
    <row r="238" spans="1:17" x14ac:dyDescent="0.3">
      <c r="A238" s="110" t="str">
        <f>IF(ESTRUTURA!A239&gt;prazo_se,"",ESTRUTURA!A239)</f>
        <v/>
      </c>
      <c r="B238" s="111" t="str">
        <f>ESTRUTURA!C239</f>
        <v/>
      </c>
      <c r="C238" s="111" t="str">
        <f>ESTRUTURA!E239</f>
        <v/>
      </c>
      <c r="D238" s="113" t="str">
        <f>IF($A238="","",IF(A238=prazo_se,1,IFERROR(TRUNC(ESTRUTURA!R239/ESTRUTURA!T238,6),0)*100))</f>
        <v/>
      </c>
      <c r="E238" s="112"/>
      <c r="G238" s="110" t="str">
        <f>IF(ESTRUTURA!A239&gt;prazo_subp,"",ESTRUTURA!A239)</f>
        <v/>
      </c>
      <c r="H238" s="111" t="str">
        <f>IF(G238="","",ESTRUTURA!C239)</f>
        <v/>
      </c>
      <c r="I238" s="111" t="str">
        <f>IF(G238="","",ESTRUTURA!E239)</f>
        <v/>
      </c>
      <c r="J238" s="113" t="str">
        <f>IF($G238="","",IF(G238=prazo_subp,1,IFERROR(TRUNC(ESTRUTURA!Y239/ESTRUTURA!AA238,6),0)*100))</f>
        <v/>
      </c>
      <c r="K238" s="112"/>
      <c r="M238" s="110" t="str">
        <f>ESTRUTURA!M239</f>
        <v/>
      </c>
      <c r="N238" s="111" t="str">
        <f>ESTRUTURA!O239</f>
        <v/>
      </c>
      <c r="O238" s="111" t="str">
        <f>ESTRUTURA!Q239</f>
        <v/>
      </c>
      <c r="P238" s="113" t="str">
        <f>IF($M238="","",IF(M238=prazo_sub,1,IFERROR(TRUNC(ESTRUTURA!AE239/ESTRUTURA!AG238,6),0)*100))</f>
        <v/>
      </c>
      <c r="Q238" s="112"/>
    </row>
    <row r="239" spans="1:17" x14ac:dyDescent="0.3">
      <c r="A239" s="110" t="str">
        <f>IF(ESTRUTURA!A240&gt;prazo_se,"",ESTRUTURA!A240)</f>
        <v/>
      </c>
      <c r="B239" s="111" t="str">
        <f>ESTRUTURA!C240</f>
        <v/>
      </c>
      <c r="C239" s="111" t="str">
        <f>ESTRUTURA!E240</f>
        <v/>
      </c>
      <c r="D239" s="113" t="str">
        <f>IF($A239="","",IF(A239=prazo_se,1,IFERROR(TRUNC(ESTRUTURA!R240/ESTRUTURA!T239,6),0)*100))</f>
        <v/>
      </c>
      <c r="E239" s="112"/>
      <c r="G239" s="110" t="str">
        <f>IF(ESTRUTURA!A240&gt;prazo_subp,"",ESTRUTURA!A240)</f>
        <v/>
      </c>
      <c r="H239" s="111" t="str">
        <f>IF(G239="","",ESTRUTURA!C240)</f>
        <v/>
      </c>
      <c r="I239" s="111" t="str">
        <f>IF(G239="","",ESTRUTURA!E240)</f>
        <v/>
      </c>
      <c r="J239" s="113" t="str">
        <f>IF($G239="","",IF(G239=prazo_subp,1,IFERROR(TRUNC(ESTRUTURA!Y240/ESTRUTURA!AA239,6),0)*100))</f>
        <v/>
      </c>
      <c r="K239" s="112"/>
      <c r="M239" s="110" t="str">
        <f>ESTRUTURA!M240</f>
        <v/>
      </c>
      <c r="N239" s="111" t="str">
        <f>ESTRUTURA!O240</f>
        <v/>
      </c>
      <c r="O239" s="111" t="str">
        <f>ESTRUTURA!Q240</f>
        <v/>
      </c>
      <c r="P239" s="113" t="str">
        <f>IF($M239="","",IF(M239=prazo_sub,1,IFERROR(TRUNC(ESTRUTURA!AE240/ESTRUTURA!AG239,6),0)*100))</f>
        <v/>
      </c>
      <c r="Q239" s="112"/>
    </row>
    <row r="240" spans="1:17" x14ac:dyDescent="0.3">
      <c r="A240" s="110" t="str">
        <f>IF(ESTRUTURA!A241&gt;prazo_se,"",ESTRUTURA!A241)</f>
        <v/>
      </c>
      <c r="B240" s="111" t="str">
        <f>ESTRUTURA!C241</f>
        <v/>
      </c>
      <c r="C240" s="111" t="str">
        <f>ESTRUTURA!E241</f>
        <v/>
      </c>
      <c r="D240" s="113" t="str">
        <f>IF($A240="","",IF(A240=prazo_se,1,IFERROR(TRUNC(ESTRUTURA!R241/ESTRUTURA!T240,6),0)*100))</f>
        <v/>
      </c>
      <c r="E240" s="112"/>
      <c r="G240" s="110" t="str">
        <f>IF(ESTRUTURA!A241&gt;prazo_subp,"",ESTRUTURA!A241)</f>
        <v/>
      </c>
      <c r="H240" s="111" t="str">
        <f>IF(G240="","",ESTRUTURA!C241)</f>
        <v/>
      </c>
      <c r="I240" s="111" t="str">
        <f>IF(G240="","",ESTRUTURA!E241)</f>
        <v/>
      </c>
      <c r="J240" s="113" t="str">
        <f>IF($G240="","",IF(G240=prazo_subp,1,IFERROR(TRUNC(ESTRUTURA!Y241/ESTRUTURA!AA240,6),0)*100))</f>
        <v/>
      </c>
      <c r="K240" s="112"/>
      <c r="M240" s="110" t="str">
        <f>ESTRUTURA!M241</f>
        <v/>
      </c>
      <c r="N240" s="111" t="str">
        <f>ESTRUTURA!O241</f>
        <v/>
      </c>
      <c r="O240" s="111" t="str">
        <f>ESTRUTURA!Q241</f>
        <v/>
      </c>
      <c r="P240" s="113" t="str">
        <f>IF($M240="","",IF(M240=prazo_sub,1,IFERROR(TRUNC(ESTRUTURA!AE241/ESTRUTURA!AG240,6),0)*100))</f>
        <v/>
      </c>
      <c r="Q240" s="112"/>
    </row>
    <row r="241" spans="1:17" x14ac:dyDescent="0.3">
      <c r="A241" s="110" t="str">
        <f>IF(ESTRUTURA!A242&gt;prazo_se,"",ESTRUTURA!A242)</f>
        <v/>
      </c>
      <c r="B241" s="111" t="str">
        <f>ESTRUTURA!C242</f>
        <v/>
      </c>
      <c r="C241" s="111" t="str">
        <f>ESTRUTURA!E242</f>
        <v/>
      </c>
      <c r="D241" s="113" t="str">
        <f>IF($A241="","",IF(A241=prazo_se,1,IFERROR(TRUNC(ESTRUTURA!R242/ESTRUTURA!T241,6),0)*100))</f>
        <v/>
      </c>
      <c r="E241" s="112"/>
      <c r="G241" s="110" t="str">
        <f>IF(ESTRUTURA!A242&gt;prazo_subp,"",ESTRUTURA!A242)</f>
        <v/>
      </c>
      <c r="H241" s="111" t="str">
        <f>IF(G241="","",ESTRUTURA!C242)</f>
        <v/>
      </c>
      <c r="I241" s="111" t="str">
        <f>IF(G241="","",ESTRUTURA!E242)</f>
        <v/>
      </c>
      <c r="J241" s="113" t="str">
        <f>IF($G241="","",IF(G241=prazo_subp,1,IFERROR(TRUNC(ESTRUTURA!Y242/ESTRUTURA!AA241,6),0)*100))</f>
        <v/>
      </c>
      <c r="K241" s="112"/>
      <c r="M241" s="110" t="str">
        <f>ESTRUTURA!M242</f>
        <v/>
      </c>
      <c r="N241" s="111" t="str">
        <f>ESTRUTURA!O242</f>
        <v/>
      </c>
      <c r="O241" s="111" t="str">
        <f>ESTRUTURA!Q242</f>
        <v/>
      </c>
      <c r="P241" s="113" t="str">
        <f>IF($M241="","",IF(M241=prazo_sub,1,IFERROR(TRUNC(ESTRUTURA!AE242/ESTRUTURA!AG241,6),0)*100))</f>
        <v/>
      </c>
      <c r="Q241" s="112"/>
    </row>
    <row r="242" spans="1:17" x14ac:dyDescent="0.3">
      <c r="A242" s="110" t="str">
        <f>IF(ESTRUTURA!A243&gt;prazo_se,"",ESTRUTURA!A243)</f>
        <v/>
      </c>
      <c r="B242" s="111" t="str">
        <f>ESTRUTURA!C243</f>
        <v/>
      </c>
      <c r="C242" s="111" t="str">
        <f>ESTRUTURA!E243</f>
        <v/>
      </c>
      <c r="D242" s="113" t="str">
        <f>IF($A242="","",IF(A242=prazo_se,1,IFERROR(TRUNC(ESTRUTURA!R243/ESTRUTURA!T242,6),0)*100))</f>
        <v/>
      </c>
      <c r="E242" s="112"/>
      <c r="G242" s="110" t="str">
        <f>IF(ESTRUTURA!A243&gt;prazo_subp,"",ESTRUTURA!A243)</f>
        <v/>
      </c>
      <c r="H242" s="111" t="str">
        <f>IF(G242="","",ESTRUTURA!C243)</f>
        <v/>
      </c>
      <c r="I242" s="111" t="str">
        <f>IF(G242="","",ESTRUTURA!E243)</f>
        <v/>
      </c>
      <c r="J242" s="113" t="str">
        <f>IF($G242="","",IF(G242=prazo_subp,1,IFERROR(TRUNC(ESTRUTURA!Y243/ESTRUTURA!AA242,6),0)*100))</f>
        <v/>
      </c>
      <c r="K242" s="112"/>
      <c r="M242" s="110" t="str">
        <f>ESTRUTURA!M243</f>
        <v/>
      </c>
      <c r="N242" s="111" t="str">
        <f>ESTRUTURA!O243</f>
        <v/>
      </c>
      <c r="O242" s="111" t="str">
        <f>ESTRUTURA!Q243</f>
        <v/>
      </c>
      <c r="P242" s="113" t="str">
        <f>IF($M242="","",IF(M242=prazo_sub,1,IFERROR(TRUNC(ESTRUTURA!AE243/ESTRUTURA!AG242,6),0)*100))</f>
        <v/>
      </c>
      <c r="Q242" s="112"/>
    </row>
    <row r="243" spans="1:17" x14ac:dyDescent="0.3">
      <c r="A243" s="110" t="str">
        <f>IF(ESTRUTURA!A244&gt;prazo_se,"",ESTRUTURA!A244)</f>
        <v/>
      </c>
      <c r="B243" s="111" t="str">
        <f>ESTRUTURA!C244</f>
        <v/>
      </c>
      <c r="C243" s="111" t="str">
        <f>ESTRUTURA!E244</f>
        <v/>
      </c>
      <c r="D243" s="113" t="str">
        <f>IF($A243="","",IF(A243=prazo_se,1,IFERROR(TRUNC(ESTRUTURA!R244/ESTRUTURA!T243,6),0)*100))</f>
        <v/>
      </c>
      <c r="E243" s="112"/>
      <c r="G243" s="110" t="str">
        <f>IF(ESTRUTURA!A244&gt;prazo_subp,"",ESTRUTURA!A244)</f>
        <v/>
      </c>
      <c r="H243" s="111" t="str">
        <f>IF(G243="","",ESTRUTURA!C244)</f>
        <v/>
      </c>
      <c r="I243" s="111" t="str">
        <f>IF(G243="","",ESTRUTURA!E244)</f>
        <v/>
      </c>
      <c r="J243" s="113" t="str">
        <f>IF($G243="","",IF(G243=prazo_subp,1,IFERROR(TRUNC(ESTRUTURA!Y244/ESTRUTURA!AA243,6),0)*100))</f>
        <v/>
      </c>
      <c r="K243" s="112"/>
      <c r="M243" s="110" t="str">
        <f>ESTRUTURA!M244</f>
        <v/>
      </c>
      <c r="N243" s="111" t="str">
        <f>ESTRUTURA!O244</f>
        <v/>
      </c>
      <c r="O243" s="111" t="str">
        <f>ESTRUTURA!Q244</f>
        <v/>
      </c>
      <c r="P243" s="113" t="str">
        <f>IF($M243="","",IF(M243=prazo_sub,1,IFERROR(TRUNC(ESTRUTURA!AE244/ESTRUTURA!AG243,6),0)*100))</f>
        <v/>
      </c>
      <c r="Q243" s="112"/>
    </row>
    <row r="244" spans="1:17" x14ac:dyDescent="0.3">
      <c r="A244" s="110" t="str">
        <f>IF(ESTRUTURA!A245&gt;prazo_se,"",ESTRUTURA!A245)</f>
        <v/>
      </c>
      <c r="B244" s="111" t="str">
        <f>ESTRUTURA!C245</f>
        <v/>
      </c>
      <c r="C244" s="111" t="str">
        <f>ESTRUTURA!E245</f>
        <v/>
      </c>
      <c r="D244" s="113" t="str">
        <f>IF($A244="","",IF(A244=prazo_se,1,IFERROR(TRUNC(ESTRUTURA!R245/ESTRUTURA!T244,6),0)*100))</f>
        <v/>
      </c>
      <c r="E244" s="112"/>
      <c r="G244" s="110" t="str">
        <f>IF(ESTRUTURA!A245&gt;prazo_subp,"",ESTRUTURA!A245)</f>
        <v/>
      </c>
      <c r="H244" s="111" t="str">
        <f>IF(G244="","",ESTRUTURA!C245)</f>
        <v/>
      </c>
      <c r="I244" s="111" t="str">
        <f>IF(G244="","",ESTRUTURA!E245)</f>
        <v/>
      </c>
      <c r="J244" s="113" t="str">
        <f>IF($G244="","",IF(G244=prazo_subp,1,IFERROR(TRUNC(ESTRUTURA!Y245/ESTRUTURA!AA244,6),0)*100))</f>
        <v/>
      </c>
      <c r="K244" s="112"/>
      <c r="M244" s="110" t="str">
        <f>ESTRUTURA!M245</f>
        <v/>
      </c>
      <c r="N244" s="111" t="str">
        <f>ESTRUTURA!O245</f>
        <v/>
      </c>
      <c r="O244" s="111" t="str">
        <f>ESTRUTURA!Q245</f>
        <v/>
      </c>
      <c r="P244" s="113" t="str">
        <f>IF($M244="","",IF(M244=prazo_sub,1,IFERROR(TRUNC(ESTRUTURA!AE245/ESTRUTURA!AG244,6),0)*100))</f>
        <v/>
      </c>
      <c r="Q244" s="112"/>
    </row>
    <row r="245" spans="1:17" x14ac:dyDescent="0.3">
      <c r="A245" s="110" t="str">
        <f>IF(ESTRUTURA!A246&gt;prazo_se,"",ESTRUTURA!A246)</f>
        <v/>
      </c>
      <c r="B245" s="111" t="str">
        <f>ESTRUTURA!C246</f>
        <v/>
      </c>
      <c r="C245" s="111" t="str">
        <f>ESTRUTURA!E246</f>
        <v/>
      </c>
      <c r="D245" s="113" t="str">
        <f>IF($A245="","",IF(A245=prazo_se,1,IFERROR(TRUNC(ESTRUTURA!R246/ESTRUTURA!T245,6),0)*100))</f>
        <v/>
      </c>
      <c r="E245" s="112"/>
      <c r="G245" s="110" t="str">
        <f>IF(ESTRUTURA!A246&gt;prazo_subp,"",ESTRUTURA!A246)</f>
        <v/>
      </c>
      <c r="H245" s="111" t="str">
        <f>IF(G245="","",ESTRUTURA!C246)</f>
        <v/>
      </c>
      <c r="I245" s="111" t="str">
        <f>IF(G245="","",ESTRUTURA!E246)</f>
        <v/>
      </c>
      <c r="J245" s="113" t="str">
        <f>IF($G245="","",IF(G245=prazo_subp,1,IFERROR(TRUNC(ESTRUTURA!Y246/ESTRUTURA!AA245,6),0)*100))</f>
        <v/>
      </c>
      <c r="K245" s="112"/>
      <c r="M245" s="110" t="str">
        <f>ESTRUTURA!M246</f>
        <v/>
      </c>
      <c r="N245" s="111" t="str">
        <f>ESTRUTURA!O246</f>
        <v/>
      </c>
      <c r="O245" s="111" t="str">
        <f>ESTRUTURA!Q246</f>
        <v/>
      </c>
      <c r="P245" s="113" t="str">
        <f>IF($M245="","",IF(M245=prazo_sub,1,IFERROR(TRUNC(ESTRUTURA!AE246/ESTRUTURA!AG245,6),0)*100))</f>
        <v/>
      </c>
      <c r="Q245" s="112"/>
    </row>
    <row r="246" spans="1:17" x14ac:dyDescent="0.3">
      <c r="A246" s="110" t="str">
        <f>IF(ESTRUTURA!A247&gt;prazo_se,"",ESTRUTURA!A247)</f>
        <v/>
      </c>
      <c r="B246" s="111" t="str">
        <f>ESTRUTURA!C247</f>
        <v/>
      </c>
      <c r="C246" s="111" t="str">
        <f>ESTRUTURA!E247</f>
        <v/>
      </c>
      <c r="D246" s="113" t="str">
        <f>IF($A246="","",IF(A246=prazo_se,1,IFERROR(TRUNC(ESTRUTURA!R247/ESTRUTURA!T246,6),0)*100))</f>
        <v/>
      </c>
      <c r="E246" s="112"/>
      <c r="G246" s="110" t="str">
        <f>IF(ESTRUTURA!A247&gt;prazo_subp,"",ESTRUTURA!A247)</f>
        <v/>
      </c>
      <c r="H246" s="111" t="str">
        <f>IF(G246="","",ESTRUTURA!C247)</f>
        <v/>
      </c>
      <c r="I246" s="111" t="str">
        <f>IF(G246="","",ESTRUTURA!E247)</f>
        <v/>
      </c>
      <c r="J246" s="113" t="str">
        <f>IF($G246="","",IF(G246=prazo_subp,1,IFERROR(TRUNC(ESTRUTURA!Y247/ESTRUTURA!AA246,6),0)*100))</f>
        <v/>
      </c>
      <c r="K246" s="112"/>
      <c r="M246" s="110" t="str">
        <f>ESTRUTURA!M247</f>
        <v/>
      </c>
      <c r="N246" s="111" t="str">
        <f>ESTRUTURA!O247</f>
        <v/>
      </c>
      <c r="O246" s="111" t="str">
        <f>ESTRUTURA!Q247</f>
        <v/>
      </c>
      <c r="P246" s="113" t="str">
        <f>IF($M246="","",IF(M246=prazo_sub,1,IFERROR(TRUNC(ESTRUTURA!AE247/ESTRUTURA!AG246,6),0)*100))</f>
        <v/>
      </c>
      <c r="Q246" s="112"/>
    </row>
    <row r="247" spans="1:17" x14ac:dyDescent="0.3">
      <c r="A247" s="110" t="str">
        <f>IF(ESTRUTURA!A248&gt;prazo_se,"",ESTRUTURA!A248)</f>
        <v/>
      </c>
      <c r="B247" s="111" t="str">
        <f>ESTRUTURA!C248</f>
        <v/>
      </c>
      <c r="C247" s="111" t="str">
        <f>ESTRUTURA!E248</f>
        <v/>
      </c>
      <c r="D247" s="113" t="str">
        <f>IF($A247="","",IF(A247=prazo_se,1,IFERROR(TRUNC(ESTRUTURA!R248/ESTRUTURA!T247,6),0)*100))</f>
        <v/>
      </c>
      <c r="E247" s="112"/>
      <c r="G247" s="110" t="str">
        <f>IF(ESTRUTURA!A248&gt;prazo_subp,"",ESTRUTURA!A248)</f>
        <v/>
      </c>
      <c r="H247" s="111" t="str">
        <f>IF(G247="","",ESTRUTURA!C248)</f>
        <v/>
      </c>
      <c r="I247" s="111" t="str">
        <f>IF(G247="","",ESTRUTURA!E248)</f>
        <v/>
      </c>
      <c r="J247" s="113" t="str">
        <f>IF($G247="","",IF(G247=prazo_subp,1,IFERROR(TRUNC(ESTRUTURA!Y248/ESTRUTURA!AA247,6),0)*100))</f>
        <v/>
      </c>
      <c r="K247" s="112"/>
      <c r="M247" s="110" t="str">
        <f>ESTRUTURA!M248</f>
        <v/>
      </c>
      <c r="N247" s="111" t="str">
        <f>ESTRUTURA!O248</f>
        <v/>
      </c>
      <c r="O247" s="111" t="str">
        <f>ESTRUTURA!Q248</f>
        <v/>
      </c>
      <c r="P247" s="113" t="str">
        <f>IF($M247="","",IF(M247=prazo_sub,1,IFERROR(TRUNC(ESTRUTURA!AE248/ESTRUTURA!AG247,6),0)*100))</f>
        <v/>
      </c>
      <c r="Q247" s="112"/>
    </row>
    <row r="248" spans="1:17" x14ac:dyDescent="0.3">
      <c r="A248" s="110" t="str">
        <f>IF(ESTRUTURA!A249&gt;prazo_se,"",ESTRUTURA!A249)</f>
        <v/>
      </c>
      <c r="B248" s="111" t="str">
        <f>ESTRUTURA!C249</f>
        <v/>
      </c>
      <c r="C248" s="111" t="str">
        <f>ESTRUTURA!E249</f>
        <v/>
      </c>
      <c r="D248" s="113" t="str">
        <f>IF($A248="","",IF(A248=prazo_se,1,IFERROR(TRUNC(ESTRUTURA!R249/ESTRUTURA!T248,6),0)*100))</f>
        <v/>
      </c>
      <c r="E248" s="112"/>
      <c r="G248" s="110" t="str">
        <f>IF(ESTRUTURA!A249&gt;prazo_subp,"",ESTRUTURA!A249)</f>
        <v/>
      </c>
      <c r="H248" s="111" t="str">
        <f>IF(G248="","",ESTRUTURA!C249)</f>
        <v/>
      </c>
      <c r="I248" s="111" t="str">
        <f>IF(G248="","",ESTRUTURA!E249)</f>
        <v/>
      </c>
      <c r="J248" s="113" t="str">
        <f>IF($G248="","",IF(G248=prazo_subp,1,IFERROR(TRUNC(ESTRUTURA!Y249/ESTRUTURA!AA248,6),0)*100))</f>
        <v/>
      </c>
      <c r="K248" s="112"/>
      <c r="M248" s="110" t="str">
        <f>ESTRUTURA!M249</f>
        <v/>
      </c>
      <c r="N248" s="111" t="str">
        <f>ESTRUTURA!O249</f>
        <v/>
      </c>
      <c r="O248" s="111" t="str">
        <f>ESTRUTURA!Q249</f>
        <v/>
      </c>
      <c r="P248" s="113" t="str">
        <f>IF($M248="","",IF(M248=prazo_sub,1,IFERROR(TRUNC(ESTRUTURA!AE249/ESTRUTURA!AG248,6),0)*100))</f>
        <v/>
      </c>
      <c r="Q248" s="112"/>
    </row>
    <row r="249" spans="1:17" x14ac:dyDescent="0.3">
      <c r="A249" s="110" t="str">
        <f>IF(ESTRUTURA!A250&gt;prazo_se,"",ESTRUTURA!A250)</f>
        <v/>
      </c>
      <c r="B249" s="111" t="str">
        <f>ESTRUTURA!C250</f>
        <v/>
      </c>
      <c r="C249" s="111" t="str">
        <f>ESTRUTURA!E250</f>
        <v/>
      </c>
      <c r="D249" s="113" t="str">
        <f>IF($A249="","",IF(A249=prazo_se,1,IFERROR(TRUNC(ESTRUTURA!R250/ESTRUTURA!T249,6),0)*100))</f>
        <v/>
      </c>
      <c r="E249" s="112"/>
      <c r="G249" s="110" t="str">
        <f>IF(ESTRUTURA!A250&gt;prazo_subp,"",ESTRUTURA!A250)</f>
        <v/>
      </c>
      <c r="H249" s="111" t="str">
        <f>IF(G249="","",ESTRUTURA!C250)</f>
        <v/>
      </c>
      <c r="I249" s="111" t="str">
        <f>IF(G249="","",ESTRUTURA!E250)</f>
        <v/>
      </c>
      <c r="J249" s="113" t="str">
        <f>IF($G249="","",IF(G249=prazo_subp,1,IFERROR(TRUNC(ESTRUTURA!Y250/ESTRUTURA!AA249,6),0)*100))</f>
        <v/>
      </c>
      <c r="K249" s="112"/>
      <c r="M249" s="110" t="str">
        <f>ESTRUTURA!M250</f>
        <v/>
      </c>
      <c r="N249" s="111" t="str">
        <f>ESTRUTURA!O250</f>
        <v/>
      </c>
      <c r="O249" s="111" t="str">
        <f>ESTRUTURA!Q250</f>
        <v/>
      </c>
      <c r="P249" s="113" t="str">
        <f>IF($M249="","",IF(M249=prazo_sub,1,IFERROR(TRUNC(ESTRUTURA!AE250/ESTRUTURA!AG249,6),0)*100))</f>
        <v/>
      </c>
      <c r="Q249" s="112"/>
    </row>
    <row r="250" spans="1:17" x14ac:dyDescent="0.3">
      <c r="A250" s="110" t="str">
        <f>IF(ESTRUTURA!A251&gt;prazo_se,"",ESTRUTURA!A251)</f>
        <v/>
      </c>
      <c r="B250" s="111" t="str">
        <f>ESTRUTURA!C251</f>
        <v/>
      </c>
      <c r="C250" s="111" t="str">
        <f>ESTRUTURA!E251</f>
        <v/>
      </c>
      <c r="D250" s="113" t="str">
        <f>IF($A250="","",IF(A250=prazo_se,1,IFERROR(TRUNC(ESTRUTURA!R251/ESTRUTURA!T250,6),0)*100))</f>
        <v/>
      </c>
      <c r="E250" s="112"/>
      <c r="G250" s="110" t="str">
        <f>IF(ESTRUTURA!A251&gt;prazo_subp,"",ESTRUTURA!A251)</f>
        <v/>
      </c>
      <c r="H250" s="111" t="str">
        <f>IF(G250="","",ESTRUTURA!C251)</f>
        <v/>
      </c>
      <c r="I250" s="111" t="str">
        <f>IF(G250="","",ESTRUTURA!E251)</f>
        <v/>
      </c>
      <c r="J250" s="113" t="str">
        <f>IF($G250="","",IF(G250=prazo_subp,1,IFERROR(TRUNC(ESTRUTURA!Y251/ESTRUTURA!AA250,6),0)*100))</f>
        <v/>
      </c>
      <c r="K250" s="112"/>
      <c r="M250" s="110" t="str">
        <f>ESTRUTURA!M251</f>
        <v/>
      </c>
      <c r="N250" s="111" t="str">
        <f>ESTRUTURA!O251</f>
        <v/>
      </c>
      <c r="O250" s="111" t="str">
        <f>ESTRUTURA!Q251</f>
        <v/>
      </c>
      <c r="P250" s="113" t="str">
        <f>IF($M250="","",IF(M250=prazo_sub,1,IFERROR(TRUNC(ESTRUTURA!AE251/ESTRUTURA!AG250,6),0)*100))</f>
        <v/>
      </c>
      <c r="Q250" s="112"/>
    </row>
    <row r="251" spans="1:17" x14ac:dyDescent="0.3">
      <c r="A251" s="110" t="str">
        <f>IF(ESTRUTURA!A252&gt;prazo_se,"",ESTRUTURA!A252)</f>
        <v/>
      </c>
      <c r="B251" s="111" t="str">
        <f>ESTRUTURA!C252</f>
        <v/>
      </c>
      <c r="C251" s="111" t="str">
        <f>ESTRUTURA!E252</f>
        <v/>
      </c>
      <c r="D251" s="113" t="str">
        <f>IF($A251="","",IF(A251=prazo_se,1,IFERROR(TRUNC(ESTRUTURA!R252/ESTRUTURA!T251,6),0)*100))</f>
        <v/>
      </c>
      <c r="E251" s="112"/>
      <c r="G251" s="110" t="str">
        <f>IF(ESTRUTURA!A252&gt;prazo_subp,"",ESTRUTURA!A252)</f>
        <v/>
      </c>
      <c r="H251" s="111" t="str">
        <f>IF(G251="","",ESTRUTURA!C252)</f>
        <v/>
      </c>
      <c r="I251" s="111" t="str">
        <f>IF(G251="","",ESTRUTURA!E252)</f>
        <v/>
      </c>
      <c r="J251" s="113" t="str">
        <f>IF($G251="","",IF(G251=prazo_subp,1,IFERROR(TRUNC(ESTRUTURA!Y252/ESTRUTURA!AA251,6),0)*100))</f>
        <v/>
      </c>
      <c r="K251" s="112"/>
      <c r="M251" s="110" t="str">
        <f>ESTRUTURA!M252</f>
        <v/>
      </c>
      <c r="N251" s="111" t="str">
        <f>ESTRUTURA!O252</f>
        <v/>
      </c>
      <c r="O251" s="111" t="str">
        <f>ESTRUTURA!Q252</f>
        <v/>
      </c>
      <c r="P251" s="113" t="str">
        <f>IF($M251="","",IF(M251=prazo_sub,1,IFERROR(TRUNC(ESTRUTURA!AE252/ESTRUTURA!AG251,6),0)*100))</f>
        <v/>
      </c>
      <c r="Q251" s="112"/>
    </row>
    <row r="252" spans="1:17" x14ac:dyDescent="0.3">
      <c r="A252" s="110" t="str">
        <f>IF(ESTRUTURA!A253&gt;prazo_se,"",ESTRUTURA!A253)</f>
        <v/>
      </c>
      <c r="B252" s="111" t="str">
        <f>ESTRUTURA!C253</f>
        <v/>
      </c>
      <c r="C252" s="111" t="str">
        <f>ESTRUTURA!E253</f>
        <v/>
      </c>
      <c r="D252" s="113" t="str">
        <f>IF($A252="","",IF(A252=prazo_se,1,IFERROR(TRUNC(ESTRUTURA!R253/ESTRUTURA!T252,6),0)*100))</f>
        <v/>
      </c>
      <c r="E252" s="112"/>
      <c r="G252" s="110" t="str">
        <f>IF(ESTRUTURA!A253&gt;prazo_subp,"",ESTRUTURA!A253)</f>
        <v/>
      </c>
      <c r="H252" s="111" t="str">
        <f>IF(G252="","",ESTRUTURA!C253)</f>
        <v/>
      </c>
      <c r="I252" s="111" t="str">
        <f>IF(G252="","",ESTRUTURA!E253)</f>
        <v/>
      </c>
      <c r="J252" s="113" t="str">
        <f>IF($G252="","",IF(G252=prazo_subp,1,IFERROR(TRUNC(ESTRUTURA!Y253/ESTRUTURA!AA252,6),0)*100))</f>
        <v/>
      </c>
      <c r="K252" s="112"/>
      <c r="M252" s="110" t="str">
        <f>ESTRUTURA!M253</f>
        <v/>
      </c>
      <c r="N252" s="111" t="str">
        <f>ESTRUTURA!O253</f>
        <v/>
      </c>
      <c r="O252" s="111" t="str">
        <f>ESTRUTURA!Q253</f>
        <v/>
      </c>
      <c r="P252" s="113" t="str">
        <f>IF($M252="","",IF(M252=prazo_sub,1,IFERROR(TRUNC(ESTRUTURA!AE253/ESTRUTURA!AG252,6),0)*100))</f>
        <v/>
      </c>
      <c r="Q252" s="112"/>
    </row>
    <row r="253" spans="1:17" x14ac:dyDescent="0.3">
      <c r="A253" s="110" t="str">
        <f>IF(ESTRUTURA!A254&gt;prazo_se,"",ESTRUTURA!A254)</f>
        <v/>
      </c>
      <c r="B253" s="111" t="str">
        <f>ESTRUTURA!C254</f>
        <v/>
      </c>
      <c r="C253" s="111" t="str">
        <f>ESTRUTURA!E254</f>
        <v/>
      </c>
      <c r="D253" s="113" t="str">
        <f>IF($A253="","",IF(A253=prazo_se,1,IFERROR(TRUNC(ESTRUTURA!R254/ESTRUTURA!T253,6),0)*100))</f>
        <v/>
      </c>
      <c r="E253" s="112"/>
      <c r="G253" s="110" t="str">
        <f>IF(ESTRUTURA!A254&gt;prazo_subp,"",ESTRUTURA!A254)</f>
        <v/>
      </c>
      <c r="H253" s="111" t="str">
        <f>IF(G253="","",ESTRUTURA!C254)</f>
        <v/>
      </c>
      <c r="I253" s="111" t="str">
        <f>IF(G253="","",ESTRUTURA!E254)</f>
        <v/>
      </c>
      <c r="J253" s="113" t="str">
        <f>IF($G253="","",IF(G253=prazo_subp,1,IFERROR(TRUNC(ESTRUTURA!Y254/ESTRUTURA!AA253,6),0)*100))</f>
        <v/>
      </c>
      <c r="K253" s="112"/>
      <c r="M253" s="110" t="str">
        <f>ESTRUTURA!M254</f>
        <v/>
      </c>
      <c r="N253" s="111" t="str">
        <f>ESTRUTURA!O254</f>
        <v/>
      </c>
      <c r="O253" s="111" t="str">
        <f>ESTRUTURA!Q254</f>
        <v/>
      </c>
      <c r="P253" s="113" t="str">
        <f>IF($M253="","",IF(M253=prazo_sub,1,IFERROR(TRUNC(ESTRUTURA!AE254/ESTRUTURA!AG253,6),0)*100))</f>
        <v/>
      </c>
      <c r="Q253" s="112"/>
    </row>
    <row r="254" spans="1:17" x14ac:dyDescent="0.3">
      <c r="A254" s="110" t="str">
        <f>IF(ESTRUTURA!A255&gt;prazo_se,"",ESTRUTURA!A255)</f>
        <v/>
      </c>
      <c r="B254" s="111" t="str">
        <f>ESTRUTURA!C255</f>
        <v/>
      </c>
      <c r="C254" s="111" t="str">
        <f>ESTRUTURA!E255</f>
        <v/>
      </c>
      <c r="D254" s="113" t="str">
        <f>IF($A254="","",IF(A254=prazo_se,1,IFERROR(TRUNC(ESTRUTURA!R255/ESTRUTURA!T254,6),0)*100))</f>
        <v/>
      </c>
      <c r="E254" s="112"/>
      <c r="G254" s="110" t="str">
        <f>IF(ESTRUTURA!A255&gt;prazo_subp,"",ESTRUTURA!A255)</f>
        <v/>
      </c>
      <c r="H254" s="111" t="str">
        <f>IF(G254="","",ESTRUTURA!C255)</f>
        <v/>
      </c>
      <c r="I254" s="111" t="str">
        <f>IF(G254="","",ESTRUTURA!E255)</f>
        <v/>
      </c>
      <c r="J254" s="113" t="str">
        <f>IF($G254="","",IF(G254=prazo_subp,1,IFERROR(TRUNC(ESTRUTURA!Y255/ESTRUTURA!AA254,6),0)*100))</f>
        <v/>
      </c>
      <c r="K254" s="112"/>
      <c r="M254" s="110" t="str">
        <f>ESTRUTURA!M255</f>
        <v/>
      </c>
      <c r="N254" s="111" t="str">
        <f>ESTRUTURA!O255</f>
        <v/>
      </c>
      <c r="O254" s="111" t="str">
        <f>ESTRUTURA!Q255</f>
        <v/>
      </c>
      <c r="P254" s="113" t="str">
        <f>IF($M254="","",IF(M254=prazo_sub,1,IFERROR(TRUNC(ESTRUTURA!AE255/ESTRUTURA!AG254,6),0)*100))</f>
        <v/>
      </c>
      <c r="Q254" s="112"/>
    </row>
    <row r="255" spans="1:17" x14ac:dyDescent="0.3">
      <c r="A255" s="110" t="str">
        <f>IF(ESTRUTURA!A256&gt;prazo_se,"",ESTRUTURA!A256)</f>
        <v/>
      </c>
      <c r="B255" s="111" t="str">
        <f>ESTRUTURA!C256</f>
        <v/>
      </c>
      <c r="C255" s="111" t="str">
        <f>ESTRUTURA!E256</f>
        <v/>
      </c>
      <c r="D255" s="113" t="str">
        <f>IF($A255="","",IF(A255=prazo_se,1,IFERROR(TRUNC(ESTRUTURA!R256/ESTRUTURA!T255,6),0)*100))</f>
        <v/>
      </c>
      <c r="E255" s="112"/>
      <c r="G255" s="110" t="str">
        <f>IF(ESTRUTURA!A256&gt;prazo_subp,"",ESTRUTURA!A256)</f>
        <v/>
      </c>
      <c r="H255" s="111" t="str">
        <f>IF(G255="","",ESTRUTURA!C256)</f>
        <v/>
      </c>
      <c r="I255" s="111" t="str">
        <f>IF(G255="","",ESTRUTURA!E256)</f>
        <v/>
      </c>
      <c r="J255" s="113" t="str">
        <f>IF($G255="","",IF(G255=prazo_subp,1,IFERROR(TRUNC(ESTRUTURA!Y256/ESTRUTURA!AA255,6),0)*100))</f>
        <v/>
      </c>
      <c r="K255" s="112"/>
      <c r="M255" s="110" t="str">
        <f>ESTRUTURA!M256</f>
        <v/>
      </c>
      <c r="N255" s="111" t="str">
        <f>ESTRUTURA!O256</f>
        <v/>
      </c>
      <c r="O255" s="111" t="str">
        <f>ESTRUTURA!Q256</f>
        <v/>
      </c>
      <c r="P255" s="113" t="str">
        <f>IF($M255="","",IF(M255=prazo_sub,1,IFERROR(TRUNC(ESTRUTURA!AE256/ESTRUTURA!AG255,6),0)*100))</f>
        <v/>
      </c>
      <c r="Q255" s="112"/>
    </row>
    <row r="256" spans="1:17" x14ac:dyDescent="0.3">
      <c r="A256" s="110" t="str">
        <f>IF(ESTRUTURA!A257&gt;prazo_se,"",ESTRUTURA!A257)</f>
        <v/>
      </c>
      <c r="B256" s="111" t="str">
        <f>ESTRUTURA!C257</f>
        <v/>
      </c>
      <c r="C256" s="111" t="str">
        <f>ESTRUTURA!E257</f>
        <v/>
      </c>
      <c r="D256" s="113" t="str">
        <f>IF($A256="","",IF(A256=prazo_se,1,IFERROR(TRUNC(ESTRUTURA!R257/ESTRUTURA!T256,6),0)*100))</f>
        <v/>
      </c>
      <c r="E256" s="112"/>
      <c r="G256" s="110" t="str">
        <f>IF(ESTRUTURA!A257&gt;prazo_subp,"",ESTRUTURA!A257)</f>
        <v/>
      </c>
      <c r="H256" s="111" t="str">
        <f>IF(G256="","",ESTRUTURA!C257)</f>
        <v/>
      </c>
      <c r="I256" s="111" t="str">
        <f>IF(G256="","",ESTRUTURA!E257)</f>
        <v/>
      </c>
      <c r="J256" s="113" t="str">
        <f>IF($G256="","",IF(G256=prazo_subp,1,IFERROR(TRUNC(ESTRUTURA!Y257/ESTRUTURA!AA256,6),0)*100))</f>
        <v/>
      </c>
      <c r="K256" s="112"/>
      <c r="M256" s="110" t="str">
        <f>ESTRUTURA!M257</f>
        <v/>
      </c>
      <c r="N256" s="111" t="str">
        <f>ESTRUTURA!O257</f>
        <v/>
      </c>
      <c r="O256" s="111" t="str">
        <f>ESTRUTURA!Q257</f>
        <v/>
      </c>
      <c r="P256" s="113" t="str">
        <f>IF($M256="","",IF(M256=prazo_sub,1,IFERROR(TRUNC(ESTRUTURA!AE257/ESTRUTURA!AG256,6),0)*100))</f>
        <v/>
      </c>
      <c r="Q256" s="112"/>
    </row>
    <row r="257" spans="1:17" x14ac:dyDescent="0.3">
      <c r="A257" s="110" t="str">
        <f>IF(ESTRUTURA!A258&gt;prazo_se,"",ESTRUTURA!A258)</f>
        <v/>
      </c>
      <c r="B257" s="111" t="str">
        <f>ESTRUTURA!C258</f>
        <v/>
      </c>
      <c r="C257" s="111" t="str">
        <f>ESTRUTURA!E258</f>
        <v/>
      </c>
      <c r="D257" s="113" t="str">
        <f>IF($A257="","",IF(A257=prazo_se,1,IFERROR(TRUNC(ESTRUTURA!R258/ESTRUTURA!T257,6),0)*100))</f>
        <v/>
      </c>
      <c r="E257" s="112"/>
      <c r="G257" s="110" t="str">
        <f>IF(ESTRUTURA!A258&gt;prazo_subp,"",ESTRUTURA!A258)</f>
        <v/>
      </c>
      <c r="H257" s="111" t="str">
        <f>IF(G257="","",ESTRUTURA!C258)</f>
        <v/>
      </c>
      <c r="I257" s="111" t="str">
        <f>IF(G257="","",ESTRUTURA!E258)</f>
        <v/>
      </c>
      <c r="J257" s="113" t="str">
        <f>IF($G257="","",IF(G257=prazo_subp,1,IFERROR(TRUNC(ESTRUTURA!Y258/ESTRUTURA!AA257,6),0)*100))</f>
        <v/>
      </c>
      <c r="K257" s="112"/>
      <c r="M257" s="110" t="str">
        <f>ESTRUTURA!M258</f>
        <v/>
      </c>
      <c r="N257" s="111" t="str">
        <f>ESTRUTURA!O258</f>
        <v/>
      </c>
      <c r="O257" s="111" t="str">
        <f>ESTRUTURA!Q258</f>
        <v/>
      </c>
      <c r="P257" s="113" t="str">
        <f>IF($M257="","",IF(M257=prazo_sub,1,IFERROR(TRUNC(ESTRUTURA!AE258/ESTRUTURA!AG257,6),0)*100))</f>
        <v/>
      </c>
      <c r="Q257" s="112"/>
    </row>
    <row r="258" spans="1:17" x14ac:dyDescent="0.3">
      <c r="A258" s="110" t="str">
        <f>IF(ESTRUTURA!A259&gt;prazo_se,"",ESTRUTURA!A259)</f>
        <v/>
      </c>
      <c r="B258" s="111" t="str">
        <f>ESTRUTURA!C259</f>
        <v/>
      </c>
      <c r="C258" s="111" t="str">
        <f>ESTRUTURA!E259</f>
        <v/>
      </c>
      <c r="D258" s="113" t="str">
        <f>IF($A258="","",IF(A258=prazo_se,1,IFERROR(TRUNC(ESTRUTURA!R259/ESTRUTURA!T258,6),0)*100))</f>
        <v/>
      </c>
      <c r="E258" s="112"/>
      <c r="G258" s="110" t="str">
        <f>IF(ESTRUTURA!A259&gt;prazo_subp,"",ESTRUTURA!A259)</f>
        <v/>
      </c>
      <c r="H258" s="111" t="str">
        <f>IF(G258="","",ESTRUTURA!C259)</f>
        <v/>
      </c>
      <c r="I258" s="111" t="str">
        <f>IF(G258="","",ESTRUTURA!E259)</f>
        <v/>
      </c>
      <c r="J258" s="113" t="str">
        <f>IF($G258="","",IF(G258=prazo_subp,1,IFERROR(TRUNC(ESTRUTURA!Y259/ESTRUTURA!AA258,6),0)*100))</f>
        <v/>
      </c>
      <c r="K258" s="112"/>
      <c r="M258" s="110" t="str">
        <f>ESTRUTURA!M259</f>
        <v/>
      </c>
      <c r="N258" s="111" t="str">
        <f>ESTRUTURA!O259</f>
        <v/>
      </c>
      <c r="O258" s="111" t="str">
        <f>ESTRUTURA!Q259</f>
        <v/>
      </c>
      <c r="P258" s="113" t="str">
        <f>IF($M258="","",IF(M258=prazo_sub,1,IFERROR(TRUNC(ESTRUTURA!AE259/ESTRUTURA!AG258,6),0)*100))</f>
        <v/>
      </c>
      <c r="Q258" s="112"/>
    </row>
    <row r="259" spans="1:17" x14ac:dyDescent="0.3">
      <c r="A259" s="110" t="str">
        <f>IF(ESTRUTURA!A260&gt;prazo_se,"",ESTRUTURA!A260)</f>
        <v/>
      </c>
      <c r="B259" s="111" t="str">
        <f>ESTRUTURA!C260</f>
        <v/>
      </c>
      <c r="C259" s="111" t="str">
        <f>ESTRUTURA!E260</f>
        <v/>
      </c>
      <c r="D259" s="113" t="str">
        <f>IF($A259="","",IF(A259=prazo_se,1,IFERROR(TRUNC(ESTRUTURA!R260/ESTRUTURA!T259,6),0)*100))</f>
        <v/>
      </c>
      <c r="E259" s="112"/>
      <c r="G259" s="110" t="str">
        <f>IF(ESTRUTURA!A260&gt;prazo_subp,"",ESTRUTURA!A260)</f>
        <v/>
      </c>
      <c r="H259" s="111" t="str">
        <f>IF(G259="","",ESTRUTURA!C260)</f>
        <v/>
      </c>
      <c r="I259" s="111" t="str">
        <f>IF(G259="","",ESTRUTURA!E260)</f>
        <v/>
      </c>
      <c r="J259" s="113" t="str">
        <f>IF($G259="","",IF(G259=prazo_subp,1,IFERROR(TRUNC(ESTRUTURA!Y260/ESTRUTURA!AA259,6),0)*100))</f>
        <v/>
      </c>
      <c r="K259" s="112"/>
      <c r="M259" s="110" t="str">
        <f>ESTRUTURA!M260</f>
        <v/>
      </c>
      <c r="N259" s="111" t="str">
        <f>ESTRUTURA!O260</f>
        <v/>
      </c>
      <c r="O259" s="111" t="str">
        <f>ESTRUTURA!Q260</f>
        <v/>
      </c>
      <c r="P259" s="113" t="str">
        <f>IF($M259="","",IF(M259=prazo_sub,1,IFERROR(TRUNC(ESTRUTURA!AE260/ESTRUTURA!AG259,6),0)*100))</f>
        <v/>
      </c>
      <c r="Q259" s="112"/>
    </row>
    <row r="260" spans="1:17" x14ac:dyDescent="0.3">
      <c r="A260" s="110" t="str">
        <f>IF(ESTRUTURA!A261&gt;prazo_se,"",ESTRUTURA!A261)</f>
        <v/>
      </c>
      <c r="B260" s="111" t="str">
        <f>ESTRUTURA!C261</f>
        <v/>
      </c>
      <c r="C260" s="111" t="str">
        <f>ESTRUTURA!E261</f>
        <v/>
      </c>
      <c r="D260" s="113" t="str">
        <f>IF($A260="","",IF(A260=prazo_se,1,IFERROR(TRUNC(ESTRUTURA!R261/ESTRUTURA!T260,6),0)*100))</f>
        <v/>
      </c>
      <c r="E260" s="112"/>
      <c r="G260" s="110" t="str">
        <f>IF(ESTRUTURA!A261&gt;prazo_subp,"",ESTRUTURA!A261)</f>
        <v/>
      </c>
      <c r="H260" s="111" t="str">
        <f>IF(G260="","",ESTRUTURA!C261)</f>
        <v/>
      </c>
      <c r="I260" s="111" t="str">
        <f>IF(G260="","",ESTRUTURA!E261)</f>
        <v/>
      </c>
      <c r="J260" s="113" t="str">
        <f>IF($G260="","",IF(G260=prazo_subp,1,IFERROR(TRUNC(ESTRUTURA!Y261/ESTRUTURA!AA260,6),0)*100))</f>
        <v/>
      </c>
      <c r="K260" s="112"/>
      <c r="M260" s="110" t="str">
        <f>ESTRUTURA!M261</f>
        <v/>
      </c>
      <c r="N260" s="111" t="str">
        <f>ESTRUTURA!O261</f>
        <v/>
      </c>
      <c r="O260" s="111" t="str">
        <f>ESTRUTURA!Q261</f>
        <v/>
      </c>
      <c r="P260" s="113" t="str">
        <f>IF($M260="","",IF(M260=prazo_sub,1,IFERROR(TRUNC(ESTRUTURA!AE261/ESTRUTURA!AG260,6),0)*100))</f>
        <v/>
      </c>
      <c r="Q260" s="112"/>
    </row>
    <row r="261" spans="1:17" x14ac:dyDescent="0.3">
      <c r="A261" s="110" t="str">
        <f>IF(ESTRUTURA!A262&gt;prazo_se,"",ESTRUTURA!A262)</f>
        <v/>
      </c>
      <c r="B261" s="111" t="str">
        <f>ESTRUTURA!C262</f>
        <v/>
      </c>
      <c r="C261" s="111" t="str">
        <f>ESTRUTURA!E262</f>
        <v/>
      </c>
      <c r="D261" s="113" t="str">
        <f>IF($A261="","",IF(A261=prazo_se,1,IFERROR(TRUNC(ESTRUTURA!R262/ESTRUTURA!T261,6),0)*100))</f>
        <v/>
      </c>
      <c r="E261" s="112"/>
      <c r="G261" s="110" t="str">
        <f>IF(ESTRUTURA!A262&gt;prazo_subp,"",ESTRUTURA!A262)</f>
        <v/>
      </c>
      <c r="H261" s="111" t="str">
        <f>IF(G261="","",ESTRUTURA!C262)</f>
        <v/>
      </c>
      <c r="I261" s="111" t="str">
        <f>IF(G261="","",ESTRUTURA!E262)</f>
        <v/>
      </c>
      <c r="J261" s="113" t="str">
        <f>IF($G261="","",IF(G261=prazo_subp,1,IFERROR(TRUNC(ESTRUTURA!Y262/ESTRUTURA!AA261,6),0)*100))</f>
        <v/>
      </c>
      <c r="K261" s="112"/>
      <c r="M261" s="110" t="str">
        <f>ESTRUTURA!M262</f>
        <v/>
      </c>
      <c r="N261" s="111" t="str">
        <f>ESTRUTURA!O262</f>
        <v/>
      </c>
      <c r="O261" s="111" t="str">
        <f>ESTRUTURA!Q262</f>
        <v/>
      </c>
      <c r="P261" s="113" t="str">
        <f>IF($M261="","",IF(M261=prazo_sub,1,IFERROR(TRUNC(ESTRUTURA!AE262/ESTRUTURA!AG261,6),0)*100))</f>
        <v/>
      </c>
      <c r="Q261" s="112"/>
    </row>
    <row r="262" spans="1:17" x14ac:dyDescent="0.3">
      <c r="A262" s="110" t="str">
        <f>IF(ESTRUTURA!A263&gt;prazo_se,"",ESTRUTURA!A263)</f>
        <v/>
      </c>
      <c r="B262" s="111" t="str">
        <f>ESTRUTURA!C263</f>
        <v/>
      </c>
      <c r="C262" s="111" t="str">
        <f>ESTRUTURA!E263</f>
        <v/>
      </c>
      <c r="D262" s="113" t="str">
        <f>IF($A262="","",IF(A262=prazo_se,1,IFERROR(TRUNC(ESTRUTURA!R263/ESTRUTURA!T262,6),0)*100))</f>
        <v/>
      </c>
      <c r="E262" s="112"/>
      <c r="G262" s="110" t="str">
        <f>IF(ESTRUTURA!A263&gt;prazo_subp,"",ESTRUTURA!A263)</f>
        <v/>
      </c>
      <c r="H262" s="111" t="str">
        <f>IF(G262="","",ESTRUTURA!C263)</f>
        <v/>
      </c>
      <c r="I262" s="111" t="str">
        <f>IF(G262="","",ESTRUTURA!E263)</f>
        <v/>
      </c>
      <c r="J262" s="113" t="str">
        <f>IF($G262="","",IF(G262=prazo_subp,1,IFERROR(TRUNC(ESTRUTURA!Y263/ESTRUTURA!AA262,6),0)*100))</f>
        <v/>
      </c>
      <c r="K262" s="112"/>
      <c r="M262" s="110" t="str">
        <f>ESTRUTURA!M263</f>
        <v/>
      </c>
      <c r="N262" s="111" t="str">
        <f>ESTRUTURA!O263</f>
        <v/>
      </c>
      <c r="O262" s="111" t="str">
        <f>ESTRUTURA!Q263</f>
        <v/>
      </c>
      <c r="P262" s="113" t="str">
        <f>IF($M262="","",IF(M262=prazo_sub,1,IFERROR(TRUNC(ESTRUTURA!AE263/ESTRUTURA!AG262,6),0)*100))</f>
        <v/>
      </c>
      <c r="Q262" s="112"/>
    </row>
    <row r="263" spans="1:17" x14ac:dyDescent="0.3">
      <c r="A263" s="110" t="str">
        <f>IF(ESTRUTURA!A264&gt;prazo_se,"",ESTRUTURA!A264)</f>
        <v/>
      </c>
      <c r="B263" s="111" t="str">
        <f>ESTRUTURA!C264</f>
        <v/>
      </c>
      <c r="C263" s="111" t="str">
        <f>ESTRUTURA!E264</f>
        <v/>
      </c>
      <c r="D263" s="113" t="str">
        <f>IF($A263="","",IF(A263=prazo_se,1,IFERROR(TRUNC(ESTRUTURA!R264/ESTRUTURA!T263,6),0)*100))</f>
        <v/>
      </c>
      <c r="E263" s="112"/>
      <c r="G263" s="110" t="str">
        <f>IF(ESTRUTURA!A264&gt;prazo_subp,"",ESTRUTURA!A264)</f>
        <v/>
      </c>
      <c r="H263" s="111" t="str">
        <f>IF(G263="","",ESTRUTURA!C264)</f>
        <v/>
      </c>
      <c r="I263" s="111" t="str">
        <f>IF(G263="","",ESTRUTURA!E264)</f>
        <v/>
      </c>
      <c r="J263" s="113" t="str">
        <f>IF($G263="","",IF(G263=prazo_subp,1,IFERROR(TRUNC(ESTRUTURA!Y264/ESTRUTURA!AA263,6),0)*100))</f>
        <v/>
      </c>
      <c r="K263" s="112"/>
      <c r="M263" s="110" t="str">
        <f>ESTRUTURA!M264</f>
        <v/>
      </c>
      <c r="N263" s="111" t="str">
        <f>ESTRUTURA!O264</f>
        <v/>
      </c>
      <c r="O263" s="111" t="str">
        <f>ESTRUTURA!Q264</f>
        <v/>
      </c>
      <c r="P263" s="113" t="str">
        <f>IF($M263="","",IF(M263=prazo_sub,1,IFERROR(TRUNC(ESTRUTURA!AE264/ESTRUTURA!AG263,6),0)*100))</f>
        <v/>
      </c>
      <c r="Q263" s="112"/>
    </row>
    <row r="264" spans="1:17" x14ac:dyDescent="0.3">
      <c r="A264" s="110" t="str">
        <f>IF(ESTRUTURA!A265&gt;prazo_se,"",ESTRUTURA!A265)</f>
        <v/>
      </c>
      <c r="B264" s="111" t="str">
        <f>ESTRUTURA!C265</f>
        <v/>
      </c>
      <c r="C264" s="111" t="str">
        <f>ESTRUTURA!E265</f>
        <v/>
      </c>
      <c r="D264" s="113" t="str">
        <f>IF($A264="","",IF(A264=prazo_se,1,IFERROR(TRUNC(ESTRUTURA!R265/ESTRUTURA!T264,6),0)*100))</f>
        <v/>
      </c>
      <c r="E264" s="112"/>
      <c r="G264" s="110" t="str">
        <f>IF(ESTRUTURA!A265&gt;prazo_subp,"",ESTRUTURA!A265)</f>
        <v/>
      </c>
      <c r="H264" s="111" t="str">
        <f>IF(G264="","",ESTRUTURA!C265)</f>
        <v/>
      </c>
      <c r="I264" s="111" t="str">
        <f>IF(G264="","",ESTRUTURA!E265)</f>
        <v/>
      </c>
      <c r="J264" s="113" t="str">
        <f>IF($G264="","",IF(G264=prazo_subp,1,IFERROR(TRUNC(ESTRUTURA!Y265/ESTRUTURA!AA264,6),0)*100))</f>
        <v/>
      </c>
      <c r="K264" s="112"/>
      <c r="M264" s="110" t="str">
        <f>ESTRUTURA!M265</f>
        <v/>
      </c>
      <c r="N264" s="111" t="str">
        <f>ESTRUTURA!O265</f>
        <v/>
      </c>
      <c r="O264" s="111" t="str">
        <f>ESTRUTURA!Q265</f>
        <v/>
      </c>
      <c r="P264" s="113" t="str">
        <f>IF($M264="","",IF(M264=prazo_sub,1,IFERROR(TRUNC(ESTRUTURA!AE265/ESTRUTURA!AG264,6),0)*100))</f>
        <v/>
      </c>
      <c r="Q264" s="112"/>
    </row>
    <row r="265" spans="1:17" x14ac:dyDescent="0.3">
      <c r="A265" s="110" t="str">
        <f>IF(ESTRUTURA!A266&gt;prazo_se,"",ESTRUTURA!A266)</f>
        <v/>
      </c>
      <c r="B265" s="111" t="str">
        <f>ESTRUTURA!C266</f>
        <v/>
      </c>
      <c r="C265" s="111" t="str">
        <f>ESTRUTURA!E266</f>
        <v/>
      </c>
      <c r="D265" s="113" t="str">
        <f>IF($A265="","",IF(A265=prazo_se,1,IFERROR(TRUNC(ESTRUTURA!R266/ESTRUTURA!T265,6),0)*100))</f>
        <v/>
      </c>
      <c r="E265" s="112"/>
      <c r="G265" s="110" t="str">
        <f>IF(ESTRUTURA!A266&gt;prazo_subp,"",ESTRUTURA!A266)</f>
        <v/>
      </c>
      <c r="H265" s="111" t="str">
        <f>IF(G265="","",ESTRUTURA!C266)</f>
        <v/>
      </c>
      <c r="I265" s="111" t="str">
        <f>IF(G265="","",ESTRUTURA!E266)</f>
        <v/>
      </c>
      <c r="J265" s="113" t="str">
        <f>IF($G265="","",IF(G265=prazo_subp,1,IFERROR(TRUNC(ESTRUTURA!Y266/ESTRUTURA!AA265,6),0)*100))</f>
        <v/>
      </c>
      <c r="K265" s="112"/>
      <c r="M265" s="110" t="str">
        <f>ESTRUTURA!M266</f>
        <v/>
      </c>
      <c r="N265" s="111" t="str">
        <f>ESTRUTURA!O266</f>
        <v/>
      </c>
      <c r="O265" s="111" t="str">
        <f>ESTRUTURA!Q266</f>
        <v/>
      </c>
      <c r="P265" s="113" t="str">
        <f>IF($M265="","",IF(M265=prazo_sub,1,IFERROR(TRUNC(ESTRUTURA!AE266/ESTRUTURA!AG265,6),0)*100))</f>
        <v/>
      </c>
      <c r="Q265" s="112"/>
    </row>
    <row r="266" spans="1:17" x14ac:dyDescent="0.3">
      <c r="A266" s="110" t="str">
        <f>IF(ESTRUTURA!A267&gt;prazo_se,"",ESTRUTURA!A267)</f>
        <v/>
      </c>
      <c r="B266" s="111" t="str">
        <f>ESTRUTURA!C267</f>
        <v/>
      </c>
      <c r="C266" s="111" t="str">
        <f>ESTRUTURA!E267</f>
        <v/>
      </c>
      <c r="D266" s="113" t="str">
        <f>IF($A266="","",IF(A266=prazo_se,1,IFERROR(TRUNC(ESTRUTURA!R267/ESTRUTURA!T266,6),0)*100))</f>
        <v/>
      </c>
      <c r="E266" s="112"/>
      <c r="G266" s="110" t="str">
        <f>IF(ESTRUTURA!A267&gt;prazo_subp,"",ESTRUTURA!A267)</f>
        <v/>
      </c>
      <c r="H266" s="111" t="str">
        <f>IF(G266="","",ESTRUTURA!C267)</f>
        <v/>
      </c>
      <c r="I266" s="111" t="str">
        <f>IF(G266="","",ESTRUTURA!E267)</f>
        <v/>
      </c>
      <c r="J266" s="113" t="str">
        <f>IF($G266="","",IF(G266=prazo_subp,1,IFERROR(TRUNC(ESTRUTURA!Y267/ESTRUTURA!AA266,6),0)*100))</f>
        <v/>
      </c>
      <c r="K266" s="112"/>
      <c r="M266" s="110" t="str">
        <f>ESTRUTURA!M267</f>
        <v/>
      </c>
      <c r="N266" s="111" t="str">
        <f>ESTRUTURA!O267</f>
        <v/>
      </c>
      <c r="O266" s="111" t="str">
        <f>ESTRUTURA!Q267</f>
        <v/>
      </c>
      <c r="P266" s="113" t="str">
        <f>IF($M266="","",IF(M266=prazo_sub,1,IFERROR(TRUNC(ESTRUTURA!AE267/ESTRUTURA!AG266,6),0)*100))</f>
        <v/>
      </c>
      <c r="Q266" s="112"/>
    </row>
    <row r="267" spans="1:17" x14ac:dyDescent="0.3">
      <c r="A267" s="110" t="str">
        <f>IF(ESTRUTURA!A268&gt;prazo_se,"",ESTRUTURA!A268)</f>
        <v/>
      </c>
      <c r="B267" s="111" t="str">
        <f>ESTRUTURA!C268</f>
        <v/>
      </c>
      <c r="C267" s="111" t="str">
        <f>ESTRUTURA!E268</f>
        <v/>
      </c>
      <c r="D267" s="113" t="str">
        <f>IF($A267="","",IF(A267=prazo_se,1,IFERROR(TRUNC(ESTRUTURA!R268/ESTRUTURA!T267,6),0)*100))</f>
        <v/>
      </c>
      <c r="E267" s="112"/>
      <c r="G267" s="110" t="str">
        <f>IF(ESTRUTURA!A268&gt;prazo_subp,"",ESTRUTURA!A268)</f>
        <v/>
      </c>
      <c r="H267" s="111" t="str">
        <f>IF(G267="","",ESTRUTURA!C268)</f>
        <v/>
      </c>
      <c r="I267" s="111" t="str">
        <f>IF(G267="","",ESTRUTURA!E268)</f>
        <v/>
      </c>
      <c r="J267" s="113" t="str">
        <f>IF($G267="","",IF(G267=prazo_subp,1,IFERROR(TRUNC(ESTRUTURA!Y268/ESTRUTURA!AA267,6),0)*100))</f>
        <v/>
      </c>
      <c r="K267" s="112"/>
      <c r="M267" s="110" t="str">
        <f>ESTRUTURA!M268</f>
        <v/>
      </c>
      <c r="N267" s="111" t="str">
        <f>ESTRUTURA!O268</f>
        <v/>
      </c>
      <c r="O267" s="111" t="str">
        <f>ESTRUTURA!Q268</f>
        <v/>
      </c>
      <c r="P267" s="113" t="str">
        <f>IF($M267="","",IF(M267=prazo_sub,1,IFERROR(TRUNC(ESTRUTURA!AE268/ESTRUTURA!AG267,6),0)*100))</f>
        <v/>
      </c>
      <c r="Q267" s="112"/>
    </row>
    <row r="268" spans="1:17" x14ac:dyDescent="0.3">
      <c r="A268" s="110" t="str">
        <f>IF(ESTRUTURA!A269&gt;prazo_se,"",ESTRUTURA!A269)</f>
        <v/>
      </c>
      <c r="B268" s="111" t="str">
        <f>ESTRUTURA!C269</f>
        <v/>
      </c>
      <c r="C268" s="111" t="str">
        <f>ESTRUTURA!E269</f>
        <v/>
      </c>
      <c r="D268" s="113" t="str">
        <f>IF($A268="","",IF(A268=prazo_se,1,IFERROR(TRUNC(ESTRUTURA!R269/ESTRUTURA!T268,6),0)*100))</f>
        <v/>
      </c>
      <c r="E268" s="112"/>
      <c r="G268" s="110" t="str">
        <f>IF(ESTRUTURA!A269&gt;prazo_subp,"",ESTRUTURA!A269)</f>
        <v/>
      </c>
      <c r="H268" s="111" t="str">
        <f>IF(G268="","",ESTRUTURA!C269)</f>
        <v/>
      </c>
      <c r="I268" s="111" t="str">
        <f>IF(G268="","",ESTRUTURA!E269)</f>
        <v/>
      </c>
      <c r="J268" s="113" t="str">
        <f>IF($G268="","",IF(G268=prazo_subp,1,IFERROR(TRUNC(ESTRUTURA!Y269/ESTRUTURA!AA268,6),0)*100))</f>
        <v/>
      </c>
      <c r="K268" s="112"/>
      <c r="M268" s="110" t="str">
        <f>ESTRUTURA!M269</f>
        <v/>
      </c>
      <c r="N268" s="111" t="str">
        <f>ESTRUTURA!O269</f>
        <v/>
      </c>
      <c r="O268" s="111" t="str">
        <f>ESTRUTURA!Q269</f>
        <v/>
      </c>
      <c r="P268" s="113" t="str">
        <f>IF($M268="","",IF(M268=prazo_sub,1,IFERROR(TRUNC(ESTRUTURA!AE269/ESTRUTURA!AG268,6),0)*100))</f>
        <v/>
      </c>
      <c r="Q268" s="112"/>
    </row>
    <row r="269" spans="1:17" x14ac:dyDescent="0.3">
      <c r="A269" s="110" t="str">
        <f>IF(ESTRUTURA!A270&gt;prazo_se,"",ESTRUTURA!A270)</f>
        <v/>
      </c>
      <c r="B269" s="111" t="str">
        <f>ESTRUTURA!C270</f>
        <v/>
      </c>
      <c r="C269" s="111" t="str">
        <f>ESTRUTURA!E270</f>
        <v/>
      </c>
      <c r="D269" s="113" t="str">
        <f>IF($A269="","",IF(A269=prazo_se,1,IFERROR(TRUNC(ESTRUTURA!R270/ESTRUTURA!T269,6),0)*100))</f>
        <v/>
      </c>
      <c r="E269" s="112"/>
      <c r="G269" s="110" t="str">
        <f>IF(ESTRUTURA!A270&gt;prazo_subp,"",ESTRUTURA!A270)</f>
        <v/>
      </c>
      <c r="H269" s="111" t="str">
        <f>IF(G269="","",ESTRUTURA!C270)</f>
        <v/>
      </c>
      <c r="I269" s="111" t="str">
        <f>IF(G269="","",ESTRUTURA!E270)</f>
        <v/>
      </c>
      <c r="J269" s="113" t="str">
        <f>IF($G269="","",IF(G269=prazo_subp,1,IFERROR(TRUNC(ESTRUTURA!Y270/ESTRUTURA!AA269,6),0)*100))</f>
        <v/>
      </c>
      <c r="K269" s="112"/>
      <c r="M269" s="110" t="str">
        <f>ESTRUTURA!M270</f>
        <v/>
      </c>
      <c r="N269" s="111" t="str">
        <f>ESTRUTURA!O270</f>
        <v/>
      </c>
      <c r="O269" s="111" t="str">
        <f>ESTRUTURA!Q270</f>
        <v/>
      </c>
      <c r="P269" s="113" t="str">
        <f>IF($M269="","",IF(M269=prazo_sub,1,IFERROR(TRUNC(ESTRUTURA!AE270/ESTRUTURA!AG269,6),0)*100))</f>
        <v/>
      </c>
      <c r="Q269" s="112"/>
    </row>
    <row r="270" spans="1:17" x14ac:dyDescent="0.3">
      <c r="A270" s="110" t="str">
        <f>IF(ESTRUTURA!A271&gt;prazo_se,"",ESTRUTURA!A271)</f>
        <v/>
      </c>
      <c r="B270" s="111" t="str">
        <f>ESTRUTURA!C271</f>
        <v/>
      </c>
      <c r="C270" s="111" t="str">
        <f>ESTRUTURA!E271</f>
        <v/>
      </c>
      <c r="D270" s="113" t="str">
        <f>IF($A270="","",IF(A270=prazo_se,1,IFERROR(TRUNC(ESTRUTURA!R271/ESTRUTURA!T270,6),0)*100))</f>
        <v/>
      </c>
      <c r="E270" s="112"/>
      <c r="G270" s="110" t="str">
        <f>IF(ESTRUTURA!A271&gt;prazo_subp,"",ESTRUTURA!A271)</f>
        <v/>
      </c>
      <c r="H270" s="111" t="str">
        <f>IF(G270="","",ESTRUTURA!C271)</f>
        <v/>
      </c>
      <c r="I270" s="111" t="str">
        <f>IF(G270="","",ESTRUTURA!E271)</f>
        <v/>
      </c>
      <c r="J270" s="113" t="str">
        <f>IF($G270="","",IF(G270=prazo_subp,1,IFERROR(TRUNC(ESTRUTURA!Y271/ESTRUTURA!AA270,6),0)*100))</f>
        <v/>
      </c>
      <c r="K270" s="112"/>
      <c r="M270" s="110" t="str">
        <f>ESTRUTURA!M271</f>
        <v/>
      </c>
      <c r="N270" s="111" t="str">
        <f>ESTRUTURA!O271</f>
        <v/>
      </c>
      <c r="O270" s="111" t="str">
        <f>ESTRUTURA!Q271</f>
        <v/>
      </c>
      <c r="P270" s="113" t="str">
        <f>IF($M270="","",IF(M270=prazo_sub,1,IFERROR(TRUNC(ESTRUTURA!AE271/ESTRUTURA!AG270,6),0)*100))</f>
        <v/>
      </c>
      <c r="Q270" s="112"/>
    </row>
    <row r="271" spans="1:17" x14ac:dyDescent="0.3">
      <c r="A271" s="110" t="str">
        <f>IF(ESTRUTURA!A272&gt;prazo_se,"",ESTRUTURA!A272)</f>
        <v/>
      </c>
      <c r="B271" s="111" t="str">
        <f>ESTRUTURA!C272</f>
        <v/>
      </c>
      <c r="C271" s="111" t="str">
        <f>ESTRUTURA!E272</f>
        <v/>
      </c>
      <c r="D271" s="113" t="str">
        <f>IF($A271="","",IF(A271=prazo_se,1,IFERROR(TRUNC(ESTRUTURA!R272/ESTRUTURA!T271,6),0)*100))</f>
        <v/>
      </c>
      <c r="E271" s="112"/>
      <c r="G271" s="110" t="str">
        <f>IF(ESTRUTURA!A272&gt;prazo_subp,"",ESTRUTURA!A272)</f>
        <v/>
      </c>
      <c r="H271" s="111" t="str">
        <f>IF(G271="","",ESTRUTURA!C272)</f>
        <v/>
      </c>
      <c r="I271" s="111" t="str">
        <f>IF(G271="","",ESTRUTURA!E272)</f>
        <v/>
      </c>
      <c r="J271" s="113" t="str">
        <f>IF($G271="","",IF(G271=prazo_subp,1,IFERROR(TRUNC(ESTRUTURA!Y272/ESTRUTURA!AA271,6),0)*100))</f>
        <v/>
      </c>
      <c r="K271" s="112"/>
      <c r="M271" s="110" t="str">
        <f>ESTRUTURA!M272</f>
        <v/>
      </c>
      <c r="N271" s="111" t="str">
        <f>ESTRUTURA!O272</f>
        <v/>
      </c>
      <c r="O271" s="111" t="str">
        <f>ESTRUTURA!Q272</f>
        <v/>
      </c>
      <c r="P271" s="113" t="str">
        <f>IF($M271="","",IF(M271=prazo_sub,1,IFERROR(TRUNC(ESTRUTURA!AE272/ESTRUTURA!AG271,6),0)*100))</f>
        <v/>
      </c>
      <c r="Q271" s="112"/>
    </row>
    <row r="272" spans="1:17" x14ac:dyDescent="0.3">
      <c r="A272" s="110" t="str">
        <f>IF(ESTRUTURA!A273&gt;prazo_se,"",ESTRUTURA!A273)</f>
        <v/>
      </c>
      <c r="B272" s="111" t="str">
        <f>ESTRUTURA!C273</f>
        <v/>
      </c>
      <c r="C272" s="111" t="str">
        <f>ESTRUTURA!E273</f>
        <v/>
      </c>
      <c r="D272" s="113" t="str">
        <f>IF($A272="","",IF(A272=prazo_se,1,IFERROR(TRUNC(ESTRUTURA!R273/ESTRUTURA!T272,6),0)*100))</f>
        <v/>
      </c>
      <c r="E272" s="112"/>
      <c r="G272" s="110" t="str">
        <f>IF(ESTRUTURA!A273&gt;prazo_subp,"",ESTRUTURA!A273)</f>
        <v/>
      </c>
      <c r="H272" s="111" t="str">
        <f>IF(G272="","",ESTRUTURA!C273)</f>
        <v/>
      </c>
      <c r="I272" s="111" t="str">
        <f>IF(G272="","",ESTRUTURA!E273)</f>
        <v/>
      </c>
      <c r="J272" s="113" t="str">
        <f>IF($G272="","",IF(G272=prazo_subp,1,IFERROR(TRUNC(ESTRUTURA!Y273/ESTRUTURA!AA272,6),0)*100))</f>
        <v/>
      </c>
      <c r="K272" s="112"/>
      <c r="M272" s="110" t="str">
        <f>ESTRUTURA!M273</f>
        <v/>
      </c>
      <c r="N272" s="111" t="str">
        <f>ESTRUTURA!O273</f>
        <v/>
      </c>
      <c r="O272" s="111" t="str">
        <f>ESTRUTURA!Q273</f>
        <v/>
      </c>
      <c r="P272" s="113" t="str">
        <f>IF($M272="","",IF(M272=prazo_sub,1,IFERROR(TRUNC(ESTRUTURA!AE273/ESTRUTURA!AG272,6),0)*100))</f>
        <v/>
      </c>
      <c r="Q272" s="112"/>
    </row>
    <row r="273" spans="1:17" x14ac:dyDescent="0.3">
      <c r="A273" s="110" t="str">
        <f>IF(ESTRUTURA!A274&gt;prazo_se,"",ESTRUTURA!A274)</f>
        <v/>
      </c>
      <c r="B273" s="111" t="str">
        <f>ESTRUTURA!C274</f>
        <v/>
      </c>
      <c r="C273" s="111" t="str">
        <f>ESTRUTURA!E274</f>
        <v/>
      </c>
      <c r="D273" s="113" t="str">
        <f>IF($A273="","",IF(A273=prazo_se,1,IFERROR(TRUNC(ESTRUTURA!R274/ESTRUTURA!T273,6),0)*100))</f>
        <v/>
      </c>
      <c r="E273" s="112"/>
      <c r="G273" s="110" t="str">
        <f>IF(ESTRUTURA!A274&gt;prazo_subp,"",ESTRUTURA!A274)</f>
        <v/>
      </c>
      <c r="H273" s="111" t="str">
        <f>IF(G273="","",ESTRUTURA!C274)</f>
        <v/>
      </c>
      <c r="I273" s="111" t="str">
        <f>IF(G273="","",ESTRUTURA!E274)</f>
        <v/>
      </c>
      <c r="J273" s="113" t="str">
        <f>IF($G273="","",IF(G273=prazo_subp,1,IFERROR(TRUNC(ESTRUTURA!Y274/ESTRUTURA!AA273,6),0)*100))</f>
        <v/>
      </c>
      <c r="K273" s="112"/>
      <c r="M273" s="110" t="str">
        <f>ESTRUTURA!M274</f>
        <v/>
      </c>
      <c r="N273" s="111" t="str">
        <f>ESTRUTURA!O274</f>
        <v/>
      </c>
      <c r="O273" s="111" t="str">
        <f>ESTRUTURA!Q274</f>
        <v/>
      </c>
      <c r="P273" s="113" t="str">
        <f>IF($M273="","",IF(M273=prazo_sub,1,IFERROR(TRUNC(ESTRUTURA!AE274/ESTRUTURA!AG273,6),0)*100))</f>
        <v/>
      </c>
      <c r="Q273" s="112"/>
    </row>
    <row r="274" spans="1:17" x14ac:dyDescent="0.3">
      <c r="A274" s="110" t="str">
        <f>IF(ESTRUTURA!A275&gt;prazo_se,"",ESTRUTURA!A275)</f>
        <v/>
      </c>
      <c r="B274" s="111" t="str">
        <f>ESTRUTURA!C275</f>
        <v/>
      </c>
      <c r="C274" s="111" t="str">
        <f>ESTRUTURA!E275</f>
        <v/>
      </c>
      <c r="D274" s="113" t="str">
        <f>IF($A274="","",IF(A274=prazo_se,1,IFERROR(TRUNC(ESTRUTURA!R275/ESTRUTURA!T274,6),0)*100))</f>
        <v/>
      </c>
      <c r="E274" s="112"/>
      <c r="G274" s="110" t="str">
        <f>IF(ESTRUTURA!A275&gt;prazo_subp,"",ESTRUTURA!A275)</f>
        <v/>
      </c>
      <c r="H274" s="111" t="str">
        <f>IF(G274="","",ESTRUTURA!C275)</f>
        <v/>
      </c>
      <c r="I274" s="111" t="str">
        <f>IF(G274="","",ESTRUTURA!E275)</f>
        <v/>
      </c>
      <c r="J274" s="113" t="str">
        <f>IF($G274="","",IF(G274=prazo_subp,1,IFERROR(TRUNC(ESTRUTURA!Y275/ESTRUTURA!AA274,6),0)*100))</f>
        <v/>
      </c>
      <c r="K274" s="112"/>
      <c r="M274" s="110" t="str">
        <f>ESTRUTURA!M275</f>
        <v/>
      </c>
      <c r="N274" s="111" t="str">
        <f>ESTRUTURA!O275</f>
        <v/>
      </c>
      <c r="O274" s="111" t="str">
        <f>ESTRUTURA!Q275</f>
        <v/>
      </c>
      <c r="P274" s="113" t="str">
        <f>IF($M274="","",IF(M274=prazo_sub,1,IFERROR(TRUNC(ESTRUTURA!AE275/ESTRUTURA!AG274,6),0)*100))</f>
        <v/>
      </c>
      <c r="Q274" s="112"/>
    </row>
    <row r="275" spans="1:17" x14ac:dyDescent="0.3">
      <c r="A275" s="110" t="str">
        <f>IF(ESTRUTURA!A276&gt;prazo_se,"",ESTRUTURA!A276)</f>
        <v/>
      </c>
      <c r="B275" s="111" t="str">
        <f>ESTRUTURA!C276</f>
        <v/>
      </c>
      <c r="C275" s="111" t="str">
        <f>ESTRUTURA!E276</f>
        <v/>
      </c>
      <c r="D275" s="113" t="str">
        <f>IF($A275="","",IF(A275=prazo_se,1,IFERROR(TRUNC(ESTRUTURA!R276/ESTRUTURA!T275,6),0)*100))</f>
        <v/>
      </c>
      <c r="E275" s="112"/>
      <c r="G275" s="110" t="str">
        <f>IF(ESTRUTURA!A276&gt;prazo_subp,"",ESTRUTURA!A276)</f>
        <v/>
      </c>
      <c r="H275" s="111" t="str">
        <f>IF(G275="","",ESTRUTURA!C276)</f>
        <v/>
      </c>
      <c r="I275" s="111" t="str">
        <f>IF(G275="","",ESTRUTURA!E276)</f>
        <v/>
      </c>
      <c r="J275" s="113" t="str">
        <f>IF($G275="","",IF(G275=prazo_subp,1,IFERROR(TRUNC(ESTRUTURA!Y276/ESTRUTURA!AA275,6),0)*100))</f>
        <v/>
      </c>
      <c r="K275" s="112"/>
      <c r="M275" s="110" t="str">
        <f>ESTRUTURA!M276</f>
        <v/>
      </c>
      <c r="N275" s="111" t="str">
        <f>ESTRUTURA!O276</f>
        <v/>
      </c>
      <c r="O275" s="111" t="str">
        <f>ESTRUTURA!Q276</f>
        <v/>
      </c>
      <c r="P275" s="113" t="str">
        <f>IF($M275="","",IF(M275=prazo_sub,1,IFERROR(TRUNC(ESTRUTURA!AE276/ESTRUTURA!AG275,6),0)*100))</f>
        <v/>
      </c>
      <c r="Q275" s="112"/>
    </row>
    <row r="276" spans="1:17" x14ac:dyDescent="0.3">
      <c r="A276" s="110" t="str">
        <f>IF(ESTRUTURA!A277&gt;prazo_se,"",ESTRUTURA!A277)</f>
        <v/>
      </c>
      <c r="B276" s="111" t="str">
        <f>ESTRUTURA!C277</f>
        <v/>
      </c>
      <c r="C276" s="111" t="str">
        <f>ESTRUTURA!E277</f>
        <v/>
      </c>
      <c r="D276" s="113" t="str">
        <f>IF($A276="","",IF(A276=prazo_se,1,IFERROR(TRUNC(ESTRUTURA!R277/ESTRUTURA!T276,6),0)*100))</f>
        <v/>
      </c>
      <c r="E276" s="112"/>
      <c r="G276" s="110" t="str">
        <f>IF(ESTRUTURA!A277&gt;prazo_subp,"",ESTRUTURA!A277)</f>
        <v/>
      </c>
      <c r="H276" s="111" t="str">
        <f>IF(G276="","",ESTRUTURA!C277)</f>
        <v/>
      </c>
      <c r="I276" s="111" t="str">
        <f>IF(G276="","",ESTRUTURA!E277)</f>
        <v/>
      </c>
      <c r="J276" s="113" t="str">
        <f>IF($G276="","",IF(G276=prazo_subp,1,IFERROR(TRUNC(ESTRUTURA!Y277/ESTRUTURA!AA276,6),0)*100))</f>
        <v/>
      </c>
      <c r="K276" s="112"/>
      <c r="M276" s="110" t="str">
        <f>ESTRUTURA!M277</f>
        <v/>
      </c>
      <c r="N276" s="111" t="str">
        <f>ESTRUTURA!O277</f>
        <v/>
      </c>
      <c r="O276" s="111" t="str">
        <f>ESTRUTURA!Q277</f>
        <v/>
      </c>
      <c r="P276" s="113" t="str">
        <f>IF($M276="","",IF(M276=prazo_sub,1,IFERROR(TRUNC(ESTRUTURA!AE277/ESTRUTURA!AG276,6),0)*100))</f>
        <v/>
      </c>
      <c r="Q276" s="112"/>
    </row>
    <row r="277" spans="1:17" x14ac:dyDescent="0.3">
      <c r="A277" s="110" t="str">
        <f>IF(ESTRUTURA!A278&gt;prazo_se,"",ESTRUTURA!A278)</f>
        <v/>
      </c>
      <c r="B277" s="111" t="str">
        <f>ESTRUTURA!C278</f>
        <v/>
      </c>
      <c r="C277" s="111" t="str">
        <f>ESTRUTURA!E278</f>
        <v/>
      </c>
      <c r="D277" s="113" t="str">
        <f>IF($A277="","",IF(A277=prazo_se,1,IFERROR(TRUNC(ESTRUTURA!R278/ESTRUTURA!T277,6),0)*100))</f>
        <v/>
      </c>
      <c r="E277" s="112"/>
      <c r="G277" s="110" t="str">
        <f>IF(ESTRUTURA!A278&gt;prazo_subp,"",ESTRUTURA!A278)</f>
        <v/>
      </c>
      <c r="H277" s="111" t="str">
        <f>IF(G277="","",ESTRUTURA!C278)</f>
        <v/>
      </c>
      <c r="I277" s="111" t="str">
        <f>IF(G277="","",ESTRUTURA!E278)</f>
        <v/>
      </c>
      <c r="J277" s="113" t="str">
        <f>IF($G277="","",IF(G277=prazo_subp,1,IFERROR(TRUNC(ESTRUTURA!Y278/ESTRUTURA!AA277,6),0)*100))</f>
        <v/>
      </c>
      <c r="K277" s="112"/>
      <c r="M277" s="110" t="str">
        <f>ESTRUTURA!M278</f>
        <v/>
      </c>
      <c r="N277" s="111" t="str">
        <f>ESTRUTURA!O278</f>
        <v/>
      </c>
      <c r="O277" s="111" t="str">
        <f>ESTRUTURA!Q278</f>
        <v/>
      </c>
      <c r="P277" s="113" t="str">
        <f>IF($M277="","",IF(M277=prazo_sub,1,IFERROR(TRUNC(ESTRUTURA!AE278/ESTRUTURA!AG277,6),0)*100))</f>
        <v/>
      </c>
      <c r="Q277" s="112"/>
    </row>
    <row r="278" spans="1:17" x14ac:dyDescent="0.3">
      <c r="A278" s="110" t="str">
        <f>IF(ESTRUTURA!A279&gt;prazo_se,"",ESTRUTURA!A279)</f>
        <v/>
      </c>
      <c r="B278" s="111" t="str">
        <f>ESTRUTURA!C279</f>
        <v/>
      </c>
      <c r="C278" s="111" t="str">
        <f>ESTRUTURA!E279</f>
        <v/>
      </c>
      <c r="D278" s="113" t="str">
        <f>IF($A278="","",IF(A278=prazo_se,1,IFERROR(TRUNC(ESTRUTURA!R279/ESTRUTURA!T278,6),0)*100))</f>
        <v/>
      </c>
      <c r="E278" s="112"/>
      <c r="G278" s="110" t="str">
        <f>IF(ESTRUTURA!A279&gt;prazo_subp,"",ESTRUTURA!A279)</f>
        <v/>
      </c>
      <c r="H278" s="111" t="str">
        <f>IF(G278="","",ESTRUTURA!C279)</f>
        <v/>
      </c>
      <c r="I278" s="111" t="str">
        <f>IF(G278="","",ESTRUTURA!E279)</f>
        <v/>
      </c>
      <c r="J278" s="113" t="str">
        <f>IF($G278="","",IF(G278=prazo_subp,1,IFERROR(TRUNC(ESTRUTURA!Y279/ESTRUTURA!AA278,6),0)*100))</f>
        <v/>
      </c>
      <c r="K278" s="112"/>
      <c r="M278" s="110" t="str">
        <f>ESTRUTURA!M279</f>
        <v/>
      </c>
      <c r="N278" s="111" t="str">
        <f>ESTRUTURA!O279</f>
        <v/>
      </c>
      <c r="O278" s="111" t="str">
        <f>ESTRUTURA!Q279</f>
        <v/>
      </c>
      <c r="P278" s="113" t="str">
        <f>IF($M278="","",IF(M278=prazo_sub,1,IFERROR(TRUNC(ESTRUTURA!AE279/ESTRUTURA!AG278,6),0)*100))</f>
        <v/>
      </c>
      <c r="Q278" s="112"/>
    </row>
    <row r="279" spans="1:17" x14ac:dyDescent="0.3">
      <c r="A279" s="110" t="str">
        <f>IF(ESTRUTURA!A280&gt;prazo_se,"",ESTRUTURA!A280)</f>
        <v/>
      </c>
      <c r="B279" s="111" t="str">
        <f>ESTRUTURA!C280</f>
        <v/>
      </c>
      <c r="C279" s="111" t="str">
        <f>ESTRUTURA!E280</f>
        <v/>
      </c>
      <c r="D279" s="113" t="str">
        <f>IF($A279="","",IF(A279=prazo_se,1,IFERROR(TRUNC(ESTRUTURA!R280/ESTRUTURA!T279,6),0)*100))</f>
        <v/>
      </c>
      <c r="E279" s="112"/>
      <c r="G279" s="110" t="str">
        <f>IF(ESTRUTURA!A280&gt;prazo_subp,"",ESTRUTURA!A280)</f>
        <v/>
      </c>
      <c r="H279" s="111" t="str">
        <f>IF(G279="","",ESTRUTURA!C280)</f>
        <v/>
      </c>
      <c r="I279" s="111" t="str">
        <f>IF(G279="","",ESTRUTURA!E280)</f>
        <v/>
      </c>
      <c r="J279" s="113" t="str">
        <f>IF($G279="","",IF(G279=prazo_subp,1,IFERROR(TRUNC(ESTRUTURA!Y280/ESTRUTURA!AA279,6),0)*100))</f>
        <v/>
      </c>
      <c r="K279" s="112"/>
      <c r="M279" s="110" t="str">
        <f>ESTRUTURA!M280</f>
        <v/>
      </c>
      <c r="N279" s="111" t="str">
        <f>ESTRUTURA!O280</f>
        <v/>
      </c>
      <c r="O279" s="111" t="str">
        <f>ESTRUTURA!Q280</f>
        <v/>
      </c>
      <c r="P279" s="113" t="str">
        <f>IF($M279="","",IF(M279=prazo_sub,1,IFERROR(TRUNC(ESTRUTURA!AE280/ESTRUTURA!AG279,6),0)*100))</f>
        <v/>
      </c>
      <c r="Q279" s="112"/>
    </row>
    <row r="280" spans="1:17" x14ac:dyDescent="0.3">
      <c r="A280" s="110" t="str">
        <f>IF(ESTRUTURA!A281&gt;prazo_se,"",ESTRUTURA!A281)</f>
        <v/>
      </c>
      <c r="B280" s="111" t="str">
        <f>ESTRUTURA!C281</f>
        <v/>
      </c>
      <c r="C280" s="111" t="str">
        <f>ESTRUTURA!E281</f>
        <v/>
      </c>
      <c r="D280" s="113" t="str">
        <f>IF($A280="","",IF(A280=prazo_se,1,IFERROR(TRUNC(ESTRUTURA!R281/ESTRUTURA!T280,6),0)*100))</f>
        <v/>
      </c>
      <c r="E280" s="112"/>
      <c r="G280" s="110" t="str">
        <f>IF(ESTRUTURA!A281&gt;prazo_subp,"",ESTRUTURA!A281)</f>
        <v/>
      </c>
      <c r="H280" s="111" t="str">
        <f>IF(G280="","",ESTRUTURA!C281)</f>
        <v/>
      </c>
      <c r="I280" s="111" t="str">
        <f>IF(G280="","",ESTRUTURA!E281)</f>
        <v/>
      </c>
      <c r="J280" s="113" t="str">
        <f>IF($G280="","",IF(G280=prazo_subp,1,IFERROR(TRUNC(ESTRUTURA!Y281/ESTRUTURA!AA280,6),0)*100))</f>
        <v/>
      </c>
      <c r="K280" s="112"/>
      <c r="M280" s="110" t="str">
        <f>ESTRUTURA!M281</f>
        <v/>
      </c>
      <c r="N280" s="111" t="str">
        <f>ESTRUTURA!O281</f>
        <v/>
      </c>
      <c r="O280" s="111" t="str">
        <f>ESTRUTURA!Q281</f>
        <v/>
      </c>
      <c r="P280" s="113" t="str">
        <f>IF($M280="","",IF(M280=prazo_sub,1,IFERROR(TRUNC(ESTRUTURA!AE281/ESTRUTURA!AG280,6),0)*100))</f>
        <v/>
      </c>
      <c r="Q280" s="112"/>
    </row>
    <row r="281" spans="1:17" x14ac:dyDescent="0.3">
      <c r="A281" s="110" t="str">
        <f>IF(ESTRUTURA!A282&gt;prazo_se,"",ESTRUTURA!A282)</f>
        <v/>
      </c>
      <c r="B281" s="111" t="str">
        <f>ESTRUTURA!C282</f>
        <v/>
      </c>
      <c r="C281" s="111" t="str">
        <f>ESTRUTURA!E282</f>
        <v/>
      </c>
      <c r="D281" s="113" t="str">
        <f>IF($A281="","",IF(A281=prazo_se,1,IFERROR(TRUNC(ESTRUTURA!R282/ESTRUTURA!T281,6),0)*100))</f>
        <v/>
      </c>
      <c r="E281" s="112"/>
      <c r="G281" s="110" t="str">
        <f>IF(ESTRUTURA!A282&gt;prazo_subp,"",ESTRUTURA!A282)</f>
        <v/>
      </c>
      <c r="H281" s="111" t="str">
        <f>IF(G281="","",ESTRUTURA!C282)</f>
        <v/>
      </c>
      <c r="I281" s="111" t="str">
        <f>IF(G281="","",ESTRUTURA!E282)</f>
        <v/>
      </c>
      <c r="J281" s="113" t="str">
        <f>IF($G281="","",IF(G281=prazo_subp,1,IFERROR(TRUNC(ESTRUTURA!Y282/ESTRUTURA!AA281,6),0)*100))</f>
        <v/>
      </c>
      <c r="K281" s="112"/>
      <c r="M281" s="110" t="str">
        <f>ESTRUTURA!M282</f>
        <v/>
      </c>
      <c r="N281" s="111" t="str">
        <f>ESTRUTURA!O282</f>
        <v/>
      </c>
      <c r="O281" s="111" t="str">
        <f>ESTRUTURA!Q282</f>
        <v/>
      </c>
      <c r="P281" s="113" t="str">
        <f>IF($M281="","",IF(M281=prazo_sub,1,IFERROR(TRUNC(ESTRUTURA!AE282/ESTRUTURA!AG281,6),0)*100))</f>
        <v/>
      </c>
      <c r="Q281" s="112"/>
    </row>
    <row r="282" spans="1:17" x14ac:dyDescent="0.3">
      <c r="A282" s="110" t="str">
        <f>IF(ESTRUTURA!A283&gt;prazo_se,"",ESTRUTURA!A283)</f>
        <v/>
      </c>
      <c r="B282" s="111" t="str">
        <f>ESTRUTURA!C283</f>
        <v/>
      </c>
      <c r="C282" s="111" t="str">
        <f>ESTRUTURA!E283</f>
        <v/>
      </c>
      <c r="D282" s="113" t="str">
        <f>IF($A282="","",IF(A282=prazo_se,1,IFERROR(TRUNC(ESTRUTURA!R283/ESTRUTURA!T282,6),0)*100))</f>
        <v/>
      </c>
      <c r="E282" s="112"/>
      <c r="G282" s="110" t="str">
        <f>IF(ESTRUTURA!A283&gt;prazo_subp,"",ESTRUTURA!A283)</f>
        <v/>
      </c>
      <c r="H282" s="111" t="str">
        <f>IF(G282="","",ESTRUTURA!C283)</f>
        <v/>
      </c>
      <c r="I282" s="111" t="str">
        <f>IF(G282="","",ESTRUTURA!E283)</f>
        <v/>
      </c>
      <c r="J282" s="113" t="str">
        <f>IF($G282="","",IF(G282=prazo_subp,1,IFERROR(TRUNC(ESTRUTURA!Y283/ESTRUTURA!AA282,6),0)*100))</f>
        <v/>
      </c>
      <c r="K282" s="112"/>
      <c r="M282" s="110" t="str">
        <f>ESTRUTURA!M283</f>
        <v/>
      </c>
      <c r="N282" s="111" t="str">
        <f>ESTRUTURA!O283</f>
        <v/>
      </c>
      <c r="O282" s="111" t="str">
        <f>ESTRUTURA!Q283</f>
        <v/>
      </c>
      <c r="P282" s="113" t="str">
        <f>IF($M282="","",IF(M282=prazo_sub,1,IFERROR(TRUNC(ESTRUTURA!AE283/ESTRUTURA!AG282,6),0)*100))</f>
        <v/>
      </c>
      <c r="Q282" s="112"/>
    </row>
    <row r="283" spans="1:17" x14ac:dyDescent="0.3">
      <c r="A283" s="110" t="str">
        <f>IF(ESTRUTURA!A284&gt;prazo_se,"",ESTRUTURA!A284)</f>
        <v/>
      </c>
      <c r="B283" s="111" t="str">
        <f>ESTRUTURA!C284</f>
        <v/>
      </c>
      <c r="C283" s="111" t="str">
        <f>ESTRUTURA!E284</f>
        <v/>
      </c>
      <c r="D283" s="113" t="str">
        <f>IF($A283="","",IF(A283=prazo_se,1,IFERROR(TRUNC(ESTRUTURA!R284/ESTRUTURA!T283,6),0)*100))</f>
        <v/>
      </c>
      <c r="E283" s="112"/>
      <c r="G283" s="110" t="str">
        <f>IF(ESTRUTURA!A284&gt;prazo_subp,"",ESTRUTURA!A284)</f>
        <v/>
      </c>
      <c r="H283" s="111" t="str">
        <f>IF(G283="","",ESTRUTURA!C284)</f>
        <v/>
      </c>
      <c r="I283" s="111" t="str">
        <f>IF(G283="","",ESTRUTURA!E284)</f>
        <v/>
      </c>
      <c r="J283" s="113" t="str">
        <f>IF($G283="","",IF(G283=prazo_subp,1,IFERROR(TRUNC(ESTRUTURA!Y284/ESTRUTURA!AA283,6),0)*100))</f>
        <v/>
      </c>
      <c r="K283" s="112"/>
      <c r="M283" s="110" t="str">
        <f>ESTRUTURA!M284</f>
        <v/>
      </c>
      <c r="N283" s="111" t="str">
        <f>ESTRUTURA!O284</f>
        <v/>
      </c>
      <c r="O283" s="111" t="str">
        <f>ESTRUTURA!Q284</f>
        <v/>
      </c>
      <c r="P283" s="113" t="str">
        <f>IF($M283="","",IF(M283=prazo_sub,1,IFERROR(TRUNC(ESTRUTURA!AE284/ESTRUTURA!AG283,6),0)*100))</f>
        <v/>
      </c>
      <c r="Q283" s="112"/>
    </row>
    <row r="284" spans="1:17" x14ac:dyDescent="0.3">
      <c r="A284" s="110" t="str">
        <f>IF(ESTRUTURA!A285&gt;prazo_se,"",ESTRUTURA!A285)</f>
        <v/>
      </c>
      <c r="B284" s="111" t="str">
        <f>ESTRUTURA!C285</f>
        <v/>
      </c>
      <c r="C284" s="111" t="str">
        <f>ESTRUTURA!E285</f>
        <v/>
      </c>
      <c r="D284" s="113" t="str">
        <f>IF($A284="","",IF(A284=prazo_se,1,IFERROR(TRUNC(ESTRUTURA!R285/ESTRUTURA!T284,6),0)*100))</f>
        <v/>
      </c>
      <c r="E284" s="112"/>
      <c r="G284" s="110" t="str">
        <f>IF(ESTRUTURA!A285&gt;prazo_subp,"",ESTRUTURA!A285)</f>
        <v/>
      </c>
      <c r="H284" s="111" t="str">
        <f>IF(G284="","",ESTRUTURA!C285)</f>
        <v/>
      </c>
      <c r="I284" s="111" t="str">
        <f>IF(G284="","",ESTRUTURA!E285)</f>
        <v/>
      </c>
      <c r="J284" s="113" t="str">
        <f>IF($G284="","",IF(G284=prazo_subp,1,IFERROR(TRUNC(ESTRUTURA!Y285/ESTRUTURA!AA284,6),0)*100))</f>
        <v/>
      </c>
      <c r="K284" s="112"/>
      <c r="M284" s="110" t="str">
        <f>ESTRUTURA!M285</f>
        <v/>
      </c>
      <c r="N284" s="111" t="str">
        <f>ESTRUTURA!O285</f>
        <v/>
      </c>
      <c r="O284" s="111" t="str">
        <f>ESTRUTURA!Q285</f>
        <v/>
      </c>
      <c r="P284" s="113" t="str">
        <f>IF($M284="","",IF(M284=prazo_sub,1,IFERROR(TRUNC(ESTRUTURA!AE285/ESTRUTURA!AG284,6),0)*100))</f>
        <v/>
      </c>
      <c r="Q284" s="112"/>
    </row>
    <row r="285" spans="1:17" x14ac:dyDescent="0.3">
      <c r="A285" s="110" t="str">
        <f>IF(ESTRUTURA!A286&gt;prazo_se,"",ESTRUTURA!A286)</f>
        <v/>
      </c>
      <c r="B285" s="111" t="str">
        <f>ESTRUTURA!C286</f>
        <v/>
      </c>
      <c r="C285" s="111" t="str">
        <f>ESTRUTURA!E286</f>
        <v/>
      </c>
      <c r="D285" s="113" t="str">
        <f>IF($A285="","",IF(A285=prazo_se,1,IFERROR(TRUNC(ESTRUTURA!R286/ESTRUTURA!T285,6),0)*100))</f>
        <v/>
      </c>
      <c r="E285" s="112"/>
      <c r="G285" s="110" t="str">
        <f>IF(ESTRUTURA!A286&gt;prazo_subp,"",ESTRUTURA!A286)</f>
        <v/>
      </c>
      <c r="H285" s="111" t="str">
        <f>IF(G285="","",ESTRUTURA!C286)</f>
        <v/>
      </c>
      <c r="I285" s="111" t="str">
        <f>IF(G285="","",ESTRUTURA!E286)</f>
        <v/>
      </c>
      <c r="J285" s="113" t="str">
        <f>IF($G285="","",IF(G285=prazo_subp,1,IFERROR(TRUNC(ESTRUTURA!Y286/ESTRUTURA!AA285,6),0)*100))</f>
        <v/>
      </c>
      <c r="K285" s="112"/>
      <c r="M285" s="110" t="str">
        <f>ESTRUTURA!M286</f>
        <v/>
      </c>
      <c r="N285" s="111" t="str">
        <f>ESTRUTURA!O286</f>
        <v/>
      </c>
      <c r="O285" s="111" t="str">
        <f>ESTRUTURA!Q286</f>
        <v/>
      </c>
      <c r="P285" s="113" t="str">
        <f>IF($M285="","",IF(M285=prazo_sub,1,IFERROR(TRUNC(ESTRUTURA!AE286/ESTRUTURA!AG285,6),0)*100))</f>
        <v/>
      </c>
      <c r="Q285" s="112"/>
    </row>
    <row r="286" spans="1:17" x14ac:dyDescent="0.3">
      <c r="A286" s="110" t="str">
        <f>IF(ESTRUTURA!A287&gt;prazo_se,"",ESTRUTURA!A287)</f>
        <v/>
      </c>
      <c r="B286" s="111" t="str">
        <f>ESTRUTURA!C287</f>
        <v/>
      </c>
      <c r="C286" s="111" t="str">
        <f>ESTRUTURA!E287</f>
        <v/>
      </c>
      <c r="D286" s="113" t="str">
        <f>IF($A286="","",IF(A286=prazo_se,1,IFERROR(TRUNC(ESTRUTURA!R287/ESTRUTURA!T286,6),0)*100))</f>
        <v/>
      </c>
      <c r="E286" s="112"/>
      <c r="G286" s="110" t="str">
        <f>IF(ESTRUTURA!A287&gt;prazo_subp,"",ESTRUTURA!A287)</f>
        <v/>
      </c>
      <c r="H286" s="111" t="str">
        <f>IF(G286="","",ESTRUTURA!C287)</f>
        <v/>
      </c>
      <c r="I286" s="111" t="str">
        <f>IF(G286="","",ESTRUTURA!E287)</f>
        <v/>
      </c>
      <c r="J286" s="113" t="str">
        <f>IF($G286="","",IF(G286=prazo_subp,1,IFERROR(TRUNC(ESTRUTURA!Y287/ESTRUTURA!AA286,6),0)*100))</f>
        <v/>
      </c>
      <c r="K286" s="112"/>
      <c r="M286" s="110" t="str">
        <f>ESTRUTURA!M287</f>
        <v/>
      </c>
      <c r="N286" s="111" t="str">
        <f>ESTRUTURA!O287</f>
        <v/>
      </c>
      <c r="O286" s="111" t="str">
        <f>ESTRUTURA!Q287</f>
        <v/>
      </c>
      <c r="P286" s="113" t="str">
        <f>IF($M286="","",IF(M286=prazo_sub,1,IFERROR(TRUNC(ESTRUTURA!AE287/ESTRUTURA!AG286,6),0)*100))</f>
        <v/>
      </c>
      <c r="Q286" s="112"/>
    </row>
    <row r="287" spans="1:17" x14ac:dyDescent="0.3">
      <c r="A287" s="110" t="str">
        <f>IF(ESTRUTURA!A288&gt;prazo_se,"",ESTRUTURA!A288)</f>
        <v/>
      </c>
      <c r="B287" s="111" t="str">
        <f>ESTRUTURA!C288</f>
        <v/>
      </c>
      <c r="C287" s="111" t="str">
        <f>ESTRUTURA!E288</f>
        <v/>
      </c>
      <c r="D287" s="113" t="str">
        <f>IF($A287="","",IF(A287=prazo_se,1,IFERROR(TRUNC(ESTRUTURA!R288/ESTRUTURA!T287,6),0)*100))</f>
        <v/>
      </c>
      <c r="E287" s="112"/>
      <c r="G287" s="110" t="str">
        <f>IF(ESTRUTURA!A288&gt;prazo_subp,"",ESTRUTURA!A288)</f>
        <v/>
      </c>
      <c r="H287" s="111" t="str">
        <f>IF(G287="","",ESTRUTURA!C288)</f>
        <v/>
      </c>
      <c r="I287" s="111" t="str">
        <f>IF(G287="","",ESTRUTURA!E288)</f>
        <v/>
      </c>
      <c r="J287" s="113" t="str">
        <f>IF($G287="","",IF(G287=prazo_subp,1,IFERROR(TRUNC(ESTRUTURA!Y288/ESTRUTURA!AA287,6),0)*100))</f>
        <v/>
      </c>
      <c r="K287" s="112"/>
      <c r="M287" s="110" t="str">
        <f>ESTRUTURA!M288</f>
        <v/>
      </c>
      <c r="N287" s="111" t="str">
        <f>ESTRUTURA!O288</f>
        <v/>
      </c>
      <c r="O287" s="111" t="str">
        <f>ESTRUTURA!Q288</f>
        <v/>
      </c>
      <c r="P287" s="113" t="str">
        <f>IF($M287="","",IF(M287=prazo_sub,1,IFERROR(TRUNC(ESTRUTURA!AE288/ESTRUTURA!AG287,6),0)*100))</f>
        <v/>
      </c>
      <c r="Q287" s="112"/>
    </row>
    <row r="288" spans="1:17" x14ac:dyDescent="0.3">
      <c r="A288" s="110" t="str">
        <f>IF(ESTRUTURA!A289&gt;prazo_se,"",ESTRUTURA!A289)</f>
        <v/>
      </c>
      <c r="B288" s="111" t="str">
        <f>ESTRUTURA!C289</f>
        <v/>
      </c>
      <c r="C288" s="111" t="str">
        <f>ESTRUTURA!E289</f>
        <v/>
      </c>
      <c r="D288" s="113" t="str">
        <f>IF($A288="","",IF(A288=prazo_se,1,IFERROR(TRUNC(ESTRUTURA!R289/ESTRUTURA!T288,6),0)*100))</f>
        <v/>
      </c>
      <c r="E288" s="112"/>
      <c r="G288" s="110" t="str">
        <f>IF(ESTRUTURA!A289&gt;prazo_subp,"",ESTRUTURA!A289)</f>
        <v/>
      </c>
      <c r="H288" s="111" t="str">
        <f>IF(G288="","",ESTRUTURA!C289)</f>
        <v/>
      </c>
      <c r="I288" s="111" t="str">
        <f>IF(G288="","",ESTRUTURA!E289)</f>
        <v/>
      </c>
      <c r="J288" s="113" t="str">
        <f>IF($G288="","",IF(G288=prazo_subp,1,IFERROR(TRUNC(ESTRUTURA!Y289/ESTRUTURA!AA288,6),0)*100))</f>
        <v/>
      </c>
      <c r="K288" s="112"/>
      <c r="M288" s="110" t="str">
        <f>ESTRUTURA!M289</f>
        <v/>
      </c>
      <c r="N288" s="111" t="str">
        <f>ESTRUTURA!O289</f>
        <v/>
      </c>
      <c r="O288" s="111" t="str">
        <f>ESTRUTURA!Q289</f>
        <v/>
      </c>
      <c r="P288" s="113" t="str">
        <f>IF($M288="","",IF(M288=prazo_sub,1,IFERROR(TRUNC(ESTRUTURA!AE289/ESTRUTURA!AG288,6),0)*100))</f>
        <v/>
      </c>
      <c r="Q288" s="112"/>
    </row>
    <row r="289" spans="1:17" x14ac:dyDescent="0.3">
      <c r="A289" s="110" t="str">
        <f>IF(ESTRUTURA!A290&gt;prazo_se,"",ESTRUTURA!A290)</f>
        <v/>
      </c>
      <c r="B289" s="111" t="str">
        <f>ESTRUTURA!C290</f>
        <v/>
      </c>
      <c r="C289" s="111" t="str">
        <f>ESTRUTURA!E290</f>
        <v/>
      </c>
      <c r="D289" s="113" t="str">
        <f>IF($A289="","",IF(A289=prazo_se,1,IFERROR(TRUNC(ESTRUTURA!R290/ESTRUTURA!T289,6),0)*100))</f>
        <v/>
      </c>
      <c r="E289" s="112"/>
      <c r="G289" s="110" t="str">
        <f>IF(ESTRUTURA!A290&gt;prazo_subp,"",ESTRUTURA!A290)</f>
        <v/>
      </c>
      <c r="H289" s="111" t="str">
        <f>IF(G289="","",ESTRUTURA!C290)</f>
        <v/>
      </c>
      <c r="I289" s="111" t="str">
        <f>IF(G289="","",ESTRUTURA!E290)</f>
        <v/>
      </c>
      <c r="J289" s="113" t="str">
        <f>IF($G289="","",IF(G289=prazo_subp,1,IFERROR(TRUNC(ESTRUTURA!Y290/ESTRUTURA!AA289,6),0)*100))</f>
        <v/>
      </c>
      <c r="K289" s="112"/>
      <c r="M289" s="110" t="str">
        <f>ESTRUTURA!M290</f>
        <v/>
      </c>
      <c r="N289" s="111" t="str">
        <f>ESTRUTURA!O290</f>
        <v/>
      </c>
      <c r="O289" s="111" t="str">
        <f>ESTRUTURA!Q290</f>
        <v/>
      </c>
      <c r="P289" s="113" t="str">
        <f>IF($M289="","",IF(M289=prazo_sub,1,IFERROR(TRUNC(ESTRUTURA!AE290/ESTRUTURA!AG289,6),0)*100))</f>
        <v/>
      </c>
      <c r="Q289" s="112"/>
    </row>
    <row r="290" spans="1:17" x14ac:dyDescent="0.3">
      <c r="A290" s="110" t="str">
        <f>IF(ESTRUTURA!A291&gt;prazo_se,"",ESTRUTURA!A291)</f>
        <v/>
      </c>
      <c r="B290" s="111" t="str">
        <f>ESTRUTURA!C291</f>
        <v/>
      </c>
      <c r="C290" s="111" t="str">
        <f>ESTRUTURA!E291</f>
        <v/>
      </c>
      <c r="D290" s="113" t="str">
        <f>IF($A290="","",IF(A290=prazo_se,1,IFERROR(TRUNC(ESTRUTURA!R291/ESTRUTURA!T290,6),0)*100))</f>
        <v/>
      </c>
      <c r="E290" s="112"/>
      <c r="G290" s="110" t="str">
        <f>IF(ESTRUTURA!A291&gt;prazo_subp,"",ESTRUTURA!A291)</f>
        <v/>
      </c>
      <c r="H290" s="111" t="str">
        <f>IF(G290="","",ESTRUTURA!C291)</f>
        <v/>
      </c>
      <c r="I290" s="111" t="str">
        <f>IF(G290="","",ESTRUTURA!E291)</f>
        <v/>
      </c>
      <c r="J290" s="113" t="str">
        <f>IF($G290="","",IF(G290=prazo_subp,1,IFERROR(TRUNC(ESTRUTURA!Y291/ESTRUTURA!AA290,6),0)*100))</f>
        <v/>
      </c>
      <c r="K290" s="112"/>
      <c r="M290" s="110" t="str">
        <f>ESTRUTURA!M291</f>
        <v/>
      </c>
      <c r="N290" s="111" t="str">
        <f>ESTRUTURA!O291</f>
        <v/>
      </c>
      <c r="O290" s="111" t="str">
        <f>ESTRUTURA!Q291</f>
        <v/>
      </c>
      <c r="P290" s="113" t="str">
        <f>IF($M290="","",IF(M290=prazo_sub,1,IFERROR(TRUNC(ESTRUTURA!AE291/ESTRUTURA!AG290,6),0)*100))</f>
        <v/>
      </c>
      <c r="Q290" s="112"/>
    </row>
    <row r="291" spans="1:17" x14ac:dyDescent="0.3">
      <c r="A291" s="110" t="str">
        <f>IF(ESTRUTURA!A292&gt;prazo_se,"",ESTRUTURA!A292)</f>
        <v/>
      </c>
      <c r="B291" s="111" t="str">
        <f>ESTRUTURA!C292</f>
        <v/>
      </c>
      <c r="C291" s="111" t="str">
        <f>ESTRUTURA!E292</f>
        <v/>
      </c>
      <c r="D291" s="113" t="str">
        <f>IF($A291="","",IF(A291=prazo_se,1,IFERROR(TRUNC(ESTRUTURA!R292/ESTRUTURA!T291,6),0)*100))</f>
        <v/>
      </c>
      <c r="E291" s="112"/>
      <c r="G291" s="110" t="str">
        <f>IF(ESTRUTURA!A292&gt;prazo_subp,"",ESTRUTURA!A292)</f>
        <v/>
      </c>
      <c r="H291" s="111" t="str">
        <f>IF(G291="","",ESTRUTURA!C292)</f>
        <v/>
      </c>
      <c r="I291" s="111" t="str">
        <f>IF(G291="","",ESTRUTURA!E292)</f>
        <v/>
      </c>
      <c r="J291" s="113" t="str">
        <f>IF($G291="","",IF(G291=prazo_subp,1,IFERROR(TRUNC(ESTRUTURA!Y292/ESTRUTURA!AA291,6),0)*100))</f>
        <v/>
      </c>
      <c r="K291" s="112"/>
      <c r="M291" s="110" t="str">
        <f>ESTRUTURA!M292</f>
        <v/>
      </c>
      <c r="N291" s="111" t="str">
        <f>ESTRUTURA!O292</f>
        <v/>
      </c>
      <c r="O291" s="111" t="str">
        <f>ESTRUTURA!Q292</f>
        <v/>
      </c>
      <c r="P291" s="113" t="str">
        <f>IF($M291="","",IF(M291=prazo_sub,1,IFERROR(TRUNC(ESTRUTURA!AE292/ESTRUTURA!AG291,6),0)*100))</f>
        <v/>
      </c>
      <c r="Q291" s="112"/>
    </row>
    <row r="292" spans="1:17" x14ac:dyDescent="0.3">
      <c r="A292" s="110" t="str">
        <f>IF(ESTRUTURA!A293&gt;prazo_se,"",ESTRUTURA!A293)</f>
        <v/>
      </c>
      <c r="B292" s="111" t="str">
        <f>ESTRUTURA!C293</f>
        <v/>
      </c>
      <c r="C292" s="111" t="str">
        <f>ESTRUTURA!E293</f>
        <v/>
      </c>
      <c r="D292" s="113" t="str">
        <f>IF($A292="","",IF(A292=prazo_se,1,IFERROR(TRUNC(ESTRUTURA!R293/ESTRUTURA!T292,6),0)*100))</f>
        <v/>
      </c>
      <c r="E292" s="112"/>
      <c r="G292" s="110" t="str">
        <f>IF(ESTRUTURA!A293&gt;prazo_subp,"",ESTRUTURA!A293)</f>
        <v/>
      </c>
      <c r="H292" s="111" t="str">
        <f>IF(G292="","",ESTRUTURA!C293)</f>
        <v/>
      </c>
      <c r="I292" s="111" t="str">
        <f>IF(G292="","",ESTRUTURA!E293)</f>
        <v/>
      </c>
      <c r="J292" s="113" t="str">
        <f>IF($G292="","",IF(G292=prazo_subp,1,IFERROR(TRUNC(ESTRUTURA!Y293/ESTRUTURA!AA292,6),0)*100))</f>
        <v/>
      </c>
      <c r="K292" s="112"/>
      <c r="M292" s="110" t="str">
        <f>ESTRUTURA!M293</f>
        <v/>
      </c>
      <c r="N292" s="111" t="str">
        <f>ESTRUTURA!O293</f>
        <v/>
      </c>
      <c r="O292" s="111" t="str">
        <f>ESTRUTURA!Q293</f>
        <v/>
      </c>
      <c r="P292" s="113" t="str">
        <f>IF($M292="","",IF(M292=prazo_sub,1,IFERROR(TRUNC(ESTRUTURA!AE293/ESTRUTURA!AG292,6),0)*100))</f>
        <v/>
      </c>
      <c r="Q292" s="112"/>
    </row>
    <row r="293" spans="1:17" x14ac:dyDescent="0.3">
      <c r="A293" s="110" t="str">
        <f>IF(ESTRUTURA!A294&gt;prazo_se,"",ESTRUTURA!A294)</f>
        <v/>
      </c>
      <c r="B293" s="111" t="str">
        <f>ESTRUTURA!C294</f>
        <v/>
      </c>
      <c r="C293" s="111" t="str">
        <f>ESTRUTURA!E294</f>
        <v/>
      </c>
      <c r="D293" s="113" t="str">
        <f>IF($A293="","",IF(A293=prazo_se,1,IFERROR(TRUNC(ESTRUTURA!R294/ESTRUTURA!T293,6),0)*100))</f>
        <v/>
      </c>
      <c r="E293" s="112"/>
      <c r="G293" s="110" t="str">
        <f>IF(ESTRUTURA!A294&gt;prazo_subp,"",ESTRUTURA!A294)</f>
        <v/>
      </c>
      <c r="H293" s="111" t="str">
        <f>IF(G293="","",ESTRUTURA!C294)</f>
        <v/>
      </c>
      <c r="I293" s="111" t="str">
        <f>IF(G293="","",ESTRUTURA!E294)</f>
        <v/>
      </c>
      <c r="J293" s="113" t="str">
        <f>IF($G293="","",IF(G293=prazo_subp,1,IFERROR(TRUNC(ESTRUTURA!Y294/ESTRUTURA!AA293,6),0)*100))</f>
        <v/>
      </c>
      <c r="K293" s="112"/>
      <c r="M293" s="110" t="str">
        <f>ESTRUTURA!M294</f>
        <v/>
      </c>
      <c r="N293" s="111" t="str">
        <f>ESTRUTURA!O294</f>
        <v/>
      </c>
      <c r="O293" s="111" t="str">
        <f>ESTRUTURA!Q294</f>
        <v/>
      </c>
      <c r="P293" s="113" t="str">
        <f>IF($M293="","",IF(M293=prazo_sub,1,IFERROR(TRUNC(ESTRUTURA!AE294/ESTRUTURA!AG293,6),0)*100))</f>
        <v/>
      </c>
      <c r="Q293" s="112"/>
    </row>
    <row r="294" spans="1:17" x14ac:dyDescent="0.3">
      <c r="A294" s="110" t="str">
        <f>IF(ESTRUTURA!A295&gt;prazo_se,"",ESTRUTURA!A295)</f>
        <v/>
      </c>
      <c r="B294" s="111" t="str">
        <f>ESTRUTURA!C295</f>
        <v/>
      </c>
      <c r="C294" s="111" t="str">
        <f>ESTRUTURA!E295</f>
        <v/>
      </c>
      <c r="D294" s="113" t="str">
        <f>IF($A294="","",IF(A294=prazo_se,1,IFERROR(TRUNC(ESTRUTURA!R295/ESTRUTURA!T294,6),0)*100))</f>
        <v/>
      </c>
      <c r="E294" s="112"/>
      <c r="G294" s="110" t="str">
        <f>IF(ESTRUTURA!A295&gt;prazo_subp,"",ESTRUTURA!A295)</f>
        <v/>
      </c>
      <c r="H294" s="111" t="str">
        <f>IF(G294="","",ESTRUTURA!C295)</f>
        <v/>
      </c>
      <c r="I294" s="111" t="str">
        <f>IF(G294="","",ESTRUTURA!E295)</f>
        <v/>
      </c>
      <c r="J294" s="113" t="str">
        <f>IF($G294="","",IF(G294=prazo_subp,1,IFERROR(TRUNC(ESTRUTURA!Y295/ESTRUTURA!AA294,6),0)*100))</f>
        <v/>
      </c>
      <c r="K294" s="112"/>
      <c r="M294" s="110" t="str">
        <f>ESTRUTURA!M295</f>
        <v/>
      </c>
      <c r="N294" s="111" t="str">
        <f>ESTRUTURA!O295</f>
        <v/>
      </c>
      <c r="O294" s="111" t="str">
        <f>ESTRUTURA!Q295</f>
        <v/>
      </c>
      <c r="P294" s="113" t="str">
        <f>IF($M294="","",IF(M294=prazo_sub,1,IFERROR(TRUNC(ESTRUTURA!AE295/ESTRUTURA!AG294,6),0)*100))</f>
        <v/>
      </c>
      <c r="Q294" s="112"/>
    </row>
    <row r="295" spans="1:17" x14ac:dyDescent="0.3">
      <c r="A295" s="110" t="str">
        <f>IF(ESTRUTURA!A296&gt;prazo_se,"",ESTRUTURA!A296)</f>
        <v/>
      </c>
      <c r="B295" s="111" t="str">
        <f>ESTRUTURA!C296</f>
        <v/>
      </c>
      <c r="C295" s="111" t="str">
        <f>ESTRUTURA!E296</f>
        <v/>
      </c>
      <c r="D295" s="113" t="str">
        <f>IF($A295="","",IF(A295=prazo_se,1,IFERROR(TRUNC(ESTRUTURA!R296/ESTRUTURA!T295,6),0)*100))</f>
        <v/>
      </c>
      <c r="E295" s="112"/>
      <c r="G295" s="110" t="str">
        <f>IF(ESTRUTURA!A296&gt;prazo_subp,"",ESTRUTURA!A296)</f>
        <v/>
      </c>
      <c r="H295" s="111" t="str">
        <f>IF(G295="","",ESTRUTURA!C296)</f>
        <v/>
      </c>
      <c r="I295" s="111" t="str">
        <f>IF(G295="","",ESTRUTURA!E296)</f>
        <v/>
      </c>
      <c r="J295" s="113" t="str">
        <f>IF($G295="","",IF(G295=prazo_subp,1,IFERROR(TRUNC(ESTRUTURA!Y296/ESTRUTURA!AA295,6),0)*100))</f>
        <v/>
      </c>
      <c r="K295" s="112"/>
      <c r="M295" s="110" t="str">
        <f>ESTRUTURA!M296</f>
        <v/>
      </c>
      <c r="N295" s="111" t="str">
        <f>ESTRUTURA!O296</f>
        <v/>
      </c>
      <c r="O295" s="111" t="str">
        <f>ESTRUTURA!Q296</f>
        <v/>
      </c>
      <c r="P295" s="113" t="str">
        <f>IF($M295="","",IF(M295=prazo_sub,1,IFERROR(TRUNC(ESTRUTURA!AE296/ESTRUTURA!AG295,6),0)*100))</f>
        <v/>
      </c>
      <c r="Q295" s="112"/>
    </row>
    <row r="296" spans="1:17" x14ac:dyDescent="0.3">
      <c r="A296" s="110" t="str">
        <f>IF(ESTRUTURA!A297&gt;prazo_se,"",ESTRUTURA!A297)</f>
        <v/>
      </c>
      <c r="B296" s="111" t="str">
        <f>ESTRUTURA!C297</f>
        <v/>
      </c>
      <c r="C296" s="111" t="str">
        <f>ESTRUTURA!E297</f>
        <v/>
      </c>
      <c r="D296" s="113" t="str">
        <f>IF($A296="","",IF(A296=prazo_se,1,IFERROR(TRUNC(ESTRUTURA!R297/ESTRUTURA!T296,6),0)*100))</f>
        <v/>
      </c>
      <c r="E296" s="112"/>
      <c r="G296" s="110" t="str">
        <f>IF(ESTRUTURA!A297&gt;prazo_subp,"",ESTRUTURA!A297)</f>
        <v/>
      </c>
      <c r="H296" s="111" t="str">
        <f>IF(G296="","",ESTRUTURA!C297)</f>
        <v/>
      </c>
      <c r="I296" s="111" t="str">
        <f>IF(G296="","",ESTRUTURA!E297)</f>
        <v/>
      </c>
      <c r="J296" s="113" t="str">
        <f>IF($G296="","",IF(G296=prazo_subp,1,IFERROR(TRUNC(ESTRUTURA!Y297/ESTRUTURA!AA296,6),0)*100))</f>
        <v/>
      </c>
      <c r="K296" s="112"/>
      <c r="M296" s="110" t="str">
        <f>ESTRUTURA!M297</f>
        <v/>
      </c>
      <c r="N296" s="111" t="str">
        <f>ESTRUTURA!O297</f>
        <v/>
      </c>
      <c r="O296" s="111" t="str">
        <f>ESTRUTURA!Q297</f>
        <v/>
      </c>
      <c r="P296" s="113" t="str">
        <f>IF($M296="","",IF(M296=prazo_sub,1,IFERROR(TRUNC(ESTRUTURA!AE297/ESTRUTURA!AG296,6),0)*100))</f>
        <v/>
      </c>
      <c r="Q296" s="112"/>
    </row>
    <row r="297" spans="1:17" x14ac:dyDescent="0.3">
      <c r="A297" s="110" t="str">
        <f>IF(ESTRUTURA!A298&gt;prazo_se,"",ESTRUTURA!A298)</f>
        <v/>
      </c>
      <c r="B297" s="111" t="str">
        <f>ESTRUTURA!C298</f>
        <v/>
      </c>
      <c r="C297" s="111" t="str">
        <f>ESTRUTURA!E298</f>
        <v/>
      </c>
      <c r="D297" s="113" t="str">
        <f>IF($A297="","",IF(A297=prazo_se,1,IFERROR(TRUNC(ESTRUTURA!R298/ESTRUTURA!T297,6),0)*100))</f>
        <v/>
      </c>
      <c r="E297" s="112"/>
      <c r="G297" s="110" t="str">
        <f>IF(ESTRUTURA!A298&gt;prazo_subp,"",ESTRUTURA!A298)</f>
        <v/>
      </c>
      <c r="H297" s="111" t="str">
        <f>IF(G297="","",ESTRUTURA!C298)</f>
        <v/>
      </c>
      <c r="I297" s="111" t="str">
        <f>IF(G297="","",ESTRUTURA!E298)</f>
        <v/>
      </c>
      <c r="J297" s="113" t="str">
        <f>IF($G297="","",IF(G297=prazo_subp,1,IFERROR(TRUNC(ESTRUTURA!Y298/ESTRUTURA!AA297,6),0)*100))</f>
        <v/>
      </c>
      <c r="K297" s="112"/>
      <c r="M297" s="110" t="str">
        <f>ESTRUTURA!M298</f>
        <v/>
      </c>
      <c r="N297" s="111" t="str">
        <f>ESTRUTURA!O298</f>
        <v/>
      </c>
      <c r="O297" s="111" t="str">
        <f>ESTRUTURA!Q298</f>
        <v/>
      </c>
      <c r="P297" s="113" t="str">
        <f>IF($M297="","",IF(M297=prazo_sub,1,IFERROR(TRUNC(ESTRUTURA!AE298/ESTRUTURA!AG297,6),0)*100))</f>
        <v/>
      </c>
      <c r="Q297" s="112"/>
    </row>
    <row r="298" spans="1:17" x14ac:dyDescent="0.3">
      <c r="A298" s="110" t="str">
        <f>IF(ESTRUTURA!A299&gt;prazo_se,"",ESTRUTURA!A299)</f>
        <v/>
      </c>
      <c r="B298" s="111" t="str">
        <f>ESTRUTURA!C299</f>
        <v/>
      </c>
      <c r="C298" s="111" t="str">
        <f>ESTRUTURA!E299</f>
        <v/>
      </c>
      <c r="D298" s="113" t="str">
        <f>IF($A298="","",IF(A298=prazo_se,1,IFERROR(TRUNC(ESTRUTURA!R299/ESTRUTURA!T298,6),0)*100))</f>
        <v/>
      </c>
      <c r="E298" s="112"/>
      <c r="G298" s="110" t="str">
        <f>IF(ESTRUTURA!A299&gt;prazo_subp,"",ESTRUTURA!A299)</f>
        <v/>
      </c>
      <c r="H298" s="111" t="str">
        <f>IF(G298="","",ESTRUTURA!C299)</f>
        <v/>
      </c>
      <c r="I298" s="111" t="str">
        <f>IF(G298="","",ESTRUTURA!E299)</f>
        <v/>
      </c>
      <c r="J298" s="113" t="str">
        <f>IF($G298="","",IF(G298=prazo_subp,1,IFERROR(TRUNC(ESTRUTURA!Y299/ESTRUTURA!AA298,6),0)*100))</f>
        <v/>
      </c>
      <c r="K298" s="112"/>
      <c r="M298" s="110" t="str">
        <f>ESTRUTURA!M299</f>
        <v/>
      </c>
      <c r="N298" s="111" t="str">
        <f>ESTRUTURA!O299</f>
        <v/>
      </c>
      <c r="O298" s="111" t="str">
        <f>ESTRUTURA!Q299</f>
        <v/>
      </c>
      <c r="P298" s="113" t="str">
        <f>IF($M298="","",IF(M298=prazo_sub,1,IFERROR(TRUNC(ESTRUTURA!AE299/ESTRUTURA!AG298,6),0)*100))</f>
        <v/>
      </c>
      <c r="Q298" s="112"/>
    </row>
    <row r="299" spans="1:17" x14ac:dyDescent="0.3">
      <c r="A299" s="110" t="str">
        <f>IF(ESTRUTURA!A300&gt;prazo_se,"",ESTRUTURA!A300)</f>
        <v/>
      </c>
      <c r="B299" s="111" t="str">
        <f>ESTRUTURA!C300</f>
        <v/>
      </c>
      <c r="C299" s="111" t="str">
        <f>ESTRUTURA!E300</f>
        <v/>
      </c>
      <c r="D299" s="113" t="str">
        <f>IF($A299="","",IF(A299=prazo_se,1,IFERROR(TRUNC(ESTRUTURA!R300/ESTRUTURA!T299,6),0)*100))</f>
        <v/>
      </c>
      <c r="E299" s="112"/>
      <c r="G299" s="110" t="str">
        <f>IF(ESTRUTURA!A300&gt;prazo_subp,"",ESTRUTURA!A300)</f>
        <v/>
      </c>
      <c r="H299" s="111" t="str">
        <f>IF(G299="","",ESTRUTURA!C300)</f>
        <v/>
      </c>
      <c r="I299" s="111" t="str">
        <f>IF(G299="","",ESTRUTURA!E300)</f>
        <v/>
      </c>
      <c r="J299" s="113" t="str">
        <f>IF($G299="","",IF(G299=prazo_subp,1,IFERROR(TRUNC(ESTRUTURA!Y300/ESTRUTURA!AA299,6),0)*100))</f>
        <v/>
      </c>
      <c r="K299" s="112"/>
      <c r="M299" s="110" t="str">
        <f>ESTRUTURA!M300</f>
        <v/>
      </c>
      <c r="N299" s="111" t="str">
        <f>ESTRUTURA!O300</f>
        <v/>
      </c>
      <c r="O299" s="111" t="str">
        <f>ESTRUTURA!Q300</f>
        <v/>
      </c>
      <c r="P299" s="113" t="str">
        <f>IF($M299="","",IF(M299=prazo_sub,1,IFERROR(TRUNC(ESTRUTURA!AE300/ESTRUTURA!AG299,6),0)*100))</f>
        <v/>
      </c>
      <c r="Q299" s="112"/>
    </row>
    <row r="300" spans="1:17" x14ac:dyDescent="0.3">
      <c r="A300" s="110" t="str">
        <f>IF(ESTRUTURA!A301&gt;prazo_se,"",ESTRUTURA!A301)</f>
        <v/>
      </c>
      <c r="B300" s="111" t="str">
        <f>ESTRUTURA!C301</f>
        <v/>
      </c>
      <c r="C300" s="111" t="str">
        <f>ESTRUTURA!E301</f>
        <v/>
      </c>
      <c r="D300" s="113" t="str">
        <f>IF($A300="","",IF(A300=prazo_se,1,IFERROR(TRUNC(ESTRUTURA!R301/ESTRUTURA!T300,6),0)*100))</f>
        <v/>
      </c>
      <c r="E300" s="112"/>
      <c r="G300" s="110" t="str">
        <f>IF(ESTRUTURA!A301&gt;prazo_subp,"",ESTRUTURA!A301)</f>
        <v/>
      </c>
      <c r="H300" s="111" t="str">
        <f>IF(G300="","",ESTRUTURA!C301)</f>
        <v/>
      </c>
      <c r="I300" s="111" t="str">
        <f>IF(G300="","",ESTRUTURA!E301)</f>
        <v/>
      </c>
      <c r="J300" s="113" t="str">
        <f>IF($G300="","",IF(G300=prazo_subp,1,IFERROR(TRUNC(ESTRUTURA!Y301/ESTRUTURA!AA300,6),0)*100))</f>
        <v/>
      </c>
      <c r="K300" s="112"/>
      <c r="M300" s="110" t="str">
        <f>ESTRUTURA!M301</f>
        <v/>
      </c>
      <c r="N300" s="111" t="str">
        <f>ESTRUTURA!O301</f>
        <v/>
      </c>
      <c r="O300" s="111" t="str">
        <f>ESTRUTURA!Q301</f>
        <v/>
      </c>
      <c r="P300" s="113" t="str">
        <f>IF($M300="","",IF(M300=prazo_sub,1,IFERROR(TRUNC(ESTRUTURA!AE301/ESTRUTURA!AG300,6),0)*100))</f>
        <v/>
      </c>
      <c r="Q300" s="112"/>
    </row>
    <row r="301" spans="1:17" x14ac:dyDescent="0.3">
      <c r="A301" s="110" t="str">
        <f>IF(ESTRUTURA!A302&gt;prazo_se,"",ESTRUTURA!A302)</f>
        <v/>
      </c>
      <c r="B301" s="111" t="str">
        <f>ESTRUTURA!C302</f>
        <v/>
      </c>
      <c r="C301" s="111" t="str">
        <f>ESTRUTURA!E302</f>
        <v/>
      </c>
      <c r="D301" s="113" t="str">
        <f>IF($A301="","",IF(A301=prazo_se,1,IFERROR(TRUNC(ESTRUTURA!R302/ESTRUTURA!T301,6),0)*100))</f>
        <v/>
      </c>
      <c r="E301" s="112"/>
      <c r="G301" s="110" t="str">
        <f>IF(ESTRUTURA!A302&gt;prazo_subp,"",ESTRUTURA!A302)</f>
        <v/>
      </c>
      <c r="H301" s="111" t="str">
        <f>IF(G301="","",ESTRUTURA!C302)</f>
        <v/>
      </c>
      <c r="I301" s="111" t="str">
        <f>IF(G301="","",ESTRUTURA!E302)</f>
        <v/>
      </c>
      <c r="J301" s="113" t="str">
        <f>IF($G301="","",IF(G301=prazo_subp,1,IFERROR(TRUNC(ESTRUTURA!Y302/ESTRUTURA!AA301,6),0)*100))</f>
        <v/>
      </c>
      <c r="K301" s="112"/>
      <c r="M301" s="110" t="str">
        <f>ESTRUTURA!M302</f>
        <v/>
      </c>
      <c r="N301" s="111" t="str">
        <f>ESTRUTURA!O302</f>
        <v/>
      </c>
      <c r="O301" s="111" t="str">
        <f>ESTRUTURA!Q302</f>
        <v/>
      </c>
      <c r="P301" s="113" t="str">
        <f>IF($M301="","",IF(M301=prazo_sub,1,IFERROR(TRUNC(ESTRUTURA!AE302/ESTRUTURA!AG301,6),0)*100))</f>
        <v/>
      </c>
      <c r="Q301" s="112"/>
    </row>
    <row r="302" spans="1:17" x14ac:dyDescent="0.3">
      <c r="A302" s="110" t="str">
        <f>IF(ESTRUTURA!A303&gt;prazo_se,"",ESTRUTURA!A303)</f>
        <v/>
      </c>
      <c r="B302" s="111" t="str">
        <f>ESTRUTURA!C303</f>
        <v/>
      </c>
      <c r="C302" s="111" t="str">
        <f>ESTRUTURA!E303</f>
        <v/>
      </c>
      <c r="D302" s="113" t="str">
        <f>IF($A302="","",IF(A302=prazo_se,1,IFERROR(TRUNC(ESTRUTURA!R303/ESTRUTURA!T302,6),0)*100))</f>
        <v/>
      </c>
      <c r="E302" s="112"/>
      <c r="G302" s="110" t="str">
        <f>IF(ESTRUTURA!A303&gt;prazo_subp,"",ESTRUTURA!A303)</f>
        <v/>
      </c>
      <c r="H302" s="111" t="str">
        <f>IF(G302="","",ESTRUTURA!C303)</f>
        <v/>
      </c>
      <c r="I302" s="111" t="str">
        <f>IF(G302="","",ESTRUTURA!E303)</f>
        <v/>
      </c>
      <c r="J302" s="113" t="str">
        <f>IF($G302="","",IF(G302=prazo_subp,1,IFERROR(TRUNC(ESTRUTURA!Y303/ESTRUTURA!AA302,6),0)*100))</f>
        <v/>
      </c>
      <c r="K302" s="112"/>
      <c r="M302" s="110" t="str">
        <f>ESTRUTURA!M303</f>
        <v/>
      </c>
      <c r="N302" s="111" t="str">
        <f>ESTRUTURA!O303</f>
        <v/>
      </c>
      <c r="O302" s="111" t="str">
        <f>ESTRUTURA!Q303</f>
        <v/>
      </c>
      <c r="P302" s="113" t="str">
        <f>IF($M302="","",IF(M302=prazo_sub,1,IFERROR(TRUNC(ESTRUTURA!AE303/ESTRUTURA!AG302,6),0)*100))</f>
        <v/>
      </c>
      <c r="Q302" s="112"/>
    </row>
    <row r="303" spans="1:17" x14ac:dyDescent="0.3">
      <c r="A303" s="110" t="str">
        <f>IF(ESTRUTURA!A304&gt;prazo_se,"",ESTRUTURA!A304)</f>
        <v/>
      </c>
      <c r="B303" s="111" t="str">
        <f>ESTRUTURA!C304</f>
        <v/>
      </c>
      <c r="C303" s="111" t="str">
        <f>ESTRUTURA!E304</f>
        <v/>
      </c>
      <c r="D303" s="113" t="str">
        <f>IF($A303="","",IF(A303=prazo_se,1,IFERROR(TRUNC(ESTRUTURA!R304/ESTRUTURA!T303,6),0)*100))</f>
        <v/>
      </c>
      <c r="E303" s="112"/>
      <c r="G303" s="110" t="str">
        <f>IF(ESTRUTURA!A304&gt;prazo_subp,"",ESTRUTURA!A304)</f>
        <v/>
      </c>
      <c r="H303" s="111" t="str">
        <f>IF(G303="","",ESTRUTURA!C304)</f>
        <v/>
      </c>
      <c r="I303" s="111" t="str">
        <f>IF(G303="","",ESTRUTURA!E304)</f>
        <v/>
      </c>
      <c r="J303" s="113" t="str">
        <f>IF($G303="","",IF(G303=prazo_subp,1,IFERROR(TRUNC(ESTRUTURA!Y304/ESTRUTURA!AA303,6),0)*100))</f>
        <v/>
      </c>
      <c r="K303" s="112"/>
      <c r="M303" s="110" t="str">
        <f>ESTRUTURA!M304</f>
        <v/>
      </c>
      <c r="N303" s="111" t="str">
        <f>ESTRUTURA!O304</f>
        <v/>
      </c>
      <c r="O303" s="111" t="str">
        <f>ESTRUTURA!Q304</f>
        <v/>
      </c>
      <c r="P303" s="113" t="str">
        <f>IF($M303="","",IF(M303=prazo_sub,1,IFERROR(TRUNC(ESTRUTURA!AE304/ESTRUTURA!AG303,6),0)*100))</f>
        <v/>
      </c>
      <c r="Q303" s="112"/>
    </row>
    <row r="304" spans="1:17" x14ac:dyDescent="0.3">
      <c r="A304" s="110" t="str">
        <f>IF(ESTRUTURA!A305&gt;prazo_se,"",ESTRUTURA!A305)</f>
        <v/>
      </c>
      <c r="B304" s="111" t="str">
        <f>ESTRUTURA!C305</f>
        <v/>
      </c>
      <c r="C304" s="111" t="str">
        <f>ESTRUTURA!E305</f>
        <v/>
      </c>
      <c r="D304" s="113" t="str">
        <f>IF($A304="","",IF(A304=prazo_se,1,IFERROR(TRUNC(ESTRUTURA!R305/ESTRUTURA!T304,6),0)*100))</f>
        <v/>
      </c>
      <c r="E304" s="112"/>
      <c r="G304" s="110" t="str">
        <f>IF(ESTRUTURA!A305&gt;prazo_subp,"",ESTRUTURA!A305)</f>
        <v/>
      </c>
      <c r="H304" s="111" t="str">
        <f>IF(G304="","",ESTRUTURA!C305)</f>
        <v/>
      </c>
      <c r="I304" s="111" t="str">
        <f>IF(G304="","",ESTRUTURA!E305)</f>
        <v/>
      </c>
      <c r="J304" s="113" t="str">
        <f>IF($G304="","",IF(G304=prazo_subp,1,IFERROR(TRUNC(ESTRUTURA!Y305/ESTRUTURA!AA304,6),0)*100))</f>
        <v/>
      </c>
      <c r="K304" s="112"/>
      <c r="M304" s="110" t="str">
        <f>ESTRUTURA!M305</f>
        <v/>
      </c>
      <c r="N304" s="111" t="str">
        <f>ESTRUTURA!O305</f>
        <v/>
      </c>
      <c r="O304" s="111" t="str">
        <f>ESTRUTURA!Q305</f>
        <v/>
      </c>
      <c r="P304" s="113" t="str">
        <f>IF($M304="","",IF(M304=prazo_sub,1,IFERROR(TRUNC(ESTRUTURA!AE305/ESTRUTURA!AG304,6),0)*100))</f>
        <v/>
      </c>
      <c r="Q304" s="112"/>
    </row>
    <row r="305" spans="1:17" x14ac:dyDescent="0.3">
      <c r="A305" s="110" t="str">
        <f>IF(ESTRUTURA!A306&gt;prazo_se,"",ESTRUTURA!A306)</f>
        <v/>
      </c>
      <c r="B305" s="111" t="str">
        <f>ESTRUTURA!C306</f>
        <v/>
      </c>
      <c r="C305" s="111" t="str">
        <f>ESTRUTURA!E306</f>
        <v/>
      </c>
      <c r="D305" s="113" t="str">
        <f>IF($A305="","",IF(A305=prazo_se,1,IFERROR(TRUNC(ESTRUTURA!R306/ESTRUTURA!T305,6),0)*100))</f>
        <v/>
      </c>
      <c r="E305" s="112"/>
      <c r="G305" s="110" t="str">
        <f>IF(ESTRUTURA!A306&gt;prazo_subp,"",ESTRUTURA!A306)</f>
        <v/>
      </c>
      <c r="H305" s="111" t="str">
        <f>IF(G305="","",ESTRUTURA!C306)</f>
        <v/>
      </c>
      <c r="I305" s="111" t="str">
        <f>IF(G305="","",ESTRUTURA!E306)</f>
        <v/>
      </c>
      <c r="J305" s="113" t="str">
        <f>IF($G305="","",IF(G305=prazo_subp,1,IFERROR(TRUNC(ESTRUTURA!Y306/ESTRUTURA!AA305,6),0)*100))</f>
        <v/>
      </c>
      <c r="K305" s="112"/>
      <c r="M305" s="110" t="str">
        <f>ESTRUTURA!M306</f>
        <v/>
      </c>
      <c r="N305" s="111" t="str">
        <f>ESTRUTURA!O306</f>
        <v/>
      </c>
      <c r="O305" s="111" t="str">
        <f>ESTRUTURA!Q306</f>
        <v/>
      </c>
      <c r="P305" s="113" t="str">
        <f>IF($M305="","",IF(M305=prazo_sub,1,IFERROR(TRUNC(ESTRUTURA!AE306/ESTRUTURA!AG305,6),0)*100))</f>
        <v/>
      </c>
      <c r="Q305" s="112"/>
    </row>
    <row r="306" spans="1:17" x14ac:dyDescent="0.3">
      <c r="A306" s="110" t="str">
        <f>IF(ESTRUTURA!A307&gt;prazo_se,"",ESTRUTURA!A307)</f>
        <v/>
      </c>
      <c r="B306" s="111" t="str">
        <f>ESTRUTURA!C307</f>
        <v/>
      </c>
      <c r="C306" s="111" t="str">
        <f>ESTRUTURA!E307</f>
        <v/>
      </c>
      <c r="D306" s="113" t="str">
        <f>IF($A306="","",IF(A306=prazo_se,1,IFERROR(TRUNC(ESTRUTURA!R307/ESTRUTURA!T306,6),0)*100))</f>
        <v/>
      </c>
      <c r="E306" s="112"/>
      <c r="G306" s="110" t="str">
        <f>IF(ESTRUTURA!A307&gt;prazo_subp,"",ESTRUTURA!A307)</f>
        <v/>
      </c>
      <c r="H306" s="111" t="str">
        <f>IF(G306="","",ESTRUTURA!C307)</f>
        <v/>
      </c>
      <c r="I306" s="111" t="str">
        <f>IF(G306="","",ESTRUTURA!E307)</f>
        <v/>
      </c>
      <c r="J306" s="113" t="str">
        <f>IF($G306="","",IF(G306=prazo_subp,1,IFERROR(TRUNC(ESTRUTURA!Y307/ESTRUTURA!AA306,6),0)*100))</f>
        <v/>
      </c>
      <c r="K306" s="112"/>
      <c r="M306" s="110" t="str">
        <f>ESTRUTURA!M307</f>
        <v/>
      </c>
      <c r="N306" s="111" t="str">
        <f>ESTRUTURA!O307</f>
        <v/>
      </c>
      <c r="O306" s="111" t="str">
        <f>ESTRUTURA!Q307</f>
        <v/>
      </c>
      <c r="P306" s="113" t="str">
        <f>IF($M306="","",IF(M306=prazo_sub,1,IFERROR(TRUNC(ESTRUTURA!AE307/ESTRUTURA!AG306,6),0)*100))</f>
        <v/>
      </c>
      <c r="Q306" s="112"/>
    </row>
    <row r="307" spans="1:17" x14ac:dyDescent="0.3">
      <c r="A307" s="110" t="str">
        <f>IF(ESTRUTURA!A308&gt;prazo_se,"",ESTRUTURA!A308)</f>
        <v/>
      </c>
      <c r="B307" s="111" t="str">
        <f>ESTRUTURA!C308</f>
        <v/>
      </c>
      <c r="C307" s="111" t="str">
        <f>ESTRUTURA!E308</f>
        <v/>
      </c>
      <c r="D307" s="113" t="str">
        <f>IF($A307="","",IF(A307=prazo_se,1,IFERROR(TRUNC(ESTRUTURA!R308/ESTRUTURA!T307,6),0)*100))</f>
        <v/>
      </c>
      <c r="E307" s="112"/>
      <c r="G307" s="110" t="str">
        <f>IF(ESTRUTURA!A308&gt;prazo_subp,"",ESTRUTURA!A308)</f>
        <v/>
      </c>
      <c r="H307" s="111" t="str">
        <f>IF(G307="","",ESTRUTURA!C308)</f>
        <v/>
      </c>
      <c r="I307" s="111" t="str">
        <f>IF(G307="","",ESTRUTURA!E308)</f>
        <v/>
      </c>
      <c r="J307" s="113" t="str">
        <f>IF($G307="","",IF(G307=prazo_subp,1,IFERROR(TRUNC(ESTRUTURA!Y308/ESTRUTURA!AA307,6),0)*100))</f>
        <v/>
      </c>
      <c r="K307" s="112"/>
      <c r="M307" s="110" t="str">
        <f>ESTRUTURA!M308</f>
        <v/>
      </c>
      <c r="N307" s="111" t="str">
        <f>ESTRUTURA!O308</f>
        <v/>
      </c>
      <c r="O307" s="111" t="str">
        <f>ESTRUTURA!Q308</f>
        <v/>
      </c>
      <c r="P307" s="113" t="str">
        <f>IF($M307="","",IF(M307=prazo_sub,1,IFERROR(TRUNC(ESTRUTURA!AE308/ESTRUTURA!AG307,6),0)*100))</f>
        <v/>
      </c>
      <c r="Q307" s="112"/>
    </row>
    <row r="308" spans="1:17" x14ac:dyDescent="0.3">
      <c r="A308" s="110" t="str">
        <f>IF(ESTRUTURA!A309&gt;prazo_se,"",ESTRUTURA!A309)</f>
        <v/>
      </c>
      <c r="B308" s="111" t="str">
        <f>ESTRUTURA!C309</f>
        <v/>
      </c>
      <c r="C308" s="111" t="str">
        <f>ESTRUTURA!E309</f>
        <v/>
      </c>
      <c r="D308" s="113" t="str">
        <f>IF($A308="","",IF(A308=prazo_se,1,IFERROR(TRUNC(ESTRUTURA!R309/ESTRUTURA!T308,6),0)*100))</f>
        <v/>
      </c>
      <c r="E308" s="112"/>
      <c r="G308" s="110" t="str">
        <f>IF(ESTRUTURA!A309&gt;prazo_subp,"",ESTRUTURA!A309)</f>
        <v/>
      </c>
      <c r="H308" s="111" t="str">
        <f>IF(G308="","",ESTRUTURA!C309)</f>
        <v/>
      </c>
      <c r="I308" s="111" t="str">
        <f>IF(G308="","",ESTRUTURA!E309)</f>
        <v/>
      </c>
      <c r="J308" s="113" t="str">
        <f>IF($G308="","",IF(G308=prazo_subp,1,IFERROR(TRUNC(ESTRUTURA!Y309/ESTRUTURA!AA308,6),0)*100))</f>
        <v/>
      </c>
      <c r="K308" s="112"/>
      <c r="M308" s="110" t="str">
        <f>ESTRUTURA!M309</f>
        <v/>
      </c>
      <c r="N308" s="111" t="str">
        <f>ESTRUTURA!O309</f>
        <v/>
      </c>
      <c r="O308" s="111" t="str">
        <f>ESTRUTURA!Q309</f>
        <v/>
      </c>
      <c r="P308" s="113" t="str">
        <f>IF($M308="","",IF(M308=prazo_sub,1,IFERROR(TRUNC(ESTRUTURA!AE309/ESTRUTURA!AG308,6),0)*100))</f>
        <v/>
      </c>
      <c r="Q308" s="112"/>
    </row>
    <row r="309" spans="1:17" x14ac:dyDescent="0.3">
      <c r="A309" s="110" t="str">
        <f>IF(ESTRUTURA!A310&gt;prazo_se,"",ESTRUTURA!A310)</f>
        <v/>
      </c>
      <c r="B309" s="111" t="str">
        <f>ESTRUTURA!C310</f>
        <v/>
      </c>
      <c r="C309" s="111" t="str">
        <f>ESTRUTURA!E310</f>
        <v/>
      </c>
      <c r="D309" s="113" t="str">
        <f>IF($A309="","",IF(A309=prazo_se,1,IFERROR(TRUNC(ESTRUTURA!R310/ESTRUTURA!T309,6),0)*100))</f>
        <v/>
      </c>
      <c r="E309" s="112"/>
      <c r="G309" s="110" t="str">
        <f>IF(ESTRUTURA!A310&gt;prazo_subp,"",ESTRUTURA!A310)</f>
        <v/>
      </c>
      <c r="H309" s="111" t="str">
        <f>IF(G309="","",ESTRUTURA!C310)</f>
        <v/>
      </c>
      <c r="I309" s="111" t="str">
        <f>IF(G309="","",ESTRUTURA!E310)</f>
        <v/>
      </c>
      <c r="J309" s="113" t="str">
        <f>IF($G309="","",IF(G309=prazo_subp,1,IFERROR(TRUNC(ESTRUTURA!Y310/ESTRUTURA!AA309,6),0)*100))</f>
        <v/>
      </c>
      <c r="K309" s="112"/>
      <c r="M309" s="110" t="str">
        <f>ESTRUTURA!M310</f>
        <v/>
      </c>
      <c r="N309" s="111" t="str">
        <f>ESTRUTURA!O310</f>
        <v/>
      </c>
      <c r="O309" s="111" t="str">
        <f>ESTRUTURA!Q310</f>
        <v/>
      </c>
      <c r="P309" s="113" t="str">
        <f>IF($M309="","",IF(M309=prazo_sub,1,IFERROR(TRUNC(ESTRUTURA!AE310/ESTRUTURA!AG309,6),0)*100))</f>
        <v/>
      </c>
      <c r="Q309" s="112"/>
    </row>
    <row r="310" spans="1:17" x14ac:dyDescent="0.3">
      <c r="A310" s="110" t="str">
        <f>IF(ESTRUTURA!A311&gt;prazo_se,"",ESTRUTURA!A311)</f>
        <v/>
      </c>
      <c r="B310" s="111" t="str">
        <f>ESTRUTURA!C311</f>
        <v/>
      </c>
      <c r="C310" s="111" t="str">
        <f>ESTRUTURA!E311</f>
        <v/>
      </c>
      <c r="D310" s="113" t="str">
        <f>IF($A310="","",IF(A310=prazo_se,1,IFERROR(TRUNC(ESTRUTURA!R311/ESTRUTURA!T310,6),0)*100))</f>
        <v/>
      </c>
      <c r="E310" s="112"/>
      <c r="G310" s="110" t="str">
        <f>IF(ESTRUTURA!A311&gt;prazo_subp,"",ESTRUTURA!A311)</f>
        <v/>
      </c>
      <c r="H310" s="111" t="str">
        <f>IF(G310="","",ESTRUTURA!C311)</f>
        <v/>
      </c>
      <c r="I310" s="111" t="str">
        <f>IF(G310="","",ESTRUTURA!E311)</f>
        <v/>
      </c>
      <c r="J310" s="113" t="str">
        <f>IF($G310="","",IF(G310=prazo_subp,1,IFERROR(TRUNC(ESTRUTURA!Y311/ESTRUTURA!AA310,6),0)*100))</f>
        <v/>
      </c>
      <c r="K310" s="112"/>
      <c r="M310" s="110" t="str">
        <f>ESTRUTURA!M311</f>
        <v/>
      </c>
      <c r="N310" s="111" t="str">
        <f>ESTRUTURA!O311</f>
        <v/>
      </c>
      <c r="O310" s="111" t="str">
        <f>ESTRUTURA!Q311</f>
        <v/>
      </c>
      <c r="P310" s="113" t="str">
        <f>IF($M310="","",IF(M310=prazo_sub,1,IFERROR(TRUNC(ESTRUTURA!AE311/ESTRUTURA!AG310,6),0)*100))</f>
        <v/>
      </c>
      <c r="Q310" s="112"/>
    </row>
    <row r="311" spans="1:17" x14ac:dyDescent="0.3">
      <c r="A311" s="110" t="str">
        <f>IF(ESTRUTURA!A312&gt;prazo_se,"",ESTRUTURA!A312)</f>
        <v/>
      </c>
      <c r="B311" s="111" t="str">
        <f>ESTRUTURA!C312</f>
        <v/>
      </c>
      <c r="C311" s="111" t="str">
        <f>ESTRUTURA!E312</f>
        <v/>
      </c>
      <c r="D311" s="113" t="str">
        <f>IF($A311="","",IF(A311=prazo_se,1,IFERROR(TRUNC(ESTRUTURA!R312/ESTRUTURA!T311,6),0)*100))</f>
        <v/>
      </c>
      <c r="E311" s="112"/>
      <c r="G311" s="110" t="str">
        <f>IF(ESTRUTURA!A312&gt;prazo_subp,"",ESTRUTURA!A312)</f>
        <v/>
      </c>
      <c r="H311" s="111" t="str">
        <f>IF(G311="","",ESTRUTURA!C312)</f>
        <v/>
      </c>
      <c r="I311" s="111" t="str">
        <f>IF(G311="","",ESTRUTURA!E312)</f>
        <v/>
      </c>
      <c r="J311" s="113" t="str">
        <f>IF($G311="","",IF(G311=prazo_subp,1,IFERROR(TRUNC(ESTRUTURA!Y312/ESTRUTURA!AA311,6),0)*100))</f>
        <v/>
      </c>
      <c r="K311" s="112"/>
      <c r="M311" s="110" t="str">
        <f>ESTRUTURA!M312</f>
        <v/>
      </c>
      <c r="N311" s="111" t="str">
        <f>ESTRUTURA!O312</f>
        <v/>
      </c>
      <c r="O311" s="111" t="str">
        <f>ESTRUTURA!Q312</f>
        <v/>
      </c>
      <c r="P311" s="113" t="str">
        <f>IF($M311="","",IF(M311=prazo_sub,1,IFERROR(TRUNC(ESTRUTURA!AE312/ESTRUTURA!AG311,6),0)*100))</f>
        <v/>
      </c>
      <c r="Q311" s="112"/>
    </row>
    <row r="312" spans="1:17" x14ac:dyDescent="0.3">
      <c r="A312" s="110" t="str">
        <f>IF(ESTRUTURA!A313&gt;prazo_se,"",ESTRUTURA!A313)</f>
        <v/>
      </c>
      <c r="B312" s="111" t="str">
        <f>ESTRUTURA!C313</f>
        <v/>
      </c>
      <c r="C312" s="111" t="str">
        <f>ESTRUTURA!E313</f>
        <v/>
      </c>
      <c r="D312" s="113" t="str">
        <f>IF($A312="","",IF(A312=prazo_se,1,IFERROR(TRUNC(ESTRUTURA!R313/ESTRUTURA!T312,6),0)*100))</f>
        <v/>
      </c>
      <c r="E312" s="112"/>
      <c r="G312" s="110" t="str">
        <f>IF(ESTRUTURA!A313&gt;prazo_subp,"",ESTRUTURA!A313)</f>
        <v/>
      </c>
      <c r="H312" s="111" t="str">
        <f>IF(G312="","",ESTRUTURA!C313)</f>
        <v/>
      </c>
      <c r="I312" s="111" t="str">
        <f>IF(G312="","",ESTRUTURA!E313)</f>
        <v/>
      </c>
      <c r="J312" s="113" t="str">
        <f>IF($G312="","",IF(G312=prazo_subp,1,IFERROR(TRUNC(ESTRUTURA!Y313/ESTRUTURA!AA312,6),0)*100))</f>
        <v/>
      </c>
      <c r="K312" s="112"/>
      <c r="M312" s="110" t="str">
        <f>ESTRUTURA!M313</f>
        <v/>
      </c>
      <c r="N312" s="111" t="str">
        <f>ESTRUTURA!O313</f>
        <v/>
      </c>
      <c r="O312" s="111" t="str">
        <f>ESTRUTURA!Q313</f>
        <v/>
      </c>
      <c r="P312" s="113" t="str">
        <f>IF($M312="","",IF(M312=prazo_sub,1,IFERROR(TRUNC(ESTRUTURA!AE313/ESTRUTURA!AG312,6),0)*100))</f>
        <v/>
      </c>
      <c r="Q312" s="112"/>
    </row>
    <row r="313" spans="1:17" x14ac:dyDescent="0.3">
      <c r="A313" s="110" t="str">
        <f>IF(ESTRUTURA!A314&gt;prazo_se,"",ESTRUTURA!A314)</f>
        <v/>
      </c>
      <c r="B313" s="111" t="str">
        <f>ESTRUTURA!C314</f>
        <v/>
      </c>
      <c r="C313" s="111" t="str">
        <f>ESTRUTURA!E314</f>
        <v/>
      </c>
      <c r="D313" s="113" t="str">
        <f>IF($A313="","",IF(A313=prazo_se,1,IFERROR(TRUNC(ESTRUTURA!R314/ESTRUTURA!T313,6),0)*100))</f>
        <v/>
      </c>
      <c r="E313" s="112"/>
      <c r="G313" s="110" t="str">
        <f>IF(ESTRUTURA!A314&gt;prazo_subp,"",ESTRUTURA!A314)</f>
        <v/>
      </c>
      <c r="H313" s="111" t="str">
        <f>IF(G313="","",ESTRUTURA!C314)</f>
        <v/>
      </c>
      <c r="I313" s="111" t="str">
        <f>IF(G313="","",ESTRUTURA!E314)</f>
        <v/>
      </c>
      <c r="J313" s="113" t="str">
        <f>IF($G313="","",IF(G313=prazo_subp,1,IFERROR(TRUNC(ESTRUTURA!Y314/ESTRUTURA!AA313,6),0)*100))</f>
        <v/>
      </c>
      <c r="K313" s="112"/>
      <c r="M313" s="110" t="str">
        <f>ESTRUTURA!M314</f>
        <v/>
      </c>
      <c r="N313" s="111" t="str">
        <f>ESTRUTURA!O314</f>
        <v/>
      </c>
      <c r="O313" s="111" t="str">
        <f>ESTRUTURA!Q314</f>
        <v/>
      </c>
      <c r="P313" s="113" t="str">
        <f>IF($M313="","",IF(M313=prazo_sub,1,IFERROR(TRUNC(ESTRUTURA!AE314/ESTRUTURA!AG313,6),0)*100))</f>
        <v/>
      </c>
      <c r="Q313" s="112"/>
    </row>
    <row r="314" spans="1:17" x14ac:dyDescent="0.3">
      <c r="A314" s="110" t="str">
        <f>IF(ESTRUTURA!A315&gt;prazo_se,"",ESTRUTURA!A315)</f>
        <v/>
      </c>
      <c r="B314" s="111" t="str">
        <f>ESTRUTURA!C315</f>
        <v/>
      </c>
      <c r="C314" s="111" t="str">
        <f>ESTRUTURA!E315</f>
        <v/>
      </c>
      <c r="D314" s="113" t="str">
        <f>IF($A314="","",IF(A314=prazo_se,1,IFERROR(TRUNC(ESTRUTURA!R315/ESTRUTURA!T314,6),0)*100))</f>
        <v/>
      </c>
      <c r="E314" s="112"/>
      <c r="G314" s="110" t="str">
        <f>IF(ESTRUTURA!A315&gt;prazo_subp,"",ESTRUTURA!A315)</f>
        <v/>
      </c>
      <c r="H314" s="111" t="str">
        <f>IF(G314="","",ESTRUTURA!C315)</f>
        <v/>
      </c>
      <c r="I314" s="111" t="str">
        <f>IF(G314="","",ESTRUTURA!E315)</f>
        <v/>
      </c>
      <c r="J314" s="113" t="str">
        <f>IF($G314="","",IF(G314=prazo_subp,1,IFERROR(TRUNC(ESTRUTURA!Y315/ESTRUTURA!AA314,6),0)*100))</f>
        <v/>
      </c>
      <c r="K314" s="112"/>
      <c r="M314" s="110" t="str">
        <f>ESTRUTURA!M315</f>
        <v/>
      </c>
      <c r="N314" s="111" t="str">
        <f>ESTRUTURA!O315</f>
        <v/>
      </c>
      <c r="O314" s="111" t="str">
        <f>ESTRUTURA!Q315</f>
        <v/>
      </c>
      <c r="P314" s="113" t="str">
        <f>IF($M314="","",IF(M314=prazo_sub,1,IFERROR(TRUNC(ESTRUTURA!AE315/ESTRUTURA!AG314,6),0)*100))</f>
        <v/>
      </c>
      <c r="Q314" s="112"/>
    </row>
    <row r="315" spans="1:17" x14ac:dyDescent="0.3">
      <c r="A315" s="110" t="str">
        <f>IF(ESTRUTURA!A316&gt;prazo_se,"",ESTRUTURA!A316)</f>
        <v/>
      </c>
      <c r="B315" s="111" t="str">
        <f>ESTRUTURA!C316</f>
        <v/>
      </c>
      <c r="C315" s="111" t="str">
        <f>ESTRUTURA!E316</f>
        <v/>
      </c>
      <c r="D315" s="113" t="str">
        <f>IF($A315="","",IF(A315=prazo_se,1,IFERROR(TRUNC(ESTRUTURA!R316/ESTRUTURA!T315,6),0)*100))</f>
        <v/>
      </c>
      <c r="E315" s="112"/>
      <c r="G315" s="110" t="str">
        <f>IF(ESTRUTURA!A316&gt;prazo_subp,"",ESTRUTURA!A316)</f>
        <v/>
      </c>
      <c r="H315" s="111" t="str">
        <f>IF(G315="","",ESTRUTURA!C316)</f>
        <v/>
      </c>
      <c r="I315" s="111" t="str">
        <f>IF(G315="","",ESTRUTURA!E316)</f>
        <v/>
      </c>
      <c r="J315" s="113" t="str">
        <f>IF($G315="","",IF(G315=prazo_subp,1,IFERROR(TRUNC(ESTRUTURA!Y316/ESTRUTURA!AA315,6),0)*100))</f>
        <v/>
      </c>
      <c r="K315" s="112"/>
      <c r="M315" s="110" t="str">
        <f>ESTRUTURA!M316</f>
        <v/>
      </c>
      <c r="N315" s="111" t="str">
        <f>ESTRUTURA!O316</f>
        <v/>
      </c>
      <c r="O315" s="111" t="str">
        <f>ESTRUTURA!Q316</f>
        <v/>
      </c>
      <c r="P315" s="113" t="str">
        <f>IF($M315="","",IF(M315=prazo_sub,1,IFERROR(TRUNC(ESTRUTURA!AE316/ESTRUTURA!AG315,6),0)*100))</f>
        <v/>
      </c>
      <c r="Q315" s="112"/>
    </row>
    <row r="316" spans="1:17" x14ac:dyDescent="0.3">
      <c r="A316" s="110" t="str">
        <f>IF(ESTRUTURA!A317&gt;prazo_se,"",ESTRUTURA!A317)</f>
        <v/>
      </c>
      <c r="B316" s="111" t="str">
        <f>ESTRUTURA!C317</f>
        <v/>
      </c>
      <c r="C316" s="111" t="str">
        <f>ESTRUTURA!E317</f>
        <v/>
      </c>
      <c r="D316" s="113" t="str">
        <f>IF($A316="","",IF(A316=prazo_se,1,IFERROR(TRUNC(ESTRUTURA!R317/ESTRUTURA!T316,6),0)*100))</f>
        <v/>
      </c>
      <c r="E316" s="112"/>
      <c r="G316" s="110" t="str">
        <f>IF(ESTRUTURA!A317&gt;prazo_subp,"",ESTRUTURA!A317)</f>
        <v/>
      </c>
      <c r="H316" s="111" t="str">
        <f>IF(G316="","",ESTRUTURA!C317)</f>
        <v/>
      </c>
      <c r="I316" s="111" t="str">
        <f>IF(G316="","",ESTRUTURA!E317)</f>
        <v/>
      </c>
      <c r="J316" s="113" t="str">
        <f>IF($G316="","",IF(G316=prazo_subp,1,IFERROR(TRUNC(ESTRUTURA!Y317/ESTRUTURA!AA316,6),0)*100))</f>
        <v/>
      </c>
      <c r="K316" s="112"/>
      <c r="M316" s="110" t="str">
        <f>ESTRUTURA!M317</f>
        <v/>
      </c>
      <c r="N316" s="111" t="str">
        <f>ESTRUTURA!O317</f>
        <v/>
      </c>
      <c r="O316" s="111" t="str">
        <f>ESTRUTURA!Q317</f>
        <v/>
      </c>
      <c r="P316" s="113" t="str">
        <f>IF($M316="","",IF(M316=prazo_sub,1,IFERROR(TRUNC(ESTRUTURA!AE317/ESTRUTURA!AG316,6),0)*100))</f>
        <v/>
      </c>
      <c r="Q316" s="112"/>
    </row>
    <row r="317" spans="1:17" x14ac:dyDescent="0.3">
      <c r="A317" s="110" t="str">
        <f>IF(ESTRUTURA!A318&gt;prazo_se,"",ESTRUTURA!A318)</f>
        <v/>
      </c>
      <c r="B317" s="111" t="str">
        <f>ESTRUTURA!C318</f>
        <v/>
      </c>
      <c r="C317" s="111" t="str">
        <f>ESTRUTURA!E318</f>
        <v/>
      </c>
      <c r="D317" s="113" t="str">
        <f>IF($A317="","",IF(A317=prazo_se,1,IFERROR(TRUNC(ESTRUTURA!R318/ESTRUTURA!T317,6),0)*100))</f>
        <v/>
      </c>
      <c r="E317" s="112"/>
      <c r="G317" s="110" t="str">
        <f>IF(ESTRUTURA!A318&gt;prazo_subp,"",ESTRUTURA!A318)</f>
        <v/>
      </c>
      <c r="H317" s="111" t="str">
        <f>IF(G317="","",ESTRUTURA!C318)</f>
        <v/>
      </c>
      <c r="I317" s="111" t="str">
        <f>IF(G317="","",ESTRUTURA!E318)</f>
        <v/>
      </c>
      <c r="J317" s="113" t="str">
        <f>IF($G317="","",IF(G317=prazo_subp,1,IFERROR(TRUNC(ESTRUTURA!Y318/ESTRUTURA!AA317,6),0)*100))</f>
        <v/>
      </c>
      <c r="K317" s="112"/>
      <c r="M317" s="110" t="str">
        <f>ESTRUTURA!M318</f>
        <v/>
      </c>
      <c r="N317" s="111" t="str">
        <f>ESTRUTURA!O318</f>
        <v/>
      </c>
      <c r="O317" s="111" t="str">
        <f>ESTRUTURA!Q318</f>
        <v/>
      </c>
      <c r="P317" s="113" t="str">
        <f>IF($M317="","",IF(M317=prazo_sub,1,IFERROR(TRUNC(ESTRUTURA!AE318/ESTRUTURA!AG317,6),0)*100))</f>
        <v/>
      </c>
      <c r="Q317" s="112"/>
    </row>
    <row r="318" spans="1:17" x14ac:dyDescent="0.3">
      <c r="A318" s="110" t="str">
        <f>IF(ESTRUTURA!A319&gt;prazo_se,"",ESTRUTURA!A319)</f>
        <v/>
      </c>
      <c r="B318" s="111" t="str">
        <f>ESTRUTURA!C319</f>
        <v/>
      </c>
      <c r="C318" s="111" t="str">
        <f>ESTRUTURA!E319</f>
        <v/>
      </c>
      <c r="D318" s="113" t="str">
        <f>IF($A318="","",IF(A318=prazo_se,1,IFERROR(TRUNC(ESTRUTURA!R319/ESTRUTURA!T318,6),0)*100))</f>
        <v/>
      </c>
      <c r="E318" s="112"/>
      <c r="G318" s="110" t="str">
        <f>IF(ESTRUTURA!A319&gt;prazo_subp,"",ESTRUTURA!A319)</f>
        <v/>
      </c>
      <c r="H318" s="111" t="str">
        <f>IF(G318="","",ESTRUTURA!C319)</f>
        <v/>
      </c>
      <c r="I318" s="111" t="str">
        <f>IF(G318="","",ESTRUTURA!E319)</f>
        <v/>
      </c>
      <c r="J318" s="113" t="str">
        <f>IF($G318="","",IF(G318=prazo_subp,1,IFERROR(TRUNC(ESTRUTURA!Y319/ESTRUTURA!AA318,6),0)*100))</f>
        <v/>
      </c>
      <c r="K318" s="112"/>
      <c r="M318" s="110" t="str">
        <f>ESTRUTURA!M319</f>
        <v/>
      </c>
      <c r="N318" s="111" t="str">
        <f>ESTRUTURA!O319</f>
        <v/>
      </c>
      <c r="O318" s="111" t="str">
        <f>ESTRUTURA!Q319</f>
        <v/>
      </c>
      <c r="P318" s="113" t="str">
        <f>IF($M318="","",IF(M318=prazo_sub,1,IFERROR(TRUNC(ESTRUTURA!AE319/ESTRUTURA!AG318,6),0)*100))</f>
        <v/>
      </c>
      <c r="Q318" s="112"/>
    </row>
    <row r="319" spans="1:17" x14ac:dyDescent="0.3">
      <c r="A319" s="110" t="str">
        <f>IF(ESTRUTURA!A320&gt;prazo_se,"",ESTRUTURA!A320)</f>
        <v/>
      </c>
      <c r="B319" s="111" t="str">
        <f>ESTRUTURA!C320</f>
        <v/>
      </c>
      <c r="C319" s="111" t="str">
        <f>ESTRUTURA!E320</f>
        <v/>
      </c>
      <c r="D319" s="113" t="str">
        <f>IF($A319="","",IF(A319=prazo_se,1,IFERROR(TRUNC(ESTRUTURA!R320/ESTRUTURA!T319,6),0)*100))</f>
        <v/>
      </c>
      <c r="E319" s="112"/>
      <c r="G319" s="110" t="str">
        <f>IF(ESTRUTURA!A320&gt;prazo_subp,"",ESTRUTURA!A320)</f>
        <v/>
      </c>
      <c r="H319" s="111" t="str">
        <f>IF(G319="","",ESTRUTURA!C320)</f>
        <v/>
      </c>
      <c r="I319" s="111" t="str">
        <f>IF(G319="","",ESTRUTURA!E320)</f>
        <v/>
      </c>
      <c r="J319" s="113" t="str">
        <f>IF($G319="","",IF(G319=prazo_subp,1,IFERROR(TRUNC(ESTRUTURA!Y320/ESTRUTURA!AA319,6),0)*100))</f>
        <v/>
      </c>
      <c r="K319" s="112"/>
      <c r="M319" s="110" t="str">
        <f>ESTRUTURA!M320</f>
        <v/>
      </c>
      <c r="N319" s="111" t="str">
        <f>ESTRUTURA!O320</f>
        <v/>
      </c>
      <c r="O319" s="111" t="str">
        <f>ESTRUTURA!Q320</f>
        <v/>
      </c>
      <c r="P319" s="113" t="str">
        <f>IF($M319="","",IF(M319=prazo_sub,1,IFERROR(TRUNC(ESTRUTURA!AE320/ESTRUTURA!AG319,6),0)*100))</f>
        <v/>
      </c>
      <c r="Q319" s="112"/>
    </row>
    <row r="320" spans="1:17" x14ac:dyDescent="0.3">
      <c r="A320" s="110" t="str">
        <f>IF(ESTRUTURA!A321&gt;prazo_se,"",ESTRUTURA!A321)</f>
        <v/>
      </c>
      <c r="B320" s="111" t="str">
        <f>ESTRUTURA!C321</f>
        <v/>
      </c>
      <c r="C320" s="111" t="str">
        <f>ESTRUTURA!E321</f>
        <v/>
      </c>
      <c r="D320" s="113" t="str">
        <f>IF($A320="","",IF(A320=prazo_se,1,IFERROR(TRUNC(ESTRUTURA!R321/ESTRUTURA!T320,6),0)*100))</f>
        <v/>
      </c>
      <c r="E320" s="112"/>
      <c r="G320" s="110" t="str">
        <f>IF(ESTRUTURA!A321&gt;prazo_subp,"",ESTRUTURA!A321)</f>
        <v/>
      </c>
      <c r="H320" s="111" t="str">
        <f>IF(G320="","",ESTRUTURA!C321)</f>
        <v/>
      </c>
      <c r="I320" s="111" t="str">
        <f>IF(G320="","",ESTRUTURA!E321)</f>
        <v/>
      </c>
      <c r="J320" s="113" t="str">
        <f>IF($G320="","",IF(G320=prazo_subp,1,IFERROR(TRUNC(ESTRUTURA!Y321/ESTRUTURA!AA320,6),0)*100))</f>
        <v/>
      </c>
      <c r="K320" s="112"/>
      <c r="M320" s="110" t="str">
        <f>ESTRUTURA!M321</f>
        <v/>
      </c>
      <c r="N320" s="111" t="str">
        <f>ESTRUTURA!O321</f>
        <v/>
      </c>
      <c r="O320" s="111" t="str">
        <f>ESTRUTURA!Q321</f>
        <v/>
      </c>
      <c r="P320" s="113" t="str">
        <f>IF($M320="","",IF(M320=prazo_sub,1,IFERROR(TRUNC(ESTRUTURA!AE321/ESTRUTURA!AG320,6),0)*100))</f>
        <v/>
      </c>
      <c r="Q320" s="112"/>
    </row>
    <row r="321" spans="1:17" x14ac:dyDescent="0.3">
      <c r="A321" s="110" t="str">
        <f>IF(ESTRUTURA!A322&gt;prazo_se,"",ESTRUTURA!A322)</f>
        <v/>
      </c>
      <c r="B321" s="111" t="str">
        <f>ESTRUTURA!C322</f>
        <v/>
      </c>
      <c r="C321" s="111" t="str">
        <f>ESTRUTURA!E322</f>
        <v/>
      </c>
      <c r="D321" s="113" t="str">
        <f>IF($A321="","",IF(A321=prazo_se,1,IFERROR(TRUNC(ESTRUTURA!R322/ESTRUTURA!T321,6),0)*100))</f>
        <v/>
      </c>
      <c r="E321" s="112"/>
      <c r="G321" s="110" t="str">
        <f>IF(ESTRUTURA!A322&gt;prazo_subp,"",ESTRUTURA!A322)</f>
        <v/>
      </c>
      <c r="H321" s="111" t="str">
        <f>IF(G321="","",ESTRUTURA!C322)</f>
        <v/>
      </c>
      <c r="I321" s="111" t="str">
        <f>IF(G321="","",ESTRUTURA!E322)</f>
        <v/>
      </c>
      <c r="J321" s="113" t="str">
        <f>IF($G321="","",IF(G321=prazo_subp,1,IFERROR(TRUNC(ESTRUTURA!Y322/ESTRUTURA!AA321,6),0)*100))</f>
        <v/>
      </c>
      <c r="K321" s="112"/>
      <c r="M321" s="110" t="str">
        <f>ESTRUTURA!M322</f>
        <v/>
      </c>
      <c r="N321" s="111" t="str">
        <f>ESTRUTURA!O322</f>
        <v/>
      </c>
      <c r="O321" s="111" t="str">
        <f>ESTRUTURA!Q322</f>
        <v/>
      </c>
      <c r="P321" s="113" t="str">
        <f>IF($M321="","",IF(M321=prazo_sub,1,IFERROR(TRUNC(ESTRUTURA!AE322/ESTRUTURA!AG321,6),0)*100))</f>
        <v/>
      </c>
      <c r="Q321" s="112"/>
    </row>
    <row r="322" spans="1:17" x14ac:dyDescent="0.3">
      <c r="A322" s="110" t="str">
        <f>IF(ESTRUTURA!A323&gt;prazo_se,"",ESTRUTURA!A323)</f>
        <v/>
      </c>
      <c r="B322" s="111" t="str">
        <f>ESTRUTURA!C323</f>
        <v/>
      </c>
      <c r="C322" s="111" t="str">
        <f>ESTRUTURA!E323</f>
        <v/>
      </c>
      <c r="D322" s="113" t="str">
        <f>IF($A322="","",IF(A322=prazo_se,1,IFERROR(TRUNC(ESTRUTURA!R323/ESTRUTURA!T322,6),0)*100))</f>
        <v/>
      </c>
      <c r="E322" s="112"/>
      <c r="G322" s="110" t="str">
        <f>IF(ESTRUTURA!A323&gt;prazo_subp,"",ESTRUTURA!A323)</f>
        <v/>
      </c>
      <c r="H322" s="111" t="str">
        <f>IF(G322="","",ESTRUTURA!C323)</f>
        <v/>
      </c>
      <c r="I322" s="111" t="str">
        <f>IF(G322="","",ESTRUTURA!E323)</f>
        <v/>
      </c>
      <c r="J322" s="113" t="str">
        <f>IF($G322="","",IF(G322=prazo_subp,1,IFERROR(TRUNC(ESTRUTURA!Y323/ESTRUTURA!AA322,6),0)*100))</f>
        <v/>
      </c>
      <c r="K322" s="112"/>
      <c r="M322" s="110" t="str">
        <f>ESTRUTURA!M323</f>
        <v/>
      </c>
      <c r="N322" s="111" t="str">
        <f>ESTRUTURA!O323</f>
        <v/>
      </c>
      <c r="O322" s="111" t="str">
        <f>ESTRUTURA!Q323</f>
        <v/>
      </c>
      <c r="P322" s="113" t="str">
        <f>IF($M322="","",IF(M322=prazo_sub,1,IFERROR(TRUNC(ESTRUTURA!AE323/ESTRUTURA!AG322,6),0)*100))</f>
        <v/>
      </c>
      <c r="Q322" s="112"/>
    </row>
    <row r="323" spans="1:17" x14ac:dyDescent="0.3">
      <c r="A323" s="110" t="str">
        <f>IF(ESTRUTURA!A324&gt;prazo_se,"",ESTRUTURA!A324)</f>
        <v/>
      </c>
      <c r="B323" s="111" t="str">
        <f>ESTRUTURA!C324</f>
        <v/>
      </c>
      <c r="C323" s="111" t="str">
        <f>ESTRUTURA!E324</f>
        <v/>
      </c>
      <c r="D323" s="113" t="str">
        <f>IF($A323="","",IF(A323=prazo_se,1,IFERROR(TRUNC(ESTRUTURA!R324/ESTRUTURA!T323,6),0)*100))</f>
        <v/>
      </c>
      <c r="E323" s="112"/>
      <c r="G323" s="110" t="str">
        <f>IF(ESTRUTURA!A324&gt;prazo_subp,"",ESTRUTURA!A324)</f>
        <v/>
      </c>
      <c r="H323" s="111" t="str">
        <f>IF(G323="","",ESTRUTURA!C324)</f>
        <v/>
      </c>
      <c r="I323" s="111" t="str">
        <f>IF(G323="","",ESTRUTURA!E324)</f>
        <v/>
      </c>
      <c r="J323" s="113" t="str">
        <f>IF($G323="","",IF(G323=prazo_subp,1,IFERROR(TRUNC(ESTRUTURA!Y324/ESTRUTURA!AA323,6),0)*100))</f>
        <v/>
      </c>
      <c r="K323" s="112"/>
      <c r="M323" s="110" t="str">
        <f>ESTRUTURA!M324</f>
        <v/>
      </c>
      <c r="N323" s="111" t="str">
        <f>ESTRUTURA!O324</f>
        <v/>
      </c>
      <c r="O323" s="111" t="str">
        <f>ESTRUTURA!Q324</f>
        <v/>
      </c>
      <c r="P323" s="113" t="str">
        <f>IF($M323="","",IF(M323=prazo_sub,1,IFERROR(TRUNC(ESTRUTURA!AE324/ESTRUTURA!AG323,6),0)*100))</f>
        <v/>
      </c>
      <c r="Q323" s="112"/>
    </row>
    <row r="324" spans="1:17" x14ac:dyDescent="0.3">
      <c r="A324" s="110" t="str">
        <f>IF(ESTRUTURA!A325&gt;prazo_se,"",ESTRUTURA!A325)</f>
        <v/>
      </c>
      <c r="B324" s="111" t="str">
        <f>ESTRUTURA!C325</f>
        <v/>
      </c>
      <c r="C324" s="111" t="str">
        <f>ESTRUTURA!E325</f>
        <v/>
      </c>
      <c r="D324" s="113" t="str">
        <f>IF($A324="","",IF(A324=prazo_se,1,IFERROR(TRUNC(ESTRUTURA!R325/ESTRUTURA!T324,6),0)*100))</f>
        <v/>
      </c>
      <c r="E324" s="112"/>
      <c r="G324" s="110" t="str">
        <f>IF(ESTRUTURA!A325&gt;prazo_subp,"",ESTRUTURA!A325)</f>
        <v/>
      </c>
      <c r="H324" s="111" t="str">
        <f>IF(G324="","",ESTRUTURA!C325)</f>
        <v/>
      </c>
      <c r="I324" s="111" t="str">
        <f>IF(G324="","",ESTRUTURA!E325)</f>
        <v/>
      </c>
      <c r="J324" s="113" t="str">
        <f>IF($G324="","",IF(G324=prazo_subp,1,IFERROR(TRUNC(ESTRUTURA!Y325/ESTRUTURA!AA324,6),0)*100))</f>
        <v/>
      </c>
      <c r="K324" s="112"/>
      <c r="M324" s="110" t="str">
        <f>ESTRUTURA!M325</f>
        <v/>
      </c>
      <c r="N324" s="111" t="str">
        <f>ESTRUTURA!O325</f>
        <v/>
      </c>
      <c r="O324" s="111" t="str">
        <f>ESTRUTURA!Q325</f>
        <v/>
      </c>
      <c r="P324" s="113" t="str">
        <f>IF($M324="","",IF(M324=prazo_sub,1,IFERROR(TRUNC(ESTRUTURA!AE325/ESTRUTURA!AG324,6),0)*100))</f>
        <v/>
      </c>
      <c r="Q324" s="112"/>
    </row>
    <row r="325" spans="1:17" x14ac:dyDescent="0.3">
      <c r="A325" s="110" t="str">
        <f>IF(ESTRUTURA!A326&gt;prazo_se,"",ESTRUTURA!A326)</f>
        <v/>
      </c>
      <c r="B325" s="111" t="str">
        <f>ESTRUTURA!C326</f>
        <v/>
      </c>
      <c r="C325" s="111" t="str">
        <f>ESTRUTURA!E326</f>
        <v/>
      </c>
      <c r="D325" s="113" t="str">
        <f>IF($A325="","",IF(A325=prazo_se,1,IFERROR(TRUNC(ESTRUTURA!R326/ESTRUTURA!T325,6),0)*100))</f>
        <v/>
      </c>
      <c r="E325" s="112"/>
      <c r="G325" s="110" t="str">
        <f>IF(ESTRUTURA!A326&gt;prazo_subp,"",ESTRUTURA!A326)</f>
        <v/>
      </c>
      <c r="H325" s="111" t="str">
        <f>IF(G325="","",ESTRUTURA!C326)</f>
        <v/>
      </c>
      <c r="I325" s="111" t="str">
        <f>IF(G325="","",ESTRUTURA!E326)</f>
        <v/>
      </c>
      <c r="J325" s="113" t="str">
        <f>IF($G325="","",IF(G325=prazo_subp,1,IFERROR(TRUNC(ESTRUTURA!Y326/ESTRUTURA!AA325,6),0)*100))</f>
        <v/>
      </c>
      <c r="K325" s="112"/>
      <c r="M325" s="110" t="str">
        <f>ESTRUTURA!M326</f>
        <v/>
      </c>
      <c r="N325" s="111" t="str">
        <f>ESTRUTURA!O326</f>
        <v/>
      </c>
      <c r="O325" s="111" t="str">
        <f>ESTRUTURA!Q326</f>
        <v/>
      </c>
      <c r="P325" s="113" t="str">
        <f>IF($M325="","",IF(M325=prazo_sub,1,IFERROR(TRUNC(ESTRUTURA!AE326/ESTRUTURA!AG325,6),0)*100))</f>
        <v/>
      </c>
      <c r="Q325" s="112"/>
    </row>
    <row r="326" spans="1:17" x14ac:dyDescent="0.3">
      <c r="A326" s="110" t="str">
        <f>IF(ESTRUTURA!A327&gt;prazo_se,"",ESTRUTURA!A327)</f>
        <v/>
      </c>
      <c r="B326" s="111" t="str">
        <f>ESTRUTURA!C327</f>
        <v/>
      </c>
      <c r="C326" s="111" t="str">
        <f>ESTRUTURA!E327</f>
        <v/>
      </c>
      <c r="D326" s="113" t="str">
        <f>IF($A326="","",IF(A326=prazo_se,1,IFERROR(TRUNC(ESTRUTURA!R327/ESTRUTURA!T326,6),0)*100))</f>
        <v/>
      </c>
      <c r="E326" s="112"/>
      <c r="G326" s="110" t="str">
        <f>IF(ESTRUTURA!A327&gt;prazo_subp,"",ESTRUTURA!A327)</f>
        <v/>
      </c>
      <c r="H326" s="111" t="str">
        <f>IF(G326="","",ESTRUTURA!C327)</f>
        <v/>
      </c>
      <c r="I326" s="111" t="str">
        <f>IF(G326="","",ESTRUTURA!E327)</f>
        <v/>
      </c>
      <c r="J326" s="113" t="str">
        <f>IF($G326="","",IF(G326=prazo_subp,1,IFERROR(TRUNC(ESTRUTURA!Y327/ESTRUTURA!AA326,6),0)*100))</f>
        <v/>
      </c>
      <c r="K326" s="112"/>
      <c r="M326" s="110" t="str">
        <f>ESTRUTURA!M327</f>
        <v/>
      </c>
      <c r="N326" s="111" t="str">
        <f>ESTRUTURA!O327</f>
        <v/>
      </c>
      <c r="O326" s="111" t="str">
        <f>ESTRUTURA!Q327</f>
        <v/>
      </c>
      <c r="P326" s="113" t="str">
        <f>IF($M326="","",IF(M326=prazo_sub,1,IFERROR(TRUNC(ESTRUTURA!AE327/ESTRUTURA!AG326,6),0)*100))</f>
        <v/>
      </c>
      <c r="Q326" s="112"/>
    </row>
    <row r="327" spans="1:17" x14ac:dyDescent="0.3">
      <c r="A327" s="110" t="str">
        <f>IF(ESTRUTURA!A328&gt;prazo_se,"",ESTRUTURA!A328)</f>
        <v/>
      </c>
      <c r="B327" s="111" t="str">
        <f>ESTRUTURA!C328</f>
        <v/>
      </c>
      <c r="C327" s="111" t="str">
        <f>ESTRUTURA!E328</f>
        <v/>
      </c>
      <c r="D327" s="113" t="str">
        <f>IF($A327="","",IF(A327=prazo_se,1,IFERROR(TRUNC(ESTRUTURA!R328/ESTRUTURA!T327,6),0)*100))</f>
        <v/>
      </c>
      <c r="E327" s="112"/>
      <c r="G327" s="110" t="str">
        <f>IF(ESTRUTURA!A328&gt;prazo_subp,"",ESTRUTURA!A328)</f>
        <v/>
      </c>
      <c r="H327" s="111" t="str">
        <f>IF(G327="","",ESTRUTURA!C328)</f>
        <v/>
      </c>
      <c r="I327" s="111" t="str">
        <f>IF(G327="","",ESTRUTURA!E328)</f>
        <v/>
      </c>
      <c r="J327" s="113" t="str">
        <f>IF($G327="","",IF(G327=prazo_subp,1,IFERROR(TRUNC(ESTRUTURA!Y328/ESTRUTURA!AA327,6),0)*100))</f>
        <v/>
      </c>
      <c r="K327" s="112"/>
      <c r="M327" s="110" t="str">
        <f>ESTRUTURA!M328</f>
        <v/>
      </c>
      <c r="N327" s="111" t="str">
        <f>ESTRUTURA!O328</f>
        <v/>
      </c>
      <c r="O327" s="111" t="str">
        <f>ESTRUTURA!Q328</f>
        <v/>
      </c>
      <c r="P327" s="113" t="str">
        <f>IF($M327="","",IF(M327=prazo_sub,1,IFERROR(TRUNC(ESTRUTURA!AE328/ESTRUTURA!AG327,6),0)*100))</f>
        <v/>
      </c>
      <c r="Q327" s="112"/>
    </row>
    <row r="328" spans="1:17" x14ac:dyDescent="0.3">
      <c r="A328" s="110" t="str">
        <f>IF(ESTRUTURA!A329&gt;prazo_se,"",ESTRUTURA!A329)</f>
        <v/>
      </c>
      <c r="B328" s="111" t="str">
        <f>ESTRUTURA!C329</f>
        <v/>
      </c>
      <c r="C328" s="111" t="str">
        <f>ESTRUTURA!E329</f>
        <v/>
      </c>
      <c r="D328" s="113" t="str">
        <f>IF($A328="","",IF(A328=prazo_se,1,IFERROR(TRUNC(ESTRUTURA!R329/ESTRUTURA!T328,6),0)*100))</f>
        <v/>
      </c>
      <c r="E328" s="112"/>
      <c r="G328" s="110" t="str">
        <f>IF(ESTRUTURA!A329&gt;prazo_subp,"",ESTRUTURA!A329)</f>
        <v/>
      </c>
      <c r="H328" s="111" t="str">
        <f>IF(G328="","",ESTRUTURA!C329)</f>
        <v/>
      </c>
      <c r="I328" s="111" t="str">
        <f>IF(G328="","",ESTRUTURA!E329)</f>
        <v/>
      </c>
      <c r="J328" s="113" t="str">
        <f>IF($G328="","",IF(G328=prazo_subp,1,IFERROR(TRUNC(ESTRUTURA!Y329/ESTRUTURA!AA328,6),0)*100))</f>
        <v/>
      </c>
      <c r="K328" s="112"/>
      <c r="M328" s="110" t="str">
        <f>ESTRUTURA!M329</f>
        <v/>
      </c>
      <c r="N328" s="111" t="str">
        <f>ESTRUTURA!O329</f>
        <v/>
      </c>
      <c r="O328" s="111" t="str">
        <f>ESTRUTURA!Q329</f>
        <v/>
      </c>
      <c r="P328" s="113" t="str">
        <f>IF($M328="","",IF(M328=prazo_sub,1,IFERROR(TRUNC(ESTRUTURA!AE329/ESTRUTURA!AG328,6),0)*100))</f>
        <v/>
      </c>
      <c r="Q328" s="112"/>
    </row>
    <row r="329" spans="1:17" x14ac:dyDescent="0.3">
      <c r="A329" s="110" t="str">
        <f>IF(ESTRUTURA!A330&gt;prazo_se,"",ESTRUTURA!A330)</f>
        <v/>
      </c>
      <c r="B329" s="111" t="str">
        <f>ESTRUTURA!C330</f>
        <v/>
      </c>
      <c r="C329" s="111" t="str">
        <f>ESTRUTURA!E330</f>
        <v/>
      </c>
      <c r="D329" s="113" t="str">
        <f>IF($A329="","",IF(A329=prazo_se,1,IFERROR(TRUNC(ESTRUTURA!R330/ESTRUTURA!T329,6),0)*100))</f>
        <v/>
      </c>
      <c r="E329" s="112"/>
      <c r="G329" s="110" t="str">
        <f>IF(ESTRUTURA!A330&gt;prazo_subp,"",ESTRUTURA!A330)</f>
        <v/>
      </c>
      <c r="H329" s="111" t="str">
        <f>IF(G329="","",ESTRUTURA!C330)</f>
        <v/>
      </c>
      <c r="I329" s="111" t="str">
        <f>IF(G329="","",ESTRUTURA!E330)</f>
        <v/>
      </c>
      <c r="J329" s="113" t="str">
        <f>IF($G329="","",IF(G329=prazo_subp,1,IFERROR(TRUNC(ESTRUTURA!Y330/ESTRUTURA!AA329,6),0)*100))</f>
        <v/>
      </c>
      <c r="K329" s="112"/>
      <c r="M329" s="110" t="str">
        <f>ESTRUTURA!M330</f>
        <v/>
      </c>
      <c r="N329" s="111" t="str">
        <f>ESTRUTURA!O330</f>
        <v/>
      </c>
      <c r="O329" s="111" t="str">
        <f>ESTRUTURA!Q330</f>
        <v/>
      </c>
      <c r="P329" s="113" t="str">
        <f>IF($M329="","",IF(M329=prazo_sub,1,IFERROR(TRUNC(ESTRUTURA!AE330/ESTRUTURA!AG329,6),0)*100))</f>
        <v/>
      </c>
      <c r="Q329" s="112"/>
    </row>
    <row r="330" spans="1:17" x14ac:dyDescent="0.3">
      <c r="A330" s="110" t="str">
        <f>IF(ESTRUTURA!A331&gt;prazo_se,"",ESTRUTURA!A331)</f>
        <v/>
      </c>
      <c r="B330" s="111" t="str">
        <f>ESTRUTURA!C331</f>
        <v/>
      </c>
      <c r="C330" s="111" t="str">
        <f>ESTRUTURA!E331</f>
        <v/>
      </c>
      <c r="D330" s="113" t="str">
        <f>IF($A330="","",IF(A330=prazo_se,1,IFERROR(TRUNC(ESTRUTURA!R331/ESTRUTURA!T330,6),0)*100))</f>
        <v/>
      </c>
      <c r="E330" s="112"/>
      <c r="G330" s="110" t="str">
        <f>IF(ESTRUTURA!A331&gt;prazo_subp,"",ESTRUTURA!A331)</f>
        <v/>
      </c>
      <c r="H330" s="111" t="str">
        <f>IF(G330="","",ESTRUTURA!C331)</f>
        <v/>
      </c>
      <c r="I330" s="111" t="str">
        <f>IF(G330="","",ESTRUTURA!E331)</f>
        <v/>
      </c>
      <c r="J330" s="113" t="str">
        <f>IF($G330="","",IF(G330=prazo_subp,1,IFERROR(TRUNC(ESTRUTURA!Y331/ESTRUTURA!AA330,6),0)*100))</f>
        <v/>
      </c>
      <c r="K330" s="112"/>
      <c r="M330" s="110" t="str">
        <f>ESTRUTURA!M331</f>
        <v/>
      </c>
      <c r="N330" s="111" t="str">
        <f>ESTRUTURA!O331</f>
        <v/>
      </c>
      <c r="O330" s="111" t="str">
        <f>ESTRUTURA!Q331</f>
        <v/>
      </c>
      <c r="P330" s="113" t="str">
        <f>IF($M330="","",IF(M330=prazo_sub,1,IFERROR(TRUNC(ESTRUTURA!AE331/ESTRUTURA!AG330,6),0)*100))</f>
        <v/>
      </c>
      <c r="Q330" s="112"/>
    </row>
    <row r="331" spans="1:17" x14ac:dyDescent="0.3">
      <c r="A331" s="110" t="str">
        <f>IF(ESTRUTURA!A332&gt;prazo_se,"",ESTRUTURA!A332)</f>
        <v/>
      </c>
      <c r="B331" s="111" t="str">
        <f>ESTRUTURA!C332</f>
        <v/>
      </c>
      <c r="C331" s="111" t="str">
        <f>ESTRUTURA!E332</f>
        <v/>
      </c>
      <c r="D331" s="113" t="str">
        <f>IF($A331="","",IF(A331=prazo_se,1,IFERROR(TRUNC(ESTRUTURA!R332/ESTRUTURA!T331,6),0)*100))</f>
        <v/>
      </c>
      <c r="E331" s="112"/>
      <c r="G331" s="110" t="str">
        <f>IF(ESTRUTURA!A332&gt;prazo_subp,"",ESTRUTURA!A332)</f>
        <v/>
      </c>
      <c r="H331" s="111" t="str">
        <f>IF(G331="","",ESTRUTURA!C332)</f>
        <v/>
      </c>
      <c r="I331" s="111" t="str">
        <f>IF(G331="","",ESTRUTURA!E332)</f>
        <v/>
      </c>
      <c r="J331" s="113" t="str">
        <f>IF($G331="","",IF(G331=prazo_subp,1,IFERROR(TRUNC(ESTRUTURA!Y332/ESTRUTURA!AA331,6),0)*100))</f>
        <v/>
      </c>
      <c r="K331" s="112"/>
      <c r="M331" s="110" t="str">
        <f>ESTRUTURA!M332</f>
        <v/>
      </c>
      <c r="N331" s="111" t="str">
        <f>ESTRUTURA!O332</f>
        <v/>
      </c>
      <c r="O331" s="111" t="str">
        <f>ESTRUTURA!Q332</f>
        <v/>
      </c>
      <c r="P331" s="113" t="str">
        <f>IF($M331="","",IF(M331=prazo_sub,1,IFERROR(TRUNC(ESTRUTURA!AE332/ESTRUTURA!AG331,6),0)*100))</f>
        <v/>
      </c>
      <c r="Q331" s="112"/>
    </row>
    <row r="332" spans="1:17" x14ac:dyDescent="0.3">
      <c r="A332" s="110" t="str">
        <f>IF(ESTRUTURA!A333&gt;prazo_se,"",ESTRUTURA!A333)</f>
        <v/>
      </c>
      <c r="B332" s="111" t="str">
        <f>ESTRUTURA!C333</f>
        <v/>
      </c>
      <c r="C332" s="111" t="str">
        <f>ESTRUTURA!E333</f>
        <v/>
      </c>
      <c r="D332" s="113" t="str">
        <f>IF($A332="","",IF(A332=prazo_se,1,IFERROR(TRUNC(ESTRUTURA!R333/ESTRUTURA!T332,6),0)*100))</f>
        <v/>
      </c>
      <c r="E332" s="112"/>
      <c r="G332" s="110" t="str">
        <f>IF(ESTRUTURA!A333&gt;prazo_subp,"",ESTRUTURA!A333)</f>
        <v/>
      </c>
      <c r="H332" s="111" t="str">
        <f>IF(G332="","",ESTRUTURA!C333)</f>
        <v/>
      </c>
      <c r="I332" s="111" t="str">
        <f>IF(G332="","",ESTRUTURA!E333)</f>
        <v/>
      </c>
      <c r="J332" s="113" t="str">
        <f>IF($G332="","",IF(G332=prazo_subp,1,IFERROR(TRUNC(ESTRUTURA!Y333/ESTRUTURA!AA332,6),0)*100))</f>
        <v/>
      </c>
      <c r="K332" s="112"/>
      <c r="M332" s="110" t="str">
        <f>ESTRUTURA!M333</f>
        <v/>
      </c>
      <c r="N332" s="111" t="str">
        <f>ESTRUTURA!O333</f>
        <v/>
      </c>
      <c r="O332" s="111" t="str">
        <f>ESTRUTURA!Q333</f>
        <v/>
      </c>
      <c r="P332" s="113" t="str">
        <f>IF($M332="","",IF(M332=prazo_sub,1,IFERROR(TRUNC(ESTRUTURA!AE333/ESTRUTURA!AG332,6),0)*100))</f>
        <v/>
      </c>
      <c r="Q332" s="112"/>
    </row>
    <row r="333" spans="1:17" x14ac:dyDescent="0.3">
      <c r="A333" s="110" t="str">
        <f>IF(ESTRUTURA!A334&gt;prazo_se,"",ESTRUTURA!A334)</f>
        <v/>
      </c>
      <c r="B333" s="111" t="str">
        <f>ESTRUTURA!C334</f>
        <v/>
      </c>
      <c r="C333" s="111" t="str">
        <f>ESTRUTURA!E334</f>
        <v/>
      </c>
      <c r="D333" s="113" t="str">
        <f>IF($A333="","",IF(A333=prazo_se,1,IFERROR(TRUNC(ESTRUTURA!R334/ESTRUTURA!T333,6),0)*100))</f>
        <v/>
      </c>
      <c r="E333" s="112"/>
      <c r="G333" s="110" t="str">
        <f>IF(ESTRUTURA!A334&gt;prazo_subp,"",ESTRUTURA!A334)</f>
        <v/>
      </c>
      <c r="H333" s="111" t="str">
        <f>IF(G333="","",ESTRUTURA!C334)</f>
        <v/>
      </c>
      <c r="I333" s="111" t="str">
        <f>IF(G333="","",ESTRUTURA!E334)</f>
        <v/>
      </c>
      <c r="J333" s="113" t="str">
        <f>IF($G333="","",IF(G333=prazo_subp,1,IFERROR(TRUNC(ESTRUTURA!Y334/ESTRUTURA!AA333,6),0)*100))</f>
        <v/>
      </c>
      <c r="K333" s="112"/>
      <c r="M333" s="110" t="str">
        <f>ESTRUTURA!M334</f>
        <v/>
      </c>
      <c r="N333" s="111" t="str">
        <f>ESTRUTURA!O334</f>
        <v/>
      </c>
      <c r="O333" s="111" t="str">
        <f>ESTRUTURA!Q334</f>
        <v/>
      </c>
      <c r="P333" s="113" t="str">
        <f>IF($M333="","",IF(M333=prazo_sub,1,IFERROR(TRUNC(ESTRUTURA!AE334/ESTRUTURA!AG333,6),0)*100))</f>
        <v/>
      </c>
      <c r="Q333" s="112"/>
    </row>
    <row r="334" spans="1:17" x14ac:dyDescent="0.3">
      <c r="A334" s="110" t="str">
        <f>IF(ESTRUTURA!A335&gt;prazo_se,"",ESTRUTURA!A335)</f>
        <v/>
      </c>
      <c r="B334" s="111" t="str">
        <f>ESTRUTURA!C335</f>
        <v/>
      </c>
      <c r="C334" s="111" t="str">
        <f>ESTRUTURA!E335</f>
        <v/>
      </c>
      <c r="D334" s="113" t="str">
        <f>IF($A334="","",IF(A334=prazo_se,1,IFERROR(TRUNC(ESTRUTURA!R335/ESTRUTURA!T334,6),0)*100))</f>
        <v/>
      </c>
      <c r="E334" s="112"/>
      <c r="G334" s="110" t="str">
        <f>IF(ESTRUTURA!A335&gt;prazo_subp,"",ESTRUTURA!A335)</f>
        <v/>
      </c>
      <c r="H334" s="111" t="str">
        <f>IF(G334="","",ESTRUTURA!C335)</f>
        <v/>
      </c>
      <c r="I334" s="111" t="str">
        <f>IF(G334="","",ESTRUTURA!E335)</f>
        <v/>
      </c>
      <c r="J334" s="113" t="str">
        <f>IF($G334="","",IF(G334=prazo_subp,1,IFERROR(TRUNC(ESTRUTURA!Y335/ESTRUTURA!AA334,6),0)*100))</f>
        <v/>
      </c>
      <c r="K334" s="112"/>
      <c r="M334" s="110" t="str">
        <f>ESTRUTURA!M335</f>
        <v/>
      </c>
      <c r="N334" s="111" t="str">
        <f>ESTRUTURA!O335</f>
        <v/>
      </c>
      <c r="O334" s="111" t="str">
        <f>ESTRUTURA!Q335</f>
        <v/>
      </c>
      <c r="P334" s="113" t="str">
        <f>IF($M334="","",IF(M334=prazo_sub,1,IFERROR(TRUNC(ESTRUTURA!AE335/ESTRUTURA!AG334,6),0)*100))</f>
        <v/>
      </c>
      <c r="Q334" s="112"/>
    </row>
    <row r="335" spans="1:17" x14ac:dyDescent="0.3">
      <c r="A335" s="110" t="str">
        <f>IF(ESTRUTURA!A336&gt;prazo_se,"",ESTRUTURA!A336)</f>
        <v/>
      </c>
      <c r="B335" s="111" t="str">
        <f>ESTRUTURA!C336</f>
        <v/>
      </c>
      <c r="C335" s="111" t="str">
        <f>ESTRUTURA!E336</f>
        <v/>
      </c>
      <c r="D335" s="113" t="str">
        <f>IF($A335="","",IF(A335=prazo_se,1,IFERROR(TRUNC(ESTRUTURA!R336/ESTRUTURA!T335,6),0)*100))</f>
        <v/>
      </c>
      <c r="E335" s="112"/>
      <c r="G335" s="110" t="str">
        <f>IF(ESTRUTURA!A336&gt;prazo_subp,"",ESTRUTURA!A336)</f>
        <v/>
      </c>
      <c r="H335" s="111" t="str">
        <f>IF(G335="","",ESTRUTURA!C336)</f>
        <v/>
      </c>
      <c r="I335" s="111" t="str">
        <f>IF(G335="","",ESTRUTURA!E336)</f>
        <v/>
      </c>
      <c r="J335" s="113" t="str">
        <f>IF($G335="","",IF(G335=prazo_subp,1,IFERROR(TRUNC(ESTRUTURA!Y336/ESTRUTURA!AA335,6),0)*100))</f>
        <v/>
      </c>
      <c r="K335" s="112"/>
      <c r="M335" s="110" t="str">
        <f>ESTRUTURA!M336</f>
        <v/>
      </c>
      <c r="N335" s="111" t="str">
        <f>ESTRUTURA!O336</f>
        <v/>
      </c>
      <c r="O335" s="111" t="str">
        <f>ESTRUTURA!Q336</f>
        <v/>
      </c>
      <c r="P335" s="113" t="str">
        <f>IF($M335="","",IF(M335=prazo_sub,1,IFERROR(TRUNC(ESTRUTURA!AE336/ESTRUTURA!AG335,6),0)*100))</f>
        <v/>
      </c>
      <c r="Q335" s="112"/>
    </row>
    <row r="336" spans="1:17" x14ac:dyDescent="0.3">
      <c r="A336" s="110" t="str">
        <f>IF(ESTRUTURA!A337&gt;prazo_se,"",ESTRUTURA!A337)</f>
        <v/>
      </c>
      <c r="B336" s="111" t="str">
        <f>ESTRUTURA!C337</f>
        <v/>
      </c>
      <c r="C336" s="111" t="str">
        <f>ESTRUTURA!E337</f>
        <v/>
      </c>
      <c r="D336" s="113" t="str">
        <f>IF($A336="","",IF(A336=prazo_se,1,IFERROR(TRUNC(ESTRUTURA!R337/ESTRUTURA!T336,6),0)*100))</f>
        <v/>
      </c>
      <c r="E336" s="112"/>
      <c r="G336" s="110" t="str">
        <f>IF(ESTRUTURA!A337&gt;prazo_subp,"",ESTRUTURA!A337)</f>
        <v/>
      </c>
      <c r="H336" s="111" t="str">
        <f>IF(G336="","",ESTRUTURA!C337)</f>
        <v/>
      </c>
      <c r="I336" s="111" t="str">
        <f>IF(G336="","",ESTRUTURA!E337)</f>
        <v/>
      </c>
      <c r="J336" s="113" t="str">
        <f>IF($G336="","",IF(G336=prazo_subp,1,IFERROR(TRUNC(ESTRUTURA!Y337/ESTRUTURA!AA336,6),0)*100))</f>
        <v/>
      </c>
      <c r="K336" s="112"/>
      <c r="M336" s="110" t="str">
        <f>ESTRUTURA!M337</f>
        <v/>
      </c>
      <c r="N336" s="111" t="str">
        <f>ESTRUTURA!O337</f>
        <v/>
      </c>
      <c r="O336" s="111" t="str">
        <f>ESTRUTURA!Q337</f>
        <v/>
      </c>
      <c r="P336" s="113" t="str">
        <f>IF($M336="","",IF(M336=prazo_sub,1,IFERROR(TRUNC(ESTRUTURA!AE337/ESTRUTURA!AG336,6),0)*100))</f>
        <v/>
      </c>
      <c r="Q336" s="112"/>
    </row>
    <row r="337" spans="1:17" x14ac:dyDescent="0.3">
      <c r="A337" s="110" t="str">
        <f>IF(ESTRUTURA!A338&gt;prazo_se,"",ESTRUTURA!A338)</f>
        <v/>
      </c>
      <c r="B337" s="111" t="str">
        <f>ESTRUTURA!C338</f>
        <v/>
      </c>
      <c r="C337" s="111" t="str">
        <f>ESTRUTURA!E338</f>
        <v/>
      </c>
      <c r="D337" s="113" t="str">
        <f>IF($A337="","",IF(A337=prazo_se,1,IFERROR(TRUNC(ESTRUTURA!R338/ESTRUTURA!T337,6),0)*100))</f>
        <v/>
      </c>
      <c r="E337" s="112"/>
      <c r="G337" s="110" t="str">
        <f>IF(ESTRUTURA!A338&gt;prazo_subp,"",ESTRUTURA!A338)</f>
        <v/>
      </c>
      <c r="H337" s="111" t="str">
        <f>IF(G337="","",ESTRUTURA!C338)</f>
        <v/>
      </c>
      <c r="I337" s="111" t="str">
        <f>IF(G337="","",ESTRUTURA!E338)</f>
        <v/>
      </c>
      <c r="J337" s="113" t="str">
        <f>IF($G337="","",IF(G337=prazo_subp,1,IFERROR(TRUNC(ESTRUTURA!Y338/ESTRUTURA!AA337,6),0)*100))</f>
        <v/>
      </c>
      <c r="K337" s="112"/>
      <c r="M337" s="110" t="str">
        <f>ESTRUTURA!M338</f>
        <v/>
      </c>
      <c r="N337" s="111" t="str">
        <f>ESTRUTURA!O338</f>
        <v/>
      </c>
      <c r="O337" s="111" t="str">
        <f>ESTRUTURA!Q338</f>
        <v/>
      </c>
      <c r="P337" s="113" t="str">
        <f>IF($M337="","",IF(M337=prazo_sub,1,IFERROR(TRUNC(ESTRUTURA!AE338/ESTRUTURA!AG337,6),0)*100))</f>
        <v/>
      </c>
      <c r="Q337" s="112"/>
    </row>
    <row r="338" spans="1:17" x14ac:dyDescent="0.3">
      <c r="A338" s="110" t="str">
        <f>IF(ESTRUTURA!A339&gt;prazo_se,"",ESTRUTURA!A339)</f>
        <v/>
      </c>
      <c r="B338" s="111" t="str">
        <f>ESTRUTURA!C339</f>
        <v/>
      </c>
      <c r="C338" s="111" t="str">
        <f>ESTRUTURA!E339</f>
        <v/>
      </c>
      <c r="D338" s="113" t="str">
        <f>IF($A338="","",IF(A338=prazo_se,1,IFERROR(TRUNC(ESTRUTURA!R339/ESTRUTURA!T338,6),0)*100))</f>
        <v/>
      </c>
      <c r="E338" s="112"/>
      <c r="G338" s="110" t="str">
        <f>IF(ESTRUTURA!A339&gt;prazo_subp,"",ESTRUTURA!A339)</f>
        <v/>
      </c>
      <c r="H338" s="111" t="str">
        <f>IF(G338="","",ESTRUTURA!C339)</f>
        <v/>
      </c>
      <c r="I338" s="111" t="str">
        <f>IF(G338="","",ESTRUTURA!E339)</f>
        <v/>
      </c>
      <c r="J338" s="113" t="str">
        <f>IF($G338="","",IF(G338=prazo_subp,1,IFERROR(TRUNC(ESTRUTURA!Y339/ESTRUTURA!AA338,6),0)*100))</f>
        <v/>
      </c>
      <c r="K338" s="112"/>
      <c r="M338" s="110" t="str">
        <f>ESTRUTURA!M339</f>
        <v/>
      </c>
      <c r="N338" s="111" t="str">
        <f>ESTRUTURA!O339</f>
        <v/>
      </c>
      <c r="O338" s="111" t="str">
        <f>ESTRUTURA!Q339</f>
        <v/>
      </c>
      <c r="P338" s="113" t="str">
        <f>IF($M338="","",IF(M338=prazo_sub,1,IFERROR(TRUNC(ESTRUTURA!AE339/ESTRUTURA!AG338,6),0)*100))</f>
        <v/>
      </c>
      <c r="Q338" s="112"/>
    </row>
    <row r="339" spans="1:17" x14ac:dyDescent="0.3">
      <c r="A339" s="110" t="str">
        <f>IF(ESTRUTURA!A340&gt;prazo_se,"",ESTRUTURA!A340)</f>
        <v/>
      </c>
      <c r="B339" s="111" t="str">
        <f>ESTRUTURA!C340</f>
        <v/>
      </c>
      <c r="C339" s="111" t="str">
        <f>ESTRUTURA!E340</f>
        <v/>
      </c>
      <c r="D339" s="113" t="str">
        <f>IF($A339="","",IF(A339=prazo_se,1,IFERROR(TRUNC(ESTRUTURA!R340/ESTRUTURA!T339,6),0)*100))</f>
        <v/>
      </c>
      <c r="E339" s="112"/>
      <c r="G339" s="110" t="str">
        <f>IF(ESTRUTURA!A340&gt;prazo_subp,"",ESTRUTURA!A340)</f>
        <v/>
      </c>
      <c r="H339" s="111" t="str">
        <f>IF(G339="","",ESTRUTURA!C340)</f>
        <v/>
      </c>
      <c r="I339" s="111" t="str">
        <f>IF(G339="","",ESTRUTURA!E340)</f>
        <v/>
      </c>
      <c r="J339" s="113" t="str">
        <f>IF($G339="","",IF(G339=prazo_subp,1,IFERROR(TRUNC(ESTRUTURA!Y340/ESTRUTURA!AA339,6),0)*100))</f>
        <v/>
      </c>
      <c r="K339" s="112"/>
      <c r="M339" s="110" t="str">
        <f>ESTRUTURA!M340</f>
        <v/>
      </c>
      <c r="N339" s="111" t="str">
        <f>ESTRUTURA!O340</f>
        <v/>
      </c>
      <c r="O339" s="111" t="str">
        <f>ESTRUTURA!Q340</f>
        <v/>
      </c>
      <c r="P339" s="113" t="str">
        <f>IF($M339="","",IF(M339=prazo_sub,1,IFERROR(TRUNC(ESTRUTURA!AE340/ESTRUTURA!AG339,6),0)*100))</f>
        <v/>
      </c>
      <c r="Q339" s="112"/>
    </row>
    <row r="340" spans="1:17" x14ac:dyDescent="0.3">
      <c r="A340" s="110" t="str">
        <f>IF(ESTRUTURA!A341&gt;prazo_se,"",ESTRUTURA!A341)</f>
        <v/>
      </c>
      <c r="B340" s="111" t="str">
        <f>ESTRUTURA!C341</f>
        <v/>
      </c>
      <c r="C340" s="111" t="str">
        <f>ESTRUTURA!E341</f>
        <v/>
      </c>
      <c r="D340" s="113" t="str">
        <f>IF($A340="","",IF(A340=prazo_se,1,IFERROR(TRUNC(ESTRUTURA!R341/ESTRUTURA!T340,6),0)*100))</f>
        <v/>
      </c>
      <c r="E340" s="112"/>
      <c r="G340" s="110" t="str">
        <f>IF(ESTRUTURA!A341&gt;prazo_subp,"",ESTRUTURA!A341)</f>
        <v/>
      </c>
      <c r="H340" s="111" t="str">
        <f>IF(G340="","",ESTRUTURA!C341)</f>
        <v/>
      </c>
      <c r="I340" s="111" t="str">
        <f>IF(G340="","",ESTRUTURA!E341)</f>
        <v/>
      </c>
      <c r="J340" s="113" t="str">
        <f>IF($G340="","",IF(G340=prazo_subp,1,IFERROR(TRUNC(ESTRUTURA!Y341/ESTRUTURA!AA340,6),0)*100))</f>
        <v/>
      </c>
      <c r="K340" s="112"/>
      <c r="M340" s="110" t="str">
        <f>ESTRUTURA!M341</f>
        <v/>
      </c>
      <c r="N340" s="111" t="str">
        <f>ESTRUTURA!O341</f>
        <v/>
      </c>
      <c r="O340" s="111" t="str">
        <f>ESTRUTURA!Q341</f>
        <v/>
      </c>
      <c r="P340" s="113" t="str">
        <f>IF($M340="","",IF(M340=prazo_sub,1,IFERROR(TRUNC(ESTRUTURA!AE341/ESTRUTURA!AG340,6),0)*100))</f>
        <v/>
      </c>
      <c r="Q340" s="112"/>
    </row>
    <row r="341" spans="1:17" x14ac:dyDescent="0.3">
      <c r="A341" s="110" t="str">
        <f>IF(ESTRUTURA!A342&gt;prazo_se,"",ESTRUTURA!A342)</f>
        <v/>
      </c>
      <c r="B341" s="111" t="str">
        <f>ESTRUTURA!C342</f>
        <v/>
      </c>
      <c r="C341" s="111" t="str">
        <f>ESTRUTURA!E342</f>
        <v/>
      </c>
      <c r="D341" s="113" t="str">
        <f>IF($A341="","",IF(A341=prazo_se,1,IFERROR(TRUNC(ESTRUTURA!R342/ESTRUTURA!T341,6),0)*100))</f>
        <v/>
      </c>
      <c r="E341" s="112"/>
      <c r="G341" s="110" t="str">
        <f>IF(ESTRUTURA!A342&gt;prazo_subp,"",ESTRUTURA!A342)</f>
        <v/>
      </c>
      <c r="H341" s="111" t="str">
        <f>IF(G341="","",ESTRUTURA!C342)</f>
        <v/>
      </c>
      <c r="I341" s="111" t="str">
        <f>IF(G341="","",ESTRUTURA!E342)</f>
        <v/>
      </c>
      <c r="J341" s="113" t="str">
        <f>IF($G341="","",IF(G341=prazo_subp,1,IFERROR(TRUNC(ESTRUTURA!Y342/ESTRUTURA!AA341,6),0)*100))</f>
        <v/>
      </c>
      <c r="K341" s="112"/>
      <c r="M341" s="110" t="str">
        <f>ESTRUTURA!M342</f>
        <v/>
      </c>
      <c r="N341" s="111" t="str">
        <f>ESTRUTURA!O342</f>
        <v/>
      </c>
      <c r="O341" s="111" t="str">
        <f>ESTRUTURA!Q342</f>
        <v/>
      </c>
      <c r="P341" s="113" t="str">
        <f>IF($M341="","",IF(M341=prazo_sub,1,IFERROR(TRUNC(ESTRUTURA!AE342/ESTRUTURA!AG341,6),0)*100))</f>
        <v/>
      </c>
      <c r="Q341" s="112"/>
    </row>
    <row r="342" spans="1:17" x14ac:dyDescent="0.3">
      <c r="A342" s="110" t="str">
        <f>IF(ESTRUTURA!A343&gt;prazo_se,"",ESTRUTURA!A343)</f>
        <v/>
      </c>
      <c r="B342" s="111" t="str">
        <f>ESTRUTURA!C343</f>
        <v/>
      </c>
      <c r="C342" s="111" t="str">
        <f>ESTRUTURA!E343</f>
        <v/>
      </c>
      <c r="D342" s="113" t="str">
        <f>IF($A342="","",IF(A342=prazo_se,1,IFERROR(TRUNC(ESTRUTURA!R343/ESTRUTURA!T342,6),0)*100))</f>
        <v/>
      </c>
      <c r="E342" s="112"/>
      <c r="G342" s="110" t="str">
        <f>IF(ESTRUTURA!A343&gt;prazo_subp,"",ESTRUTURA!A343)</f>
        <v/>
      </c>
      <c r="H342" s="111" t="str">
        <f>IF(G342="","",ESTRUTURA!C343)</f>
        <v/>
      </c>
      <c r="I342" s="111" t="str">
        <f>IF(G342="","",ESTRUTURA!E343)</f>
        <v/>
      </c>
      <c r="J342" s="113" t="str">
        <f>IF($G342="","",IF(G342=prazo_subp,1,IFERROR(TRUNC(ESTRUTURA!Y343/ESTRUTURA!AA342,6),0)*100))</f>
        <v/>
      </c>
      <c r="K342" s="112"/>
      <c r="M342" s="110" t="str">
        <f>ESTRUTURA!M343</f>
        <v/>
      </c>
      <c r="N342" s="111" t="str">
        <f>ESTRUTURA!O343</f>
        <v/>
      </c>
      <c r="O342" s="111" t="str">
        <f>ESTRUTURA!Q343</f>
        <v/>
      </c>
      <c r="P342" s="113" t="str">
        <f>IF($M342="","",IF(M342=prazo_sub,1,IFERROR(TRUNC(ESTRUTURA!AE343/ESTRUTURA!AG342,6),0)*100))</f>
        <v/>
      </c>
      <c r="Q342" s="112"/>
    </row>
    <row r="343" spans="1:17" x14ac:dyDescent="0.3">
      <c r="A343" s="110" t="str">
        <f>IF(ESTRUTURA!A344&gt;prazo_se,"",ESTRUTURA!A344)</f>
        <v/>
      </c>
      <c r="B343" s="111" t="str">
        <f>ESTRUTURA!C344</f>
        <v/>
      </c>
      <c r="C343" s="111" t="str">
        <f>ESTRUTURA!E344</f>
        <v/>
      </c>
      <c r="D343" s="113" t="str">
        <f>IF($A343="","",IF(A343=prazo_se,1,IFERROR(TRUNC(ESTRUTURA!R344/ESTRUTURA!T343,6),0)*100))</f>
        <v/>
      </c>
      <c r="E343" s="112"/>
      <c r="G343" s="110" t="str">
        <f>IF(ESTRUTURA!A344&gt;prazo_subp,"",ESTRUTURA!A344)</f>
        <v/>
      </c>
      <c r="H343" s="111" t="str">
        <f>IF(G343="","",ESTRUTURA!C344)</f>
        <v/>
      </c>
      <c r="I343" s="111" t="str">
        <f>IF(G343="","",ESTRUTURA!E344)</f>
        <v/>
      </c>
      <c r="J343" s="113" t="str">
        <f>IF($G343="","",IF(G343=prazo_subp,1,IFERROR(TRUNC(ESTRUTURA!Y344/ESTRUTURA!AA343,6),0)*100))</f>
        <v/>
      </c>
      <c r="K343" s="112"/>
      <c r="M343" s="110" t="str">
        <f>ESTRUTURA!M344</f>
        <v/>
      </c>
      <c r="N343" s="111" t="str">
        <f>ESTRUTURA!O344</f>
        <v/>
      </c>
      <c r="O343" s="111" t="str">
        <f>ESTRUTURA!Q344</f>
        <v/>
      </c>
      <c r="P343" s="113" t="str">
        <f>IF($M343="","",IF(M343=prazo_sub,1,IFERROR(TRUNC(ESTRUTURA!AE344/ESTRUTURA!AG343,6),0)*100))</f>
        <v/>
      </c>
      <c r="Q343" s="112"/>
    </row>
    <row r="344" spans="1:17" x14ac:dyDescent="0.3">
      <c r="A344" s="110" t="str">
        <f>IF(ESTRUTURA!A345&gt;prazo_se,"",ESTRUTURA!A345)</f>
        <v/>
      </c>
      <c r="B344" s="111" t="str">
        <f>ESTRUTURA!C345</f>
        <v/>
      </c>
      <c r="C344" s="111" t="str">
        <f>ESTRUTURA!E345</f>
        <v/>
      </c>
      <c r="D344" s="113" t="str">
        <f>IF($A344="","",IF(A344=prazo_se,1,IFERROR(TRUNC(ESTRUTURA!R345/ESTRUTURA!T344,6),0)*100))</f>
        <v/>
      </c>
      <c r="E344" s="112"/>
      <c r="G344" s="110" t="str">
        <f>IF(ESTRUTURA!A345&gt;prazo_subp,"",ESTRUTURA!A345)</f>
        <v/>
      </c>
      <c r="H344" s="111" t="str">
        <f>IF(G344="","",ESTRUTURA!C345)</f>
        <v/>
      </c>
      <c r="I344" s="111" t="str">
        <f>IF(G344="","",ESTRUTURA!E345)</f>
        <v/>
      </c>
      <c r="J344" s="113" t="str">
        <f>IF($G344="","",IF(G344=prazo_subp,1,IFERROR(TRUNC(ESTRUTURA!Y345/ESTRUTURA!AA344,6),0)*100))</f>
        <v/>
      </c>
      <c r="K344" s="112"/>
      <c r="M344" s="110" t="str">
        <f>ESTRUTURA!M345</f>
        <v/>
      </c>
      <c r="N344" s="111" t="str">
        <f>ESTRUTURA!O345</f>
        <v/>
      </c>
      <c r="O344" s="111" t="str">
        <f>ESTRUTURA!Q345</f>
        <v/>
      </c>
      <c r="P344" s="113" t="str">
        <f>IF($M344="","",IF(M344=prazo_sub,1,IFERROR(TRUNC(ESTRUTURA!AE345/ESTRUTURA!AG344,6),0)*100))</f>
        <v/>
      </c>
      <c r="Q344" s="112"/>
    </row>
    <row r="345" spans="1:17" x14ac:dyDescent="0.3">
      <c r="A345" s="110" t="str">
        <f>IF(ESTRUTURA!A346&gt;prazo_se,"",ESTRUTURA!A346)</f>
        <v/>
      </c>
      <c r="B345" s="111" t="str">
        <f>ESTRUTURA!C346</f>
        <v/>
      </c>
      <c r="C345" s="111" t="str">
        <f>ESTRUTURA!E346</f>
        <v/>
      </c>
      <c r="D345" s="113" t="str">
        <f>IF($A345="","",IF(A345=prazo_se,1,IFERROR(TRUNC(ESTRUTURA!R346/ESTRUTURA!T345,6),0)*100))</f>
        <v/>
      </c>
      <c r="E345" s="112"/>
      <c r="G345" s="110" t="str">
        <f>IF(ESTRUTURA!A346&gt;prazo_subp,"",ESTRUTURA!A346)</f>
        <v/>
      </c>
      <c r="H345" s="111" t="str">
        <f>IF(G345="","",ESTRUTURA!C346)</f>
        <v/>
      </c>
      <c r="I345" s="111" t="str">
        <f>IF(G345="","",ESTRUTURA!E346)</f>
        <v/>
      </c>
      <c r="J345" s="113" t="str">
        <f>IF($G345="","",IF(G345=prazo_subp,1,IFERROR(TRUNC(ESTRUTURA!Y346/ESTRUTURA!AA345,6),0)*100))</f>
        <v/>
      </c>
      <c r="K345" s="112"/>
      <c r="M345" s="110" t="str">
        <f>ESTRUTURA!M346</f>
        <v/>
      </c>
      <c r="N345" s="111" t="str">
        <f>ESTRUTURA!O346</f>
        <v/>
      </c>
      <c r="O345" s="111" t="str">
        <f>ESTRUTURA!Q346</f>
        <v/>
      </c>
      <c r="P345" s="113" t="str">
        <f>IF($M345="","",IF(M345=prazo_sub,1,IFERROR(TRUNC(ESTRUTURA!AE346/ESTRUTURA!AG345,6),0)*100))</f>
        <v/>
      </c>
      <c r="Q345" s="112"/>
    </row>
    <row r="346" spans="1:17" x14ac:dyDescent="0.3">
      <c r="A346" s="110" t="str">
        <f>IF(ESTRUTURA!A347&gt;prazo_se,"",ESTRUTURA!A347)</f>
        <v/>
      </c>
      <c r="B346" s="111" t="str">
        <f>ESTRUTURA!C347</f>
        <v/>
      </c>
      <c r="C346" s="111" t="str">
        <f>ESTRUTURA!E347</f>
        <v/>
      </c>
      <c r="D346" s="113" t="str">
        <f>IF($A346="","",IF(A346=prazo_se,1,IFERROR(TRUNC(ESTRUTURA!R347/ESTRUTURA!T346,6),0)*100))</f>
        <v/>
      </c>
      <c r="E346" s="112"/>
      <c r="G346" s="110" t="str">
        <f>IF(ESTRUTURA!A347&gt;prazo_subp,"",ESTRUTURA!A347)</f>
        <v/>
      </c>
      <c r="H346" s="111" t="str">
        <f>IF(G346="","",ESTRUTURA!C347)</f>
        <v/>
      </c>
      <c r="I346" s="111" t="str">
        <f>IF(G346="","",ESTRUTURA!E347)</f>
        <v/>
      </c>
      <c r="J346" s="113" t="str">
        <f>IF($G346="","",IF(G346=prazo_subp,1,IFERROR(TRUNC(ESTRUTURA!Y347/ESTRUTURA!AA346,6),0)*100))</f>
        <v/>
      </c>
      <c r="K346" s="112"/>
      <c r="M346" s="110" t="str">
        <f>ESTRUTURA!M347</f>
        <v/>
      </c>
      <c r="N346" s="111" t="str">
        <f>ESTRUTURA!O347</f>
        <v/>
      </c>
      <c r="O346" s="111" t="str">
        <f>ESTRUTURA!Q347</f>
        <v/>
      </c>
      <c r="P346" s="113" t="str">
        <f>IF($M346="","",IF(M346=prazo_sub,1,IFERROR(TRUNC(ESTRUTURA!AE347/ESTRUTURA!AG346,6),0)*100))</f>
        <v/>
      </c>
      <c r="Q346" s="112"/>
    </row>
    <row r="347" spans="1:17" x14ac:dyDescent="0.3">
      <c r="A347" s="110" t="str">
        <f>IF(ESTRUTURA!A348&gt;prazo_se,"",ESTRUTURA!A348)</f>
        <v/>
      </c>
      <c r="B347" s="111" t="str">
        <f>ESTRUTURA!C348</f>
        <v/>
      </c>
      <c r="C347" s="111" t="str">
        <f>ESTRUTURA!E348</f>
        <v/>
      </c>
      <c r="D347" s="113" t="str">
        <f>IF($A347="","",IF(A347=prazo_se,1,IFERROR(TRUNC(ESTRUTURA!R348/ESTRUTURA!T347,6),0)*100))</f>
        <v/>
      </c>
      <c r="E347" s="112"/>
      <c r="G347" s="110" t="str">
        <f>IF(ESTRUTURA!A348&gt;prazo_subp,"",ESTRUTURA!A348)</f>
        <v/>
      </c>
      <c r="H347" s="111" t="str">
        <f>IF(G347="","",ESTRUTURA!C348)</f>
        <v/>
      </c>
      <c r="I347" s="111" t="str">
        <f>IF(G347="","",ESTRUTURA!E348)</f>
        <v/>
      </c>
      <c r="J347" s="113" t="str">
        <f>IF($G347="","",IF(G347=prazo_subp,1,IFERROR(TRUNC(ESTRUTURA!Y348/ESTRUTURA!AA347,6),0)*100))</f>
        <v/>
      </c>
      <c r="K347" s="112"/>
      <c r="M347" s="110" t="str">
        <f>ESTRUTURA!M348</f>
        <v/>
      </c>
      <c r="N347" s="111" t="str">
        <f>ESTRUTURA!O348</f>
        <v/>
      </c>
      <c r="O347" s="111" t="str">
        <f>ESTRUTURA!Q348</f>
        <v/>
      </c>
      <c r="P347" s="113" t="str">
        <f>IF($M347="","",IF(M347=prazo_sub,1,IFERROR(TRUNC(ESTRUTURA!AE348/ESTRUTURA!AG347,6),0)*100))</f>
        <v/>
      </c>
      <c r="Q347" s="112"/>
    </row>
    <row r="348" spans="1:17" x14ac:dyDescent="0.3">
      <c r="A348" s="110" t="str">
        <f>IF(ESTRUTURA!A349&gt;prazo_se,"",ESTRUTURA!A349)</f>
        <v/>
      </c>
      <c r="B348" s="111" t="str">
        <f>ESTRUTURA!C349</f>
        <v/>
      </c>
      <c r="C348" s="111" t="str">
        <f>ESTRUTURA!E349</f>
        <v/>
      </c>
      <c r="D348" s="113" t="str">
        <f>IF($A348="","",IF(A348=prazo_se,1,IFERROR(TRUNC(ESTRUTURA!R349/ESTRUTURA!T348,6),0)*100))</f>
        <v/>
      </c>
      <c r="E348" s="112"/>
      <c r="G348" s="110" t="str">
        <f>IF(ESTRUTURA!A349&gt;prazo_subp,"",ESTRUTURA!A349)</f>
        <v/>
      </c>
      <c r="H348" s="111" t="str">
        <f>IF(G348="","",ESTRUTURA!C349)</f>
        <v/>
      </c>
      <c r="I348" s="111" t="str">
        <f>IF(G348="","",ESTRUTURA!E349)</f>
        <v/>
      </c>
      <c r="J348" s="113" t="str">
        <f>IF($G348="","",IF(G348=prazo_subp,1,IFERROR(TRUNC(ESTRUTURA!Y349/ESTRUTURA!AA348,6),0)*100))</f>
        <v/>
      </c>
      <c r="K348" s="112"/>
      <c r="M348" s="110" t="str">
        <f>ESTRUTURA!M349</f>
        <v/>
      </c>
      <c r="N348" s="111" t="str">
        <f>ESTRUTURA!O349</f>
        <v/>
      </c>
      <c r="O348" s="111" t="str">
        <f>ESTRUTURA!Q349</f>
        <v/>
      </c>
      <c r="P348" s="113" t="str">
        <f>IF($M348="","",IF(M348=prazo_sub,1,IFERROR(TRUNC(ESTRUTURA!AE349/ESTRUTURA!AG348,6),0)*100))</f>
        <v/>
      </c>
      <c r="Q348" s="112"/>
    </row>
    <row r="349" spans="1:17" x14ac:dyDescent="0.3">
      <c r="A349" s="110" t="str">
        <f>IF(ESTRUTURA!A350&gt;prazo_se,"",ESTRUTURA!A350)</f>
        <v/>
      </c>
      <c r="B349" s="111" t="str">
        <f>ESTRUTURA!C350</f>
        <v/>
      </c>
      <c r="C349" s="111" t="str">
        <f>ESTRUTURA!E350</f>
        <v/>
      </c>
      <c r="D349" s="113" t="str">
        <f>IF($A349="","",IF(A349=prazo_se,1,IFERROR(TRUNC(ESTRUTURA!R350/ESTRUTURA!T349,6),0)*100))</f>
        <v/>
      </c>
      <c r="E349" s="112"/>
      <c r="G349" s="110" t="str">
        <f>IF(ESTRUTURA!A350&gt;prazo_subp,"",ESTRUTURA!A350)</f>
        <v/>
      </c>
      <c r="H349" s="111" t="str">
        <f>IF(G349="","",ESTRUTURA!C350)</f>
        <v/>
      </c>
      <c r="I349" s="111" t="str">
        <f>IF(G349="","",ESTRUTURA!E350)</f>
        <v/>
      </c>
      <c r="J349" s="113" t="str">
        <f>IF($G349="","",IF(G349=prazo_subp,1,IFERROR(TRUNC(ESTRUTURA!Y350/ESTRUTURA!AA349,6),0)*100))</f>
        <v/>
      </c>
      <c r="K349" s="112"/>
      <c r="M349" s="110" t="str">
        <f>ESTRUTURA!M350</f>
        <v/>
      </c>
      <c r="N349" s="111" t="str">
        <f>ESTRUTURA!O350</f>
        <v/>
      </c>
      <c r="O349" s="111" t="str">
        <f>ESTRUTURA!Q350</f>
        <v/>
      </c>
      <c r="P349" s="113" t="str">
        <f>IF($M349="","",IF(M349=prazo_sub,1,IFERROR(TRUNC(ESTRUTURA!AE350/ESTRUTURA!AG349,6),0)*100))</f>
        <v/>
      </c>
      <c r="Q349" s="112"/>
    </row>
    <row r="350" spans="1:17" x14ac:dyDescent="0.3">
      <c r="A350" s="110" t="str">
        <f>IF(ESTRUTURA!A351&gt;prazo_se,"",ESTRUTURA!A351)</f>
        <v/>
      </c>
      <c r="B350" s="111" t="str">
        <f>ESTRUTURA!C351</f>
        <v/>
      </c>
      <c r="C350" s="111" t="str">
        <f>ESTRUTURA!E351</f>
        <v/>
      </c>
      <c r="D350" s="113" t="str">
        <f>IF($A350="","",IF(A350=prazo_se,1,IFERROR(TRUNC(ESTRUTURA!R351/ESTRUTURA!T350,6),0)*100))</f>
        <v/>
      </c>
      <c r="E350" s="112"/>
      <c r="G350" s="110" t="str">
        <f>IF(ESTRUTURA!A351&gt;prazo_subp,"",ESTRUTURA!A351)</f>
        <v/>
      </c>
      <c r="H350" s="111" t="str">
        <f>IF(G350="","",ESTRUTURA!C351)</f>
        <v/>
      </c>
      <c r="I350" s="111" t="str">
        <f>IF(G350="","",ESTRUTURA!E351)</f>
        <v/>
      </c>
      <c r="J350" s="113" t="str">
        <f>IF($G350="","",IF(G350=prazo_subp,1,IFERROR(TRUNC(ESTRUTURA!Y351/ESTRUTURA!AA350,6),0)*100))</f>
        <v/>
      </c>
      <c r="K350" s="112"/>
      <c r="M350" s="110" t="str">
        <f>ESTRUTURA!M351</f>
        <v/>
      </c>
      <c r="N350" s="111" t="str">
        <f>ESTRUTURA!O351</f>
        <v/>
      </c>
      <c r="O350" s="111" t="str">
        <f>ESTRUTURA!Q351</f>
        <v/>
      </c>
      <c r="P350" s="113" t="str">
        <f>IF($M350="","",IF(M350=prazo_sub,1,IFERROR(TRUNC(ESTRUTURA!AE351/ESTRUTURA!AG350,6),0)*100))</f>
        <v/>
      </c>
      <c r="Q350" s="112"/>
    </row>
    <row r="351" spans="1:17" x14ac:dyDescent="0.3">
      <c r="A351" s="110" t="str">
        <f>IF(ESTRUTURA!A352&gt;prazo_se,"",ESTRUTURA!A352)</f>
        <v/>
      </c>
      <c r="B351" s="111" t="str">
        <f>ESTRUTURA!C352</f>
        <v/>
      </c>
      <c r="C351" s="111" t="str">
        <f>ESTRUTURA!E352</f>
        <v/>
      </c>
      <c r="D351" s="113" t="str">
        <f>IF($A351="","",IF(A351=prazo_se,1,IFERROR(TRUNC(ESTRUTURA!R352/ESTRUTURA!T351,6),0)*100))</f>
        <v/>
      </c>
      <c r="E351" s="112"/>
      <c r="G351" s="110" t="str">
        <f>IF(ESTRUTURA!A352&gt;prazo_subp,"",ESTRUTURA!A352)</f>
        <v/>
      </c>
      <c r="H351" s="111" t="str">
        <f>IF(G351="","",ESTRUTURA!C352)</f>
        <v/>
      </c>
      <c r="I351" s="111" t="str">
        <f>IF(G351="","",ESTRUTURA!E352)</f>
        <v/>
      </c>
      <c r="J351" s="113" t="str">
        <f>IF($G351="","",IF(G351=prazo_subp,1,IFERROR(TRUNC(ESTRUTURA!Y352/ESTRUTURA!AA351,6),0)*100))</f>
        <v/>
      </c>
      <c r="K351" s="112"/>
      <c r="M351" s="110" t="str">
        <f>ESTRUTURA!M352</f>
        <v/>
      </c>
      <c r="N351" s="111" t="str">
        <f>ESTRUTURA!O352</f>
        <v/>
      </c>
      <c r="O351" s="111" t="str">
        <f>ESTRUTURA!Q352</f>
        <v/>
      </c>
      <c r="P351" s="113" t="str">
        <f>IF($M351="","",IF(M351=prazo_sub,1,IFERROR(TRUNC(ESTRUTURA!AE352/ESTRUTURA!AG351,6),0)*100))</f>
        <v/>
      </c>
      <c r="Q351" s="112"/>
    </row>
    <row r="352" spans="1:17" x14ac:dyDescent="0.3">
      <c r="A352" s="110" t="str">
        <f>IF(ESTRUTURA!A353&gt;prazo_se,"",ESTRUTURA!A353)</f>
        <v/>
      </c>
      <c r="B352" s="111" t="str">
        <f>ESTRUTURA!C353</f>
        <v/>
      </c>
      <c r="C352" s="111" t="str">
        <f>ESTRUTURA!E353</f>
        <v/>
      </c>
      <c r="D352" s="113" t="str">
        <f>IF($A352="","",IF(A352=prazo_se,1,IFERROR(TRUNC(ESTRUTURA!R353/ESTRUTURA!T352,6),0)*100))</f>
        <v/>
      </c>
      <c r="E352" s="112"/>
      <c r="G352" s="110" t="str">
        <f>IF(ESTRUTURA!A353&gt;prazo_subp,"",ESTRUTURA!A353)</f>
        <v/>
      </c>
      <c r="H352" s="111" t="str">
        <f>IF(G352="","",ESTRUTURA!C353)</f>
        <v/>
      </c>
      <c r="I352" s="111" t="str">
        <f>IF(G352="","",ESTRUTURA!E353)</f>
        <v/>
      </c>
      <c r="J352" s="113" t="str">
        <f>IF($G352="","",IF(G352=prazo_subp,1,IFERROR(TRUNC(ESTRUTURA!Y353/ESTRUTURA!AA352,6),0)*100))</f>
        <v/>
      </c>
      <c r="K352" s="112"/>
      <c r="M352" s="110" t="str">
        <f>ESTRUTURA!M353</f>
        <v/>
      </c>
      <c r="N352" s="111" t="str">
        <f>ESTRUTURA!O353</f>
        <v/>
      </c>
      <c r="O352" s="111" t="str">
        <f>ESTRUTURA!Q353</f>
        <v/>
      </c>
      <c r="P352" s="113" t="str">
        <f>IF($M352="","",IF(M352=prazo_sub,1,IFERROR(TRUNC(ESTRUTURA!AE353/ESTRUTURA!AG352,6),0)*100))</f>
        <v/>
      </c>
      <c r="Q352" s="112"/>
    </row>
    <row r="353" spans="1:17" x14ac:dyDescent="0.3">
      <c r="A353" s="110" t="str">
        <f>IF(ESTRUTURA!A354&gt;prazo_se,"",ESTRUTURA!A354)</f>
        <v/>
      </c>
      <c r="B353" s="111" t="str">
        <f>ESTRUTURA!C354</f>
        <v/>
      </c>
      <c r="C353" s="111" t="str">
        <f>ESTRUTURA!E354</f>
        <v/>
      </c>
      <c r="D353" s="113" t="str">
        <f>IF($A353="","",IF(A353=prazo_se,1,IFERROR(TRUNC(ESTRUTURA!R354/ESTRUTURA!T353,6),0)*100))</f>
        <v/>
      </c>
      <c r="E353" s="112"/>
      <c r="G353" s="110" t="str">
        <f>IF(ESTRUTURA!A354&gt;prazo_subp,"",ESTRUTURA!A354)</f>
        <v/>
      </c>
      <c r="H353" s="111" t="str">
        <f>IF(G353="","",ESTRUTURA!C354)</f>
        <v/>
      </c>
      <c r="I353" s="111" t="str">
        <f>IF(G353="","",ESTRUTURA!E354)</f>
        <v/>
      </c>
      <c r="J353" s="113" t="str">
        <f>IF($G353="","",IF(G353=prazo_subp,1,IFERROR(TRUNC(ESTRUTURA!Y354/ESTRUTURA!AA353,6),0)*100))</f>
        <v/>
      </c>
      <c r="K353" s="112"/>
      <c r="M353" s="110" t="str">
        <f>ESTRUTURA!M354</f>
        <v/>
      </c>
      <c r="N353" s="111" t="str">
        <f>ESTRUTURA!O354</f>
        <v/>
      </c>
      <c r="O353" s="111" t="str">
        <f>ESTRUTURA!Q354</f>
        <v/>
      </c>
      <c r="P353" s="113" t="str">
        <f>IF($M353="","",IF(M353=prazo_sub,1,IFERROR(TRUNC(ESTRUTURA!AE354/ESTRUTURA!AG353,6),0)*100))</f>
        <v/>
      </c>
      <c r="Q353" s="112"/>
    </row>
    <row r="354" spans="1:17" x14ac:dyDescent="0.3">
      <c r="A354" s="110" t="str">
        <f>IF(ESTRUTURA!A355&gt;prazo_se,"",ESTRUTURA!A355)</f>
        <v/>
      </c>
      <c r="B354" s="111" t="str">
        <f>ESTRUTURA!C355</f>
        <v/>
      </c>
      <c r="C354" s="111" t="str">
        <f>ESTRUTURA!E355</f>
        <v/>
      </c>
      <c r="D354" s="113" t="str">
        <f>IF($A354="","",IF(A354=prazo_se,1,IFERROR(TRUNC(ESTRUTURA!R355/ESTRUTURA!T354,6),0)*100))</f>
        <v/>
      </c>
      <c r="E354" s="112"/>
      <c r="G354" s="110" t="str">
        <f>IF(ESTRUTURA!A355&gt;prazo_subp,"",ESTRUTURA!A355)</f>
        <v/>
      </c>
      <c r="H354" s="111" t="str">
        <f>IF(G354="","",ESTRUTURA!C355)</f>
        <v/>
      </c>
      <c r="I354" s="111" t="str">
        <f>IF(G354="","",ESTRUTURA!E355)</f>
        <v/>
      </c>
      <c r="J354" s="113" t="str">
        <f>IF($G354="","",IF(G354=prazo_subp,1,IFERROR(TRUNC(ESTRUTURA!Y355/ESTRUTURA!AA354,6),0)*100))</f>
        <v/>
      </c>
      <c r="K354" s="112"/>
      <c r="M354" s="110" t="str">
        <f>ESTRUTURA!M355</f>
        <v/>
      </c>
      <c r="N354" s="111" t="str">
        <f>ESTRUTURA!O355</f>
        <v/>
      </c>
      <c r="O354" s="111" t="str">
        <f>ESTRUTURA!Q355</f>
        <v/>
      </c>
      <c r="P354" s="113" t="str">
        <f>IF($M354="","",IF(M354=prazo_sub,1,IFERROR(TRUNC(ESTRUTURA!AE355/ESTRUTURA!AG354,6),0)*100))</f>
        <v/>
      </c>
      <c r="Q354" s="112"/>
    </row>
    <row r="355" spans="1:17" x14ac:dyDescent="0.3">
      <c r="A355" s="110" t="str">
        <f>IF(ESTRUTURA!A356&gt;prazo_se,"",ESTRUTURA!A356)</f>
        <v/>
      </c>
      <c r="B355" s="111" t="str">
        <f>ESTRUTURA!C356</f>
        <v/>
      </c>
      <c r="C355" s="111" t="str">
        <f>ESTRUTURA!E356</f>
        <v/>
      </c>
      <c r="D355" s="113" t="str">
        <f>IF($A355="","",IF(A355=prazo_se,1,IFERROR(TRUNC(ESTRUTURA!R356/ESTRUTURA!T355,6),0)*100))</f>
        <v/>
      </c>
      <c r="E355" s="112"/>
      <c r="G355" s="110" t="str">
        <f>IF(ESTRUTURA!A356&gt;prazo_subp,"",ESTRUTURA!A356)</f>
        <v/>
      </c>
      <c r="H355" s="111" t="str">
        <f>IF(G355="","",ESTRUTURA!C356)</f>
        <v/>
      </c>
      <c r="I355" s="111" t="str">
        <f>IF(G355="","",ESTRUTURA!E356)</f>
        <v/>
      </c>
      <c r="J355" s="113" t="str">
        <f>IF($G355="","",IF(G355=prazo_subp,1,IFERROR(TRUNC(ESTRUTURA!Y356/ESTRUTURA!AA355,6),0)*100))</f>
        <v/>
      </c>
      <c r="K355" s="112"/>
      <c r="M355" s="110" t="str">
        <f>ESTRUTURA!M356</f>
        <v/>
      </c>
      <c r="N355" s="111" t="str">
        <f>ESTRUTURA!O356</f>
        <v/>
      </c>
      <c r="O355" s="111" t="str">
        <f>ESTRUTURA!Q356</f>
        <v/>
      </c>
      <c r="P355" s="113" t="str">
        <f>IF($M355="","",IF(M355=prazo_sub,1,IFERROR(TRUNC(ESTRUTURA!AE356/ESTRUTURA!AG355,6),0)*100))</f>
        <v/>
      </c>
      <c r="Q355" s="112"/>
    </row>
    <row r="356" spans="1:17" x14ac:dyDescent="0.3">
      <c r="A356" s="110" t="str">
        <f>IF(ESTRUTURA!A357&gt;prazo_se,"",ESTRUTURA!A357)</f>
        <v/>
      </c>
      <c r="B356" s="111" t="str">
        <f>ESTRUTURA!C357</f>
        <v/>
      </c>
      <c r="C356" s="111" t="str">
        <f>ESTRUTURA!E357</f>
        <v/>
      </c>
      <c r="D356" s="113" t="str">
        <f>IF($A356="","",IF(A356=prazo_se,1,IFERROR(TRUNC(ESTRUTURA!R357/ESTRUTURA!T356,6),0)*100))</f>
        <v/>
      </c>
      <c r="E356" s="112"/>
      <c r="G356" s="110" t="str">
        <f>IF(ESTRUTURA!A357&gt;prazo_subp,"",ESTRUTURA!A357)</f>
        <v/>
      </c>
      <c r="H356" s="111" t="str">
        <f>IF(G356="","",ESTRUTURA!C357)</f>
        <v/>
      </c>
      <c r="I356" s="111" t="str">
        <f>IF(G356="","",ESTRUTURA!E357)</f>
        <v/>
      </c>
      <c r="J356" s="113" t="str">
        <f>IF($G356="","",IF(G356=prazo_subp,1,IFERROR(TRUNC(ESTRUTURA!Y357/ESTRUTURA!AA356,6),0)*100))</f>
        <v/>
      </c>
      <c r="K356" s="112"/>
      <c r="M356" s="110" t="str">
        <f>ESTRUTURA!M357</f>
        <v/>
      </c>
      <c r="N356" s="111" t="str">
        <f>ESTRUTURA!O357</f>
        <v/>
      </c>
      <c r="O356" s="111" t="str">
        <f>ESTRUTURA!Q357</f>
        <v/>
      </c>
      <c r="P356" s="113" t="str">
        <f>IF($M356="","",IF(M356=prazo_sub,1,IFERROR(TRUNC(ESTRUTURA!AE357/ESTRUTURA!AG356,6),0)*100))</f>
        <v/>
      </c>
      <c r="Q356" s="112"/>
    </row>
    <row r="357" spans="1:17" x14ac:dyDescent="0.3">
      <c r="A357" s="110" t="str">
        <f>IF(ESTRUTURA!A358&gt;prazo_se,"",ESTRUTURA!A358)</f>
        <v/>
      </c>
      <c r="B357" s="111" t="str">
        <f>ESTRUTURA!C358</f>
        <v/>
      </c>
      <c r="C357" s="111" t="str">
        <f>ESTRUTURA!E358</f>
        <v/>
      </c>
      <c r="D357" s="113" t="str">
        <f>IF($A357="","",IF(A357=prazo_se,1,IFERROR(TRUNC(ESTRUTURA!R358/ESTRUTURA!T357,6),0)*100))</f>
        <v/>
      </c>
      <c r="E357" s="112"/>
      <c r="G357" s="110" t="str">
        <f>IF(ESTRUTURA!A358&gt;prazo_subp,"",ESTRUTURA!A358)</f>
        <v/>
      </c>
      <c r="H357" s="111" t="str">
        <f>IF(G357="","",ESTRUTURA!C358)</f>
        <v/>
      </c>
      <c r="I357" s="111" t="str">
        <f>IF(G357="","",ESTRUTURA!E358)</f>
        <v/>
      </c>
      <c r="J357" s="113" t="str">
        <f>IF($G357="","",IF(G357=prazo_subp,1,IFERROR(TRUNC(ESTRUTURA!Y358/ESTRUTURA!AA357,6),0)*100))</f>
        <v/>
      </c>
      <c r="K357" s="112"/>
      <c r="M357" s="110" t="str">
        <f>ESTRUTURA!M358</f>
        <v/>
      </c>
      <c r="N357" s="111" t="str">
        <f>ESTRUTURA!O358</f>
        <v/>
      </c>
      <c r="O357" s="111" t="str">
        <f>ESTRUTURA!Q358</f>
        <v/>
      </c>
      <c r="P357" s="113" t="str">
        <f>IF($M357="","",IF(M357=prazo_sub,1,IFERROR(TRUNC(ESTRUTURA!AE358/ESTRUTURA!AG357,6),0)*100))</f>
        <v/>
      </c>
      <c r="Q357" s="112"/>
    </row>
    <row r="358" spans="1:17" x14ac:dyDescent="0.3">
      <c r="A358" s="110" t="str">
        <f>IF(ESTRUTURA!A359&gt;prazo_se,"",ESTRUTURA!A359)</f>
        <v/>
      </c>
      <c r="B358" s="111" t="str">
        <f>ESTRUTURA!C359</f>
        <v/>
      </c>
      <c r="C358" s="111" t="str">
        <f>ESTRUTURA!E359</f>
        <v/>
      </c>
      <c r="D358" s="113" t="str">
        <f>IF($A358="","",IF(A358=prazo_se,1,IFERROR(TRUNC(ESTRUTURA!R359/ESTRUTURA!T358,6),0)*100))</f>
        <v/>
      </c>
      <c r="E358" s="112"/>
      <c r="G358" s="110" t="str">
        <f>IF(ESTRUTURA!A359&gt;prazo_subp,"",ESTRUTURA!A359)</f>
        <v/>
      </c>
      <c r="H358" s="111" t="str">
        <f>IF(G358="","",ESTRUTURA!C359)</f>
        <v/>
      </c>
      <c r="I358" s="111" t="str">
        <f>IF(G358="","",ESTRUTURA!E359)</f>
        <v/>
      </c>
      <c r="J358" s="113" t="str">
        <f>IF($G358="","",IF(G358=prazo_subp,1,IFERROR(TRUNC(ESTRUTURA!Y359/ESTRUTURA!AA358,6),0)*100))</f>
        <v/>
      </c>
      <c r="K358" s="112"/>
      <c r="M358" s="110" t="str">
        <f>ESTRUTURA!M359</f>
        <v/>
      </c>
      <c r="N358" s="111" t="str">
        <f>ESTRUTURA!O359</f>
        <v/>
      </c>
      <c r="O358" s="111" t="str">
        <f>ESTRUTURA!Q359</f>
        <v/>
      </c>
      <c r="P358" s="113" t="str">
        <f>IF($M358="","",IF(M358=prazo_sub,1,IFERROR(TRUNC(ESTRUTURA!AE359/ESTRUTURA!AG358,6),0)*100))</f>
        <v/>
      </c>
      <c r="Q358" s="112"/>
    </row>
    <row r="359" spans="1:17" x14ac:dyDescent="0.3">
      <c r="A359" s="110" t="str">
        <f>IF(ESTRUTURA!A360&gt;prazo_se,"",ESTRUTURA!A360)</f>
        <v/>
      </c>
      <c r="B359" s="111" t="str">
        <f>ESTRUTURA!C360</f>
        <v/>
      </c>
      <c r="C359" s="111" t="str">
        <f>ESTRUTURA!E360</f>
        <v/>
      </c>
      <c r="D359" s="113" t="str">
        <f>IF($A359="","",IF(A359=prazo_se,1,IFERROR(TRUNC(ESTRUTURA!R360/ESTRUTURA!T359,6),0)*100))</f>
        <v/>
      </c>
      <c r="E359" s="112"/>
      <c r="G359" s="110" t="str">
        <f>IF(ESTRUTURA!A360&gt;prazo_subp,"",ESTRUTURA!A360)</f>
        <v/>
      </c>
      <c r="H359" s="111" t="str">
        <f>IF(G359="","",ESTRUTURA!C360)</f>
        <v/>
      </c>
      <c r="I359" s="111" t="str">
        <f>IF(G359="","",ESTRUTURA!E360)</f>
        <v/>
      </c>
      <c r="J359" s="113" t="str">
        <f>IF($G359="","",IF(G359=prazo_subp,1,IFERROR(TRUNC(ESTRUTURA!Y360/ESTRUTURA!AA359,6),0)*100))</f>
        <v/>
      </c>
      <c r="K359" s="112"/>
      <c r="M359" s="110" t="str">
        <f>ESTRUTURA!M360</f>
        <v/>
      </c>
      <c r="N359" s="111" t="str">
        <f>ESTRUTURA!O360</f>
        <v/>
      </c>
      <c r="O359" s="111" t="str">
        <f>ESTRUTURA!Q360</f>
        <v/>
      </c>
      <c r="P359" s="113" t="str">
        <f>IF($M359="","",IF(M359=prazo_sub,1,IFERROR(TRUNC(ESTRUTURA!AE360/ESTRUTURA!AG359,6),0)*100))</f>
        <v/>
      </c>
      <c r="Q359" s="112"/>
    </row>
    <row r="360" spans="1:17" x14ac:dyDescent="0.3">
      <c r="A360" s="110" t="str">
        <f>IF(ESTRUTURA!A361&gt;prazo_se,"",ESTRUTURA!A361)</f>
        <v/>
      </c>
      <c r="B360" s="111" t="str">
        <f>ESTRUTURA!C361</f>
        <v/>
      </c>
      <c r="C360" s="111" t="str">
        <f>ESTRUTURA!E361</f>
        <v/>
      </c>
      <c r="D360" s="113" t="str">
        <f>IF($A360="","",IF(A360=prazo_se,1,IFERROR(TRUNC(ESTRUTURA!R361/ESTRUTURA!T360,6),0)*100))</f>
        <v/>
      </c>
      <c r="E360" s="112"/>
      <c r="G360" s="110" t="str">
        <f>IF(ESTRUTURA!A361&gt;prazo_subp,"",ESTRUTURA!A361)</f>
        <v/>
      </c>
      <c r="H360" s="111" t="str">
        <f>IF(G360="","",ESTRUTURA!C361)</f>
        <v/>
      </c>
      <c r="I360" s="111" t="str">
        <f>IF(G360="","",ESTRUTURA!E361)</f>
        <v/>
      </c>
      <c r="J360" s="113" t="str">
        <f>IF($G360="","",IF(G360=prazo_subp,1,IFERROR(TRUNC(ESTRUTURA!Y361/ESTRUTURA!AA360,6),0)*100))</f>
        <v/>
      </c>
      <c r="K360" s="112"/>
      <c r="M360" s="110" t="str">
        <f>ESTRUTURA!M361</f>
        <v/>
      </c>
      <c r="N360" s="111" t="str">
        <f>ESTRUTURA!O361</f>
        <v/>
      </c>
      <c r="O360" s="111" t="str">
        <f>ESTRUTURA!Q361</f>
        <v/>
      </c>
      <c r="P360" s="113" t="str">
        <f>IF($M360="","",IF(M360=prazo_sub,1,IFERROR(TRUNC(ESTRUTURA!AE361/ESTRUTURA!AG360,6),0)*100))</f>
        <v/>
      </c>
      <c r="Q360" s="112"/>
    </row>
    <row r="361" spans="1:17" x14ac:dyDescent="0.3">
      <c r="A361" s="110" t="str">
        <f>IF(ESTRUTURA!A362&gt;prazo_se,"",ESTRUTURA!A362)</f>
        <v/>
      </c>
      <c r="B361" s="111" t="str">
        <f>ESTRUTURA!C362</f>
        <v/>
      </c>
      <c r="C361" s="111" t="str">
        <f>ESTRUTURA!E362</f>
        <v/>
      </c>
      <c r="D361" s="113" t="str">
        <f>IF($A361="","",IF(A361=prazo_se,1,IFERROR(TRUNC(ESTRUTURA!R362/ESTRUTURA!T361,6),0)*100))</f>
        <v/>
      </c>
      <c r="E361" s="112"/>
      <c r="G361" s="110" t="str">
        <f>IF(ESTRUTURA!A362&gt;prazo_subp,"",ESTRUTURA!A362)</f>
        <v/>
      </c>
      <c r="H361" s="111" t="str">
        <f>IF(G361="","",ESTRUTURA!C362)</f>
        <v/>
      </c>
      <c r="I361" s="111" t="str">
        <f>IF(G361="","",ESTRUTURA!E362)</f>
        <v/>
      </c>
      <c r="J361" s="113" t="str">
        <f>IF($G361="","",IF(G361=prazo_subp,1,IFERROR(TRUNC(ESTRUTURA!Y362/ESTRUTURA!AA361,6),0)*100))</f>
        <v/>
      </c>
      <c r="K361" s="112"/>
      <c r="M361" s="110" t="str">
        <f>ESTRUTURA!M362</f>
        <v/>
      </c>
      <c r="N361" s="111" t="str">
        <f>ESTRUTURA!O362</f>
        <v/>
      </c>
      <c r="O361" s="111" t="str">
        <f>ESTRUTURA!Q362</f>
        <v/>
      </c>
      <c r="P361" s="113" t="str">
        <f>IF($M361="","",IF(M361=prazo_sub,1,IFERROR(TRUNC(ESTRUTURA!AE362/ESTRUTURA!AG361,6),0)*100))</f>
        <v/>
      </c>
      <c r="Q361" s="112"/>
    </row>
    <row r="362" spans="1:17" x14ac:dyDescent="0.3">
      <c r="A362" s="110" t="str">
        <f>IF(ESTRUTURA!A363&gt;prazo_se,"",ESTRUTURA!A363)</f>
        <v/>
      </c>
      <c r="B362" s="111" t="str">
        <f>ESTRUTURA!C363</f>
        <v/>
      </c>
      <c r="C362" s="111" t="str">
        <f>ESTRUTURA!E363</f>
        <v/>
      </c>
      <c r="D362" s="113" t="str">
        <f>IF($A362="","",IF(A362=prazo_se,1,IFERROR(TRUNC(ESTRUTURA!R363/ESTRUTURA!T362,6),0)*100))</f>
        <v/>
      </c>
      <c r="E362" s="112"/>
      <c r="G362" s="110" t="str">
        <f>IF(ESTRUTURA!A363&gt;prazo_subp,"",ESTRUTURA!A363)</f>
        <v/>
      </c>
      <c r="H362" s="111" t="str">
        <f>IF(G362="","",ESTRUTURA!C363)</f>
        <v/>
      </c>
      <c r="I362" s="111" t="str">
        <f>IF(G362="","",ESTRUTURA!E363)</f>
        <v/>
      </c>
      <c r="J362" s="113" t="str">
        <f>IF($G362="","",IF(G362=prazo_subp,1,IFERROR(TRUNC(ESTRUTURA!Y363/ESTRUTURA!AA362,6),0)*100))</f>
        <v/>
      </c>
      <c r="K362" s="112"/>
      <c r="M362" s="110" t="str">
        <f>ESTRUTURA!M363</f>
        <v/>
      </c>
      <c r="N362" s="111" t="str">
        <f>ESTRUTURA!O363</f>
        <v/>
      </c>
      <c r="O362" s="111" t="str">
        <f>ESTRUTURA!Q363</f>
        <v/>
      </c>
      <c r="P362" s="113" t="str">
        <f>IF($M362="","",IF(M362=prazo_sub,1,IFERROR(TRUNC(ESTRUTURA!AE363/ESTRUTURA!AG362,6),0)*100))</f>
        <v/>
      </c>
      <c r="Q362" s="112"/>
    </row>
    <row r="363" spans="1:17" x14ac:dyDescent="0.3">
      <c r="A363" s="110" t="str">
        <f>IF(ESTRUTURA!A364&gt;prazo_se,"",ESTRUTURA!A364)</f>
        <v/>
      </c>
      <c r="B363" s="111" t="str">
        <f>ESTRUTURA!C364</f>
        <v/>
      </c>
      <c r="C363" s="111" t="str">
        <f>ESTRUTURA!E364</f>
        <v/>
      </c>
      <c r="D363" s="113" t="str">
        <f>IF($A363="","",IF(A363=prazo_se,1,IFERROR(TRUNC(ESTRUTURA!R364/ESTRUTURA!T363,6),0)*100))</f>
        <v/>
      </c>
      <c r="E363" s="112"/>
      <c r="G363" s="110" t="str">
        <f>IF(ESTRUTURA!A364&gt;prazo_subp,"",ESTRUTURA!A364)</f>
        <v/>
      </c>
      <c r="H363" s="111" t="str">
        <f>IF(G363="","",ESTRUTURA!C364)</f>
        <v/>
      </c>
      <c r="I363" s="111" t="str">
        <f>IF(G363="","",ESTRUTURA!E364)</f>
        <v/>
      </c>
      <c r="J363" s="113" t="str">
        <f>IF($G363="","",IF(G363=prazo_subp,1,IFERROR(TRUNC(ESTRUTURA!Y364/ESTRUTURA!AA363,6),0)*100))</f>
        <v/>
      </c>
      <c r="K363" s="112"/>
      <c r="M363" s="110" t="str">
        <f>ESTRUTURA!M364</f>
        <v/>
      </c>
      <c r="N363" s="111" t="str">
        <f>ESTRUTURA!O364</f>
        <v/>
      </c>
      <c r="O363" s="111" t="str">
        <f>ESTRUTURA!Q364</f>
        <v/>
      </c>
      <c r="P363" s="113" t="str">
        <f>IF($M363="","",IF(M363=prazo_sub,1,IFERROR(TRUNC(ESTRUTURA!AE364/ESTRUTURA!AG363,6),0)*100))</f>
        <v/>
      </c>
      <c r="Q363" s="112"/>
    </row>
    <row r="364" spans="1:17" x14ac:dyDescent="0.3">
      <c r="A364" s="110" t="str">
        <f>IF(ESTRUTURA!A365&gt;prazo_se,"",ESTRUTURA!A365)</f>
        <v/>
      </c>
      <c r="B364" s="111" t="str">
        <f>ESTRUTURA!C365</f>
        <v/>
      </c>
      <c r="C364" s="111" t="str">
        <f>ESTRUTURA!E365</f>
        <v/>
      </c>
      <c r="D364" s="113" t="str">
        <f>IF($A364="","",IF(A364=prazo_se,1,IFERROR(TRUNC(ESTRUTURA!R365/ESTRUTURA!T364,6),0)*100))</f>
        <v/>
      </c>
      <c r="E364" s="112"/>
      <c r="G364" s="110" t="str">
        <f>IF(ESTRUTURA!A365&gt;prazo_subp,"",ESTRUTURA!A365)</f>
        <v/>
      </c>
      <c r="H364" s="111" t="str">
        <f>IF(G364="","",ESTRUTURA!C365)</f>
        <v/>
      </c>
      <c r="I364" s="111" t="str">
        <f>IF(G364="","",ESTRUTURA!E365)</f>
        <v/>
      </c>
      <c r="J364" s="113" t="str">
        <f>IF($G364="","",IF(G364=prazo_subp,1,IFERROR(TRUNC(ESTRUTURA!Y365/ESTRUTURA!AA364,6),0)*100))</f>
        <v/>
      </c>
      <c r="K364" s="112"/>
      <c r="M364" s="110" t="str">
        <f>ESTRUTURA!M365</f>
        <v/>
      </c>
      <c r="N364" s="111" t="str">
        <f>ESTRUTURA!O365</f>
        <v/>
      </c>
      <c r="O364" s="111" t="str">
        <f>ESTRUTURA!Q365</f>
        <v/>
      </c>
      <c r="P364" s="113" t="str">
        <f>IF($M364="","",IF(M364=prazo_sub,1,IFERROR(TRUNC(ESTRUTURA!AE365/ESTRUTURA!AG364,6),0)*100))</f>
        <v/>
      </c>
      <c r="Q364" s="112"/>
    </row>
    <row r="365" spans="1:17" x14ac:dyDescent="0.3">
      <c r="A365" s="110" t="str">
        <f>IF(ESTRUTURA!A366&gt;prazo_se,"",ESTRUTURA!A366)</f>
        <v/>
      </c>
      <c r="B365" s="111" t="str">
        <f>ESTRUTURA!C366</f>
        <v/>
      </c>
      <c r="C365" s="111" t="str">
        <f>ESTRUTURA!E366</f>
        <v/>
      </c>
      <c r="D365" s="113" t="str">
        <f>IF($A365="","",IF(A365=prazo_se,1,IFERROR(TRUNC(ESTRUTURA!R366/ESTRUTURA!T365,6),0)*100))</f>
        <v/>
      </c>
      <c r="E365" s="112"/>
      <c r="G365" s="110" t="str">
        <f>IF(ESTRUTURA!A366&gt;prazo_subp,"",ESTRUTURA!A366)</f>
        <v/>
      </c>
      <c r="H365" s="111" t="str">
        <f>IF(G365="","",ESTRUTURA!C366)</f>
        <v/>
      </c>
      <c r="I365" s="111" t="str">
        <f>IF(G365="","",ESTRUTURA!E366)</f>
        <v/>
      </c>
      <c r="J365" s="113" t="str">
        <f>IF($G365="","",IF(G365=prazo_subp,1,IFERROR(TRUNC(ESTRUTURA!Y366/ESTRUTURA!AA365,6),0)*100))</f>
        <v/>
      </c>
      <c r="K365" s="112"/>
      <c r="M365" s="110" t="str">
        <f>ESTRUTURA!M366</f>
        <v/>
      </c>
      <c r="N365" s="111" t="str">
        <f>ESTRUTURA!O366</f>
        <v/>
      </c>
      <c r="O365" s="111" t="str">
        <f>ESTRUTURA!Q366</f>
        <v/>
      </c>
      <c r="P365" s="113" t="str">
        <f>IF($M365="","",IF(M365=prazo_sub,1,IFERROR(TRUNC(ESTRUTURA!AE366/ESTRUTURA!AG365,6),0)*100))</f>
        <v/>
      </c>
      <c r="Q365" s="112"/>
    </row>
    <row r="366" spans="1:17" x14ac:dyDescent="0.3">
      <c r="A366" s="110" t="str">
        <f>IF(ESTRUTURA!A367&gt;prazo_se,"",ESTRUTURA!A367)</f>
        <v/>
      </c>
      <c r="B366" s="111" t="str">
        <f>ESTRUTURA!C367</f>
        <v/>
      </c>
      <c r="C366" s="111" t="str">
        <f>ESTRUTURA!E367</f>
        <v/>
      </c>
      <c r="D366" s="113" t="str">
        <f>IF($A366="","",IF(A366=prazo_se,1,IFERROR(TRUNC(ESTRUTURA!R367/ESTRUTURA!T366,6),0)*100))</f>
        <v/>
      </c>
      <c r="E366" s="112"/>
      <c r="G366" s="110" t="str">
        <f>IF(ESTRUTURA!A367&gt;prazo_subp,"",ESTRUTURA!A367)</f>
        <v/>
      </c>
      <c r="H366" s="111" t="str">
        <f>IF(G366="","",ESTRUTURA!C367)</f>
        <v/>
      </c>
      <c r="I366" s="111" t="str">
        <f>IF(G366="","",ESTRUTURA!E367)</f>
        <v/>
      </c>
      <c r="J366" s="113" t="str">
        <f>IF($G366="","",IF(G366=prazo_subp,1,IFERROR(TRUNC(ESTRUTURA!Y367/ESTRUTURA!AA366,6),0)*100))</f>
        <v/>
      </c>
      <c r="K366" s="112"/>
      <c r="M366" s="110" t="str">
        <f>ESTRUTURA!M367</f>
        <v/>
      </c>
      <c r="N366" s="111" t="str">
        <f>ESTRUTURA!O367</f>
        <v/>
      </c>
      <c r="O366" s="111" t="str">
        <f>ESTRUTURA!Q367</f>
        <v/>
      </c>
      <c r="P366" s="113" t="str">
        <f>IF($M366="","",IF(M366=prazo_sub,1,IFERROR(TRUNC(ESTRUTURA!AE367/ESTRUTURA!AG366,6),0)*100))</f>
        <v/>
      </c>
      <c r="Q366" s="112"/>
    </row>
    <row r="367" spans="1:17" x14ac:dyDescent="0.3">
      <c r="A367" s="110" t="str">
        <f>IF(ESTRUTURA!A368&gt;prazo_se,"",ESTRUTURA!A368)</f>
        <v/>
      </c>
      <c r="B367" s="111" t="str">
        <f>ESTRUTURA!C368</f>
        <v/>
      </c>
      <c r="C367" s="111" t="str">
        <f>ESTRUTURA!E368</f>
        <v/>
      </c>
      <c r="D367" s="113" t="str">
        <f>IF($A367="","",IF(A367=prazo_se,1,IFERROR(TRUNC(ESTRUTURA!R368/ESTRUTURA!T367,6),0)*100))</f>
        <v/>
      </c>
      <c r="E367" s="112"/>
      <c r="G367" s="110" t="str">
        <f>IF(ESTRUTURA!A368&gt;prazo_subp,"",ESTRUTURA!A368)</f>
        <v/>
      </c>
      <c r="H367" s="111" t="str">
        <f>IF(G367="","",ESTRUTURA!C368)</f>
        <v/>
      </c>
      <c r="I367" s="111" t="str">
        <f>IF(G367="","",ESTRUTURA!E368)</f>
        <v/>
      </c>
      <c r="J367" s="113" t="str">
        <f>IF($G367="","",IF(G367=prazo_subp,1,IFERROR(TRUNC(ESTRUTURA!Y368/ESTRUTURA!AA367,6),0)*100))</f>
        <v/>
      </c>
      <c r="K367" s="112"/>
      <c r="M367" s="110" t="str">
        <f>ESTRUTURA!M368</f>
        <v/>
      </c>
      <c r="N367" s="111" t="str">
        <f>ESTRUTURA!O368</f>
        <v/>
      </c>
      <c r="O367" s="111" t="str">
        <f>ESTRUTURA!Q368</f>
        <v/>
      </c>
      <c r="P367" s="113" t="str">
        <f>IF($M367="","",IF(M367=prazo_sub,1,IFERROR(TRUNC(ESTRUTURA!AE368/ESTRUTURA!AG367,6),0)*100))</f>
        <v/>
      </c>
      <c r="Q367" s="112"/>
    </row>
    <row r="368" spans="1:17" x14ac:dyDescent="0.3">
      <c r="A368" s="110" t="str">
        <f>IF(ESTRUTURA!A369&gt;prazo_se,"",ESTRUTURA!A369)</f>
        <v/>
      </c>
      <c r="B368" s="111" t="str">
        <f>ESTRUTURA!C369</f>
        <v/>
      </c>
      <c r="C368" s="111" t="str">
        <f>ESTRUTURA!E369</f>
        <v/>
      </c>
      <c r="D368" s="113" t="str">
        <f>IF($A368="","",IF(A368=prazo_se,1,IFERROR(TRUNC(ESTRUTURA!R369/ESTRUTURA!T368,6),0)*100))</f>
        <v/>
      </c>
      <c r="E368" s="112"/>
      <c r="G368" s="110" t="str">
        <f>IF(ESTRUTURA!A369&gt;prazo_subp,"",ESTRUTURA!A369)</f>
        <v/>
      </c>
      <c r="H368" s="111" t="str">
        <f>IF(G368="","",ESTRUTURA!C369)</f>
        <v/>
      </c>
      <c r="I368" s="111" t="str">
        <f>IF(G368="","",ESTRUTURA!E369)</f>
        <v/>
      </c>
      <c r="J368" s="113" t="str">
        <f>IF($G368="","",IF(G368=prazo_subp,1,IFERROR(TRUNC(ESTRUTURA!Y369/ESTRUTURA!AA368,6),0)*100))</f>
        <v/>
      </c>
      <c r="K368" s="112"/>
      <c r="M368" s="110" t="str">
        <f>ESTRUTURA!M369</f>
        <v/>
      </c>
      <c r="N368" s="111" t="str">
        <f>ESTRUTURA!O369</f>
        <v/>
      </c>
      <c r="O368" s="111" t="str">
        <f>ESTRUTURA!Q369</f>
        <v/>
      </c>
      <c r="P368" s="113" t="str">
        <f>IF($M368="","",IF(M368=prazo_sub,1,IFERROR(TRUNC(ESTRUTURA!AE369/ESTRUTURA!AG368,6),0)*100))</f>
        <v/>
      </c>
      <c r="Q368" s="112"/>
    </row>
    <row r="369" spans="1:17" x14ac:dyDescent="0.3">
      <c r="A369" s="110" t="str">
        <f>IF(ESTRUTURA!A370&gt;prazo_se,"",ESTRUTURA!A370)</f>
        <v/>
      </c>
      <c r="B369" s="111" t="str">
        <f>ESTRUTURA!C370</f>
        <v/>
      </c>
      <c r="C369" s="111" t="str">
        <f>ESTRUTURA!E370</f>
        <v/>
      </c>
      <c r="D369" s="113" t="str">
        <f>IF($A369="","",IF(A369=prazo_se,1,IFERROR(TRUNC(ESTRUTURA!R370/ESTRUTURA!T369,6),0)*100))</f>
        <v/>
      </c>
      <c r="E369" s="112"/>
      <c r="G369" s="110" t="str">
        <f>IF(ESTRUTURA!A370&gt;prazo_subp,"",ESTRUTURA!A370)</f>
        <v/>
      </c>
      <c r="H369" s="111" t="str">
        <f>IF(G369="","",ESTRUTURA!C370)</f>
        <v/>
      </c>
      <c r="I369" s="111" t="str">
        <f>IF(G369="","",ESTRUTURA!E370)</f>
        <v/>
      </c>
      <c r="J369" s="113" t="str">
        <f>IF($G369="","",IF(G369=prazo_subp,1,IFERROR(TRUNC(ESTRUTURA!Y370/ESTRUTURA!AA369,6),0)*100))</f>
        <v/>
      </c>
      <c r="K369" s="112"/>
      <c r="M369" s="110" t="str">
        <f>ESTRUTURA!M370</f>
        <v/>
      </c>
      <c r="N369" s="111" t="str">
        <f>ESTRUTURA!O370</f>
        <v/>
      </c>
      <c r="O369" s="111" t="str">
        <f>ESTRUTURA!Q370</f>
        <v/>
      </c>
      <c r="P369" s="113" t="str">
        <f>IF($M369="","",IF(M369=prazo_sub,1,IFERROR(TRUNC(ESTRUTURA!AE370/ESTRUTURA!AG369,6),0)*100))</f>
        <v/>
      </c>
      <c r="Q369" s="112"/>
    </row>
    <row r="370" spans="1:17" x14ac:dyDescent="0.3">
      <c r="A370" s="110" t="str">
        <f>IF(ESTRUTURA!A371&gt;prazo_se,"",ESTRUTURA!A371)</f>
        <v/>
      </c>
      <c r="B370" s="111" t="str">
        <f>ESTRUTURA!C371</f>
        <v/>
      </c>
      <c r="C370" s="111" t="str">
        <f>ESTRUTURA!E371</f>
        <v/>
      </c>
      <c r="D370" s="113" t="str">
        <f>IF($A370="","",IF(A370=prazo_se,1,IFERROR(TRUNC(ESTRUTURA!R371/ESTRUTURA!T370,6),0)*100))</f>
        <v/>
      </c>
      <c r="E370" s="112"/>
      <c r="G370" s="110" t="str">
        <f>IF(ESTRUTURA!A371&gt;prazo_subp,"",ESTRUTURA!A371)</f>
        <v/>
      </c>
      <c r="H370" s="111" t="str">
        <f>IF(G370="","",ESTRUTURA!C371)</f>
        <v/>
      </c>
      <c r="I370" s="111" t="str">
        <f>IF(G370="","",ESTRUTURA!E371)</f>
        <v/>
      </c>
      <c r="J370" s="113" t="str">
        <f>IF($G370="","",IF(G370=prazo_subp,1,IFERROR(TRUNC(ESTRUTURA!Y371/ESTRUTURA!AA370,6),0)*100))</f>
        <v/>
      </c>
      <c r="K370" s="112"/>
      <c r="M370" s="110" t="str">
        <f>ESTRUTURA!M371</f>
        <v/>
      </c>
      <c r="N370" s="111" t="str">
        <f>ESTRUTURA!O371</f>
        <v/>
      </c>
      <c r="O370" s="111" t="str">
        <f>ESTRUTURA!Q371</f>
        <v/>
      </c>
      <c r="P370" s="113" t="str">
        <f>IF($M370="","",IF(M370=prazo_sub,1,IFERROR(TRUNC(ESTRUTURA!AE371/ESTRUTURA!AG370,6),0)*100))</f>
        <v/>
      </c>
      <c r="Q370" s="112"/>
    </row>
  </sheetData>
  <mergeCells count="27">
    <mergeCell ref="A9:E9"/>
    <mergeCell ref="G9:K9"/>
    <mergeCell ref="M9:Q9"/>
    <mergeCell ref="A4:B4"/>
    <mergeCell ref="A5:B5"/>
    <mergeCell ref="A6:B6"/>
    <mergeCell ref="A7:B7"/>
    <mergeCell ref="C4:D4"/>
    <mergeCell ref="C5:D5"/>
    <mergeCell ref="C6:D6"/>
    <mergeCell ref="C7:D7"/>
    <mergeCell ref="G4:H4"/>
    <mergeCell ref="I4:J4"/>
    <mergeCell ref="G5:H5"/>
    <mergeCell ref="I5:J5"/>
    <mergeCell ref="G6:H6"/>
    <mergeCell ref="I6:J6"/>
    <mergeCell ref="O7:P7"/>
    <mergeCell ref="G7:H7"/>
    <mergeCell ref="I7:J7"/>
    <mergeCell ref="M4:N4"/>
    <mergeCell ref="O4:P4"/>
    <mergeCell ref="M5:N5"/>
    <mergeCell ref="O5:P5"/>
    <mergeCell ref="M6:N6"/>
    <mergeCell ref="O6:P6"/>
    <mergeCell ref="M7:N7"/>
  </mergeCells>
  <conditionalFormatting sqref="A11:D11 B12:C370">
    <cfRule type="containsBlanks" dxfId="9" priority="25">
      <formula>LEN(TRIM(A11))=0</formula>
    </cfRule>
  </conditionalFormatting>
  <conditionalFormatting sqref="M12:M370">
    <cfRule type="containsBlanks" dxfId="8" priority="11">
      <formula>LEN(TRIM(M12))=0</formula>
    </cfRule>
  </conditionalFormatting>
  <conditionalFormatting sqref="J11">
    <cfRule type="containsBlanks" dxfId="7" priority="7">
      <formula>LEN(TRIM(J11))=0</formula>
    </cfRule>
  </conditionalFormatting>
  <conditionalFormatting sqref="P11:P370">
    <cfRule type="containsBlanks" dxfId="6" priority="3">
      <formula>LEN(TRIM(P11))=0</formula>
    </cfRule>
  </conditionalFormatting>
  <conditionalFormatting sqref="G11:I11 H12:I370">
    <cfRule type="containsBlanks" dxfId="5" priority="16">
      <formula>LEN(TRIM(G11))=0</formula>
    </cfRule>
  </conditionalFormatting>
  <conditionalFormatting sqref="G12:G370">
    <cfRule type="containsBlanks" dxfId="4" priority="8">
      <formula>LEN(TRIM(G12))=0</formula>
    </cfRule>
  </conditionalFormatting>
  <conditionalFormatting sqref="M11:O11 N12:O370">
    <cfRule type="containsBlanks" dxfId="3" priority="13">
      <formula>LEN(TRIM(M11))=0</formula>
    </cfRule>
  </conditionalFormatting>
  <conditionalFormatting sqref="A12:A370">
    <cfRule type="containsBlanks" dxfId="2" priority="10">
      <formula>LEN(TRIM(A12))=0</formula>
    </cfRule>
  </conditionalFormatting>
  <conditionalFormatting sqref="D12:D370">
    <cfRule type="containsBlanks" dxfId="1" priority="2">
      <formula>LEN(TRIM(D12))=0</formula>
    </cfRule>
  </conditionalFormatting>
  <conditionalFormatting sqref="J12:J370">
    <cfRule type="containsBlanks" dxfId="0" priority="1">
      <formula>LEN(TRIM(J12))=0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I29"/>
  <sheetViews>
    <sheetView showGridLines="0" workbookViewId="0">
      <selection activeCell="C18" sqref="C18"/>
    </sheetView>
  </sheetViews>
  <sheetFormatPr defaultRowHeight="16.5" x14ac:dyDescent="0.3"/>
  <cols>
    <col min="1" max="1" width="9" customWidth="1"/>
    <col min="2" max="2" width="20.375" bestFit="1" customWidth="1"/>
    <col min="3" max="7" width="24.5" customWidth="1"/>
  </cols>
  <sheetData>
    <row r="1" spans="1:9" x14ac:dyDescent="0.3">
      <c r="B1" s="2" t="s">
        <v>502</v>
      </c>
      <c r="H1" s="107">
        <f>AVERAGE(H3:H14)</f>
        <v>0</v>
      </c>
      <c r="I1" s="107">
        <f>AVERAGE(I3:I14)</f>
        <v>0</v>
      </c>
    </row>
    <row r="2" spans="1:9" x14ac:dyDescent="0.3">
      <c r="B2" s="103" t="s">
        <v>500</v>
      </c>
      <c r="C2" s="103" t="s">
        <v>501</v>
      </c>
      <c r="D2" s="105">
        <v>90</v>
      </c>
      <c r="E2" s="108">
        <v>90</v>
      </c>
      <c r="F2" s="104">
        <v>90</v>
      </c>
      <c r="G2" s="109">
        <v>90</v>
      </c>
      <c r="H2" s="2" t="s">
        <v>504</v>
      </c>
      <c r="I2" s="2" t="s">
        <v>505</v>
      </c>
    </row>
    <row r="3" spans="1:9" x14ac:dyDescent="0.3">
      <c r="A3" s="2">
        <v>1</v>
      </c>
      <c r="B3" s="84">
        <f>IFERROR(DATE(YEAR(EDATE(dt_base,-1)),MONTH(EDATE(dt_base,-1)),1),0)</f>
        <v>0</v>
      </c>
      <c r="C3" s="47" t="e">
        <f>SUMIFS(#REF!,#REF!,$B$1,#REF!,INAD!$B3)</f>
        <v>#REF!</v>
      </c>
      <c r="D3" s="47" t="e">
        <f>SUMIFS(#REF!,#REF!,$B$1,#REF!,INAD!$B3,#REF!,"Paga",#REF!,"&gt;"&amp;0,#REF!,"&lt;="&amp;INAD!D$2)</f>
        <v>#REF!</v>
      </c>
      <c r="E3" s="47" t="e">
        <f>SUMIFS(#REF!,#REF!,$B$1,#REF!,INAD!$B3,#REF!,"Vencida",#REF!,"&gt;"&amp;0,#REF!,"&lt;="&amp;INAD!E$2)</f>
        <v>#REF!</v>
      </c>
      <c r="F3" s="47" t="e">
        <f>SUMIFS(#REF!,#REF!,$B$1,#REF!,INAD!$B3,#REF!,"Paga",#REF!,"&gt;"&amp;F$2)</f>
        <v>#REF!</v>
      </c>
      <c r="G3" s="47" t="e">
        <f>SUMIFS(#REF!,#REF!,$B$1,#REF!,INAD!$B3,#REF!,"Vencida",#REF!,"&gt;"&amp;G$2)</f>
        <v>#REF!</v>
      </c>
      <c r="H3" s="106">
        <f>IFERROR((D3+E3)/C3,0)</f>
        <v>0</v>
      </c>
      <c r="I3" s="106">
        <f>IFERROR((F3+G3)/C3,0)</f>
        <v>0</v>
      </c>
    </row>
    <row r="4" spans="1:9" x14ac:dyDescent="0.3">
      <c r="A4" s="2">
        <f>A3+1</f>
        <v>2</v>
      </c>
      <c r="B4" s="84">
        <f>IFERROR(EDATE(B3,-1),0)</f>
        <v>0</v>
      </c>
      <c r="C4" s="47" t="e">
        <f>SUMIFS(#REF!,#REF!,$B$1,#REF!,INAD!$B4)</f>
        <v>#REF!</v>
      </c>
      <c r="D4" s="47" t="e">
        <f>SUMIFS(#REF!,#REF!,$B$1,#REF!,INAD!$B4,#REF!,"Paga",#REF!,"&gt;"&amp;0,#REF!,"&lt;="&amp;INAD!D$2)</f>
        <v>#REF!</v>
      </c>
      <c r="E4" s="47" t="e">
        <f>SUMIFS(#REF!,#REF!,$B$1,#REF!,INAD!$B4,#REF!,"Vencida",#REF!,"&gt;"&amp;0,#REF!,"&lt;="&amp;INAD!E$2)</f>
        <v>#REF!</v>
      </c>
      <c r="F4" s="47" t="e">
        <f>SUMIFS(#REF!,#REF!,$B$1,#REF!,INAD!$B4,#REF!,"Paga",#REF!,"&gt;"&amp;F$2)</f>
        <v>#REF!</v>
      </c>
      <c r="G4" s="47" t="e">
        <f>SUMIFS(#REF!,#REF!,$B$1,#REF!,INAD!$B4,#REF!,"Vencida",#REF!,"&gt;"&amp;G$2)</f>
        <v>#REF!</v>
      </c>
      <c r="H4" s="106">
        <f t="shared" ref="H4:H14" si="0">IFERROR((D4+E4)/C4,0)</f>
        <v>0</v>
      </c>
      <c r="I4" s="106">
        <f t="shared" ref="I4:I14" si="1">IFERROR((F4+G4)/C4,0)</f>
        <v>0</v>
      </c>
    </row>
    <row r="5" spans="1:9" x14ac:dyDescent="0.3">
      <c r="A5" s="2">
        <f t="shared" ref="A5:A14" si="2">A4+1</f>
        <v>3</v>
      </c>
      <c r="B5" s="84">
        <f t="shared" ref="B5:B14" si="3">IFERROR(EDATE(B4,-1),0)</f>
        <v>0</v>
      </c>
      <c r="C5" s="47" t="e">
        <f>SUMIFS(#REF!,#REF!,$B$1,#REF!,INAD!$B5)</f>
        <v>#REF!</v>
      </c>
      <c r="D5" s="47" t="e">
        <f>SUMIFS(#REF!,#REF!,$B$1,#REF!,INAD!$B5,#REF!,"Paga",#REF!,"&gt;"&amp;0,#REF!,"&lt;="&amp;INAD!D$2)</f>
        <v>#REF!</v>
      </c>
      <c r="E5" s="47" t="e">
        <f>SUMIFS(#REF!,#REF!,$B$1,#REF!,INAD!$B5,#REF!,"Vencida",#REF!,"&gt;"&amp;0,#REF!,"&lt;="&amp;INAD!E$2)</f>
        <v>#REF!</v>
      </c>
      <c r="F5" s="47" t="e">
        <f>SUMIFS(#REF!,#REF!,$B$1,#REF!,INAD!$B5,#REF!,"Paga",#REF!,"&gt;"&amp;F$2)</f>
        <v>#REF!</v>
      </c>
      <c r="G5" s="47" t="e">
        <f>SUMIFS(#REF!,#REF!,$B$1,#REF!,INAD!$B5,#REF!,"Vencida",#REF!,"&gt;"&amp;G$2)</f>
        <v>#REF!</v>
      </c>
      <c r="H5" s="106">
        <f t="shared" si="0"/>
        <v>0</v>
      </c>
      <c r="I5" s="106">
        <f t="shared" si="1"/>
        <v>0</v>
      </c>
    </row>
    <row r="6" spans="1:9" x14ac:dyDescent="0.3">
      <c r="A6" s="2">
        <f t="shared" si="2"/>
        <v>4</v>
      </c>
      <c r="B6" s="84">
        <f t="shared" si="3"/>
        <v>0</v>
      </c>
      <c r="C6" s="47" t="e">
        <f>SUMIFS(#REF!,#REF!,$B$1,#REF!,INAD!$B6)</f>
        <v>#REF!</v>
      </c>
      <c r="D6" s="47" t="e">
        <f>SUMIFS(#REF!,#REF!,$B$1,#REF!,INAD!$B6,#REF!,"Paga",#REF!,"&gt;"&amp;0,#REF!,"&lt;="&amp;INAD!D$2)</f>
        <v>#REF!</v>
      </c>
      <c r="E6" s="47" t="e">
        <f>SUMIFS(#REF!,#REF!,$B$1,#REF!,INAD!$B6,#REF!,"Vencida",#REF!,"&gt;"&amp;0,#REF!,"&lt;="&amp;INAD!E$2)</f>
        <v>#REF!</v>
      </c>
      <c r="F6" s="47" t="e">
        <f>SUMIFS(#REF!,#REF!,$B$1,#REF!,INAD!$B6,#REF!,"Paga",#REF!,"&gt;"&amp;F$2)</f>
        <v>#REF!</v>
      </c>
      <c r="G6" s="47" t="e">
        <f>SUMIFS(#REF!,#REF!,$B$1,#REF!,INAD!$B6,#REF!,"Vencida",#REF!,"&gt;"&amp;G$2)</f>
        <v>#REF!</v>
      </c>
      <c r="H6" s="106">
        <f t="shared" si="0"/>
        <v>0</v>
      </c>
      <c r="I6" s="106">
        <f t="shared" si="1"/>
        <v>0</v>
      </c>
    </row>
    <row r="7" spans="1:9" x14ac:dyDescent="0.3">
      <c r="A7" s="2">
        <f t="shared" si="2"/>
        <v>5</v>
      </c>
      <c r="B7" s="84">
        <f t="shared" si="3"/>
        <v>0</v>
      </c>
      <c r="C7" s="47" t="e">
        <f>SUMIFS(#REF!,#REF!,$B$1,#REF!,INAD!$B7)</f>
        <v>#REF!</v>
      </c>
      <c r="D7" s="47" t="e">
        <f>SUMIFS(#REF!,#REF!,$B$1,#REF!,INAD!$B7,#REF!,"Paga",#REF!,"&gt;"&amp;0,#REF!,"&lt;="&amp;INAD!D$2)</f>
        <v>#REF!</v>
      </c>
      <c r="E7" s="47" t="e">
        <f>SUMIFS(#REF!,#REF!,$B$1,#REF!,INAD!$B7,#REF!,"Vencida",#REF!,"&gt;"&amp;0,#REF!,"&lt;="&amp;INAD!E$2)</f>
        <v>#REF!</v>
      </c>
      <c r="F7" s="47" t="e">
        <f>SUMIFS(#REF!,#REF!,$B$1,#REF!,INAD!$B7,#REF!,"Paga",#REF!,"&gt;"&amp;F$2)</f>
        <v>#REF!</v>
      </c>
      <c r="G7" s="47" t="e">
        <f>SUMIFS(#REF!,#REF!,$B$1,#REF!,INAD!$B7,#REF!,"Vencida",#REF!,"&gt;"&amp;G$2)</f>
        <v>#REF!</v>
      </c>
      <c r="H7" s="106">
        <f t="shared" si="0"/>
        <v>0</v>
      </c>
      <c r="I7" s="106">
        <f t="shared" si="1"/>
        <v>0</v>
      </c>
    </row>
    <row r="8" spans="1:9" x14ac:dyDescent="0.3">
      <c r="A8" s="2">
        <f t="shared" si="2"/>
        <v>6</v>
      </c>
      <c r="B8" s="84">
        <f t="shared" si="3"/>
        <v>0</v>
      </c>
      <c r="C8" s="47" t="e">
        <f>SUMIFS(#REF!,#REF!,$B$1,#REF!,INAD!$B8)</f>
        <v>#REF!</v>
      </c>
      <c r="D8" s="47" t="e">
        <f>SUMIFS(#REF!,#REF!,$B$1,#REF!,INAD!$B8,#REF!,"Paga",#REF!,"&gt;"&amp;0,#REF!,"&lt;="&amp;INAD!D$2)</f>
        <v>#REF!</v>
      </c>
      <c r="E8" s="47" t="e">
        <f>SUMIFS(#REF!,#REF!,$B$1,#REF!,INAD!$B8,#REF!,"Vencida",#REF!,"&gt;"&amp;0,#REF!,"&lt;="&amp;INAD!E$2)</f>
        <v>#REF!</v>
      </c>
      <c r="F8" s="47" t="e">
        <f>SUMIFS(#REF!,#REF!,$B$1,#REF!,INAD!$B8,#REF!,"Paga",#REF!,"&gt;"&amp;F$2)</f>
        <v>#REF!</v>
      </c>
      <c r="G8" s="47" t="e">
        <f>SUMIFS(#REF!,#REF!,$B$1,#REF!,INAD!$B8,#REF!,"Vencida",#REF!,"&gt;"&amp;G$2)</f>
        <v>#REF!</v>
      </c>
      <c r="H8" s="106">
        <f t="shared" si="0"/>
        <v>0</v>
      </c>
      <c r="I8" s="106">
        <f t="shared" si="1"/>
        <v>0</v>
      </c>
    </row>
    <row r="9" spans="1:9" x14ac:dyDescent="0.3">
      <c r="A9" s="2">
        <f t="shared" si="2"/>
        <v>7</v>
      </c>
      <c r="B9" s="84">
        <f t="shared" si="3"/>
        <v>0</v>
      </c>
      <c r="C9" s="47" t="e">
        <f>SUMIFS(#REF!,#REF!,$B$1,#REF!,INAD!$B9)</f>
        <v>#REF!</v>
      </c>
      <c r="D9" s="47" t="e">
        <f>SUMIFS(#REF!,#REF!,$B$1,#REF!,INAD!$B9,#REF!,"Paga",#REF!,"&gt;"&amp;0,#REF!,"&lt;="&amp;INAD!D$2)</f>
        <v>#REF!</v>
      </c>
      <c r="E9" s="47" t="e">
        <f>SUMIFS(#REF!,#REF!,$B$1,#REF!,INAD!$B9,#REF!,"Vencida",#REF!,"&gt;"&amp;0,#REF!,"&lt;="&amp;INAD!E$2)</f>
        <v>#REF!</v>
      </c>
      <c r="F9" s="47" t="e">
        <f>SUMIFS(#REF!,#REF!,$B$1,#REF!,INAD!$B9,#REF!,"Paga",#REF!,"&gt;"&amp;F$2)</f>
        <v>#REF!</v>
      </c>
      <c r="G9" s="47" t="e">
        <f>SUMIFS(#REF!,#REF!,$B$1,#REF!,INAD!$B9,#REF!,"Vencida",#REF!,"&gt;"&amp;G$2)</f>
        <v>#REF!</v>
      </c>
      <c r="H9" s="106">
        <f t="shared" si="0"/>
        <v>0</v>
      </c>
      <c r="I9" s="106">
        <f t="shared" si="1"/>
        <v>0</v>
      </c>
    </row>
    <row r="10" spans="1:9" x14ac:dyDescent="0.3">
      <c r="A10" s="2">
        <f t="shared" si="2"/>
        <v>8</v>
      </c>
      <c r="B10" s="84">
        <f t="shared" si="3"/>
        <v>0</v>
      </c>
      <c r="C10" s="47" t="e">
        <f>SUMIFS(#REF!,#REF!,$B$1,#REF!,INAD!$B10)</f>
        <v>#REF!</v>
      </c>
      <c r="D10" s="47" t="e">
        <f>SUMIFS(#REF!,#REF!,$B$1,#REF!,INAD!$B10,#REF!,"Paga",#REF!,"&gt;"&amp;0,#REF!,"&lt;="&amp;INAD!D$2)</f>
        <v>#REF!</v>
      </c>
      <c r="E10" s="47" t="e">
        <f>SUMIFS(#REF!,#REF!,$B$1,#REF!,INAD!$B10,#REF!,"Vencida",#REF!,"&gt;"&amp;0,#REF!,"&lt;="&amp;INAD!E$2)</f>
        <v>#REF!</v>
      </c>
      <c r="F10" s="47" t="e">
        <f>SUMIFS(#REF!,#REF!,$B$1,#REF!,INAD!$B10,#REF!,"Paga",#REF!,"&gt;"&amp;F$2)</f>
        <v>#REF!</v>
      </c>
      <c r="G10" s="47" t="e">
        <f>SUMIFS(#REF!,#REF!,$B$1,#REF!,INAD!$B10,#REF!,"Vencida",#REF!,"&gt;"&amp;G$2)</f>
        <v>#REF!</v>
      </c>
      <c r="H10" s="106">
        <f t="shared" si="0"/>
        <v>0</v>
      </c>
      <c r="I10" s="106">
        <f t="shared" si="1"/>
        <v>0</v>
      </c>
    </row>
    <row r="11" spans="1:9" x14ac:dyDescent="0.3">
      <c r="A11" s="2">
        <f t="shared" si="2"/>
        <v>9</v>
      </c>
      <c r="B11" s="84">
        <f t="shared" si="3"/>
        <v>0</v>
      </c>
      <c r="C11" s="47" t="e">
        <f>SUMIFS(#REF!,#REF!,$B$1,#REF!,INAD!$B11)</f>
        <v>#REF!</v>
      </c>
      <c r="D11" s="47" t="e">
        <f>SUMIFS(#REF!,#REF!,$B$1,#REF!,INAD!$B11,#REF!,"Paga",#REF!,"&gt;"&amp;0,#REF!,"&lt;="&amp;INAD!D$2)</f>
        <v>#REF!</v>
      </c>
      <c r="E11" s="47" t="e">
        <f>SUMIFS(#REF!,#REF!,$B$1,#REF!,INAD!$B11,#REF!,"Vencida",#REF!,"&gt;"&amp;0,#REF!,"&lt;="&amp;INAD!E$2)</f>
        <v>#REF!</v>
      </c>
      <c r="F11" s="47" t="e">
        <f>SUMIFS(#REF!,#REF!,$B$1,#REF!,INAD!$B11,#REF!,"Paga",#REF!,"&gt;"&amp;F$2)</f>
        <v>#REF!</v>
      </c>
      <c r="G11" s="47" t="e">
        <f>SUMIFS(#REF!,#REF!,$B$1,#REF!,INAD!$B11,#REF!,"Vencida",#REF!,"&gt;"&amp;G$2)</f>
        <v>#REF!</v>
      </c>
      <c r="H11" s="106">
        <f t="shared" si="0"/>
        <v>0</v>
      </c>
      <c r="I11" s="106">
        <f t="shared" si="1"/>
        <v>0</v>
      </c>
    </row>
    <row r="12" spans="1:9" x14ac:dyDescent="0.3">
      <c r="A12" s="2">
        <f t="shared" si="2"/>
        <v>10</v>
      </c>
      <c r="B12" s="84">
        <f t="shared" si="3"/>
        <v>0</v>
      </c>
      <c r="C12" s="47" t="e">
        <f>SUMIFS(#REF!,#REF!,$B$1,#REF!,INAD!$B12)</f>
        <v>#REF!</v>
      </c>
      <c r="D12" s="47" t="e">
        <f>SUMIFS(#REF!,#REF!,$B$1,#REF!,INAD!$B12,#REF!,"Paga",#REF!,"&gt;"&amp;0,#REF!,"&lt;="&amp;INAD!D$2)</f>
        <v>#REF!</v>
      </c>
      <c r="E12" s="47" t="e">
        <f>SUMIFS(#REF!,#REF!,$B$1,#REF!,INAD!$B12,#REF!,"Vencida",#REF!,"&gt;"&amp;0,#REF!,"&lt;="&amp;INAD!E$2)</f>
        <v>#REF!</v>
      </c>
      <c r="F12" s="47" t="e">
        <f>SUMIFS(#REF!,#REF!,$B$1,#REF!,INAD!$B12,#REF!,"Paga",#REF!,"&gt;"&amp;F$2)</f>
        <v>#REF!</v>
      </c>
      <c r="G12" s="47" t="e">
        <f>SUMIFS(#REF!,#REF!,$B$1,#REF!,INAD!$B12,#REF!,"Vencida",#REF!,"&gt;"&amp;G$2)</f>
        <v>#REF!</v>
      </c>
      <c r="H12" s="106">
        <f t="shared" si="0"/>
        <v>0</v>
      </c>
      <c r="I12" s="106">
        <f t="shared" si="1"/>
        <v>0</v>
      </c>
    </row>
    <row r="13" spans="1:9" x14ac:dyDescent="0.3">
      <c r="A13" s="2">
        <f t="shared" si="2"/>
        <v>11</v>
      </c>
      <c r="B13" s="84">
        <f t="shared" si="3"/>
        <v>0</v>
      </c>
      <c r="C13" s="47" t="e">
        <f>SUMIFS(#REF!,#REF!,$B$1,#REF!,INAD!$B13)</f>
        <v>#REF!</v>
      </c>
      <c r="D13" s="47" t="e">
        <f>SUMIFS(#REF!,#REF!,$B$1,#REF!,INAD!$B13,#REF!,"Paga",#REF!,"&gt;"&amp;0,#REF!,"&lt;="&amp;INAD!D$2)</f>
        <v>#REF!</v>
      </c>
      <c r="E13" s="47" t="e">
        <f>SUMIFS(#REF!,#REF!,$B$1,#REF!,INAD!$B13,#REF!,"Vencida",#REF!,"&gt;"&amp;0,#REF!,"&lt;="&amp;INAD!E$2)</f>
        <v>#REF!</v>
      </c>
      <c r="F13" s="47" t="e">
        <f>SUMIFS(#REF!,#REF!,$B$1,#REF!,INAD!$B13,#REF!,"Paga",#REF!,"&gt;"&amp;F$2)</f>
        <v>#REF!</v>
      </c>
      <c r="G13" s="47" t="e">
        <f>SUMIFS(#REF!,#REF!,$B$1,#REF!,INAD!$B13,#REF!,"Vencida",#REF!,"&gt;"&amp;G$2)</f>
        <v>#REF!</v>
      </c>
      <c r="H13" s="106">
        <f t="shared" si="0"/>
        <v>0</v>
      </c>
      <c r="I13" s="106">
        <f t="shared" si="1"/>
        <v>0</v>
      </c>
    </row>
    <row r="14" spans="1:9" x14ac:dyDescent="0.3">
      <c r="A14" s="2">
        <f t="shared" si="2"/>
        <v>12</v>
      </c>
      <c r="B14" s="84">
        <f t="shared" si="3"/>
        <v>0</v>
      </c>
      <c r="C14" s="47" t="e">
        <f>SUMIFS(#REF!,#REF!,$B$1,#REF!,INAD!$B14)</f>
        <v>#REF!</v>
      </c>
      <c r="D14" s="47" t="e">
        <f>SUMIFS(#REF!,#REF!,$B$1,#REF!,INAD!$B14,#REF!,"Paga",#REF!,"&gt;"&amp;0,#REF!,"&lt;="&amp;INAD!D$2)</f>
        <v>#REF!</v>
      </c>
      <c r="E14" s="47" t="e">
        <f>SUMIFS(#REF!,#REF!,$B$1,#REF!,INAD!$B14,#REF!,"Vencida",#REF!,"&gt;"&amp;0,#REF!,"&lt;="&amp;INAD!E$2)</f>
        <v>#REF!</v>
      </c>
      <c r="F14" s="47" t="e">
        <f>SUMIFS(#REF!,#REF!,$B$1,#REF!,INAD!$B14,#REF!,"Paga",#REF!,"&gt;"&amp;F$2)</f>
        <v>#REF!</v>
      </c>
      <c r="G14" s="47" t="e">
        <f>SUMIFS(#REF!,#REF!,$B$1,#REF!,INAD!$B14,#REF!,"Vencida",#REF!,"&gt;"&amp;G$2)</f>
        <v>#REF!</v>
      </c>
      <c r="H14" s="106">
        <f t="shared" si="0"/>
        <v>0</v>
      </c>
      <c r="I14" s="106">
        <f t="shared" si="1"/>
        <v>0</v>
      </c>
    </row>
    <row r="15" spans="1:9" x14ac:dyDescent="0.3">
      <c r="A15" s="2"/>
      <c r="B15" s="2"/>
    </row>
    <row r="16" spans="1:9" x14ac:dyDescent="0.3">
      <c r="B16" s="2" t="s">
        <v>503</v>
      </c>
      <c r="H16" s="107">
        <f>AVERAGE(H18:H29)</f>
        <v>0</v>
      </c>
      <c r="I16" s="107">
        <f>AVERAGE(I18:I29)</f>
        <v>0</v>
      </c>
    </row>
    <row r="17" spans="1:9" x14ac:dyDescent="0.3">
      <c r="B17" s="103" t="s">
        <v>500</v>
      </c>
      <c r="C17" s="103" t="s">
        <v>501</v>
      </c>
      <c r="D17" s="105">
        <v>90</v>
      </c>
      <c r="E17" s="108">
        <v>90</v>
      </c>
      <c r="F17" s="104">
        <v>90</v>
      </c>
      <c r="G17" s="109">
        <v>90</v>
      </c>
      <c r="H17" s="2" t="s">
        <v>504</v>
      </c>
      <c r="I17" s="2" t="s">
        <v>505</v>
      </c>
    </row>
    <row r="18" spans="1:9" x14ac:dyDescent="0.3">
      <c r="A18" s="2">
        <f>A3</f>
        <v>1</v>
      </c>
      <c r="B18" s="84">
        <f>B3</f>
        <v>0</v>
      </c>
      <c r="C18" s="47" t="e">
        <f>SUMIFS(#REF!,#REF!,$B$16,#REF!,INAD!$B18)</f>
        <v>#REF!</v>
      </c>
      <c r="D18" s="47" t="e">
        <f>SUMIFS(#REF!,#REF!,$B$16,#REF!,INAD!$B18,#REF!,"Paga",#REF!,"&gt;"&amp;0,#REF!,"&lt;="&amp;INAD!D$2)</f>
        <v>#REF!</v>
      </c>
      <c r="E18" s="47" t="e">
        <f>SUMIFS(#REF!,#REF!,$B$16,#REF!,INAD!$B18,#REF!,"Vencida",#REF!,"&gt;"&amp;0,#REF!,"&lt;="&amp;INAD!E$2)</f>
        <v>#REF!</v>
      </c>
      <c r="F18" s="47" t="e">
        <f>SUMIFS(#REF!,#REF!,$B$16,#REF!,INAD!$B18,#REF!,"Paga",#REF!,"&gt;"&amp;F$2)</f>
        <v>#REF!</v>
      </c>
      <c r="G18" s="47" t="e">
        <f>SUMIFS(#REF!,#REF!,$B$16,#REF!,INAD!$B18,#REF!,"Vencida",#REF!,"&gt;"&amp;G$2)</f>
        <v>#REF!</v>
      </c>
      <c r="H18" s="106">
        <f>IFERROR((D18+E18)/C18,0)</f>
        <v>0</v>
      </c>
      <c r="I18" s="106">
        <f>IFERROR((F18+G18)/C18,0)</f>
        <v>0</v>
      </c>
    </row>
    <row r="19" spans="1:9" x14ac:dyDescent="0.3">
      <c r="A19" s="2">
        <f t="shared" ref="A19:B19" si="4">A4</f>
        <v>2</v>
      </c>
      <c r="B19" s="84">
        <f t="shared" si="4"/>
        <v>0</v>
      </c>
      <c r="C19" s="47" t="e">
        <f>SUMIFS(#REF!,#REF!,$B$16,#REF!,INAD!$B19)</f>
        <v>#REF!</v>
      </c>
      <c r="D19" s="47" t="e">
        <f>SUMIFS(#REF!,#REF!,$B$16,#REF!,INAD!$B19,#REF!,"Paga",#REF!,"&gt;"&amp;0,#REF!,"&lt;="&amp;INAD!D$2)</f>
        <v>#REF!</v>
      </c>
      <c r="E19" s="47" t="e">
        <f>SUMIFS(#REF!,#REF!,$B$16,#REF!,INAD!$B19,#REF!,"Vencida",#REF!,"&gt;"&amp;0,#REF!,"&lt;="&amp;INAD!E$2)</f>
        <v>#REF!</v>
      </c>
      <c r="F19" s="47" t="e">
        <f>SUMIFS(#REF!,#REF!,$B$16,#REF!,INAD!$B19,#REF!,"Paga",#REF!,"&gt;"&amp;F$2)</f>
        <v>#REF!</v>
      </c>
      <c r="G19" s="47" t="e">
        <f>SUMIFS(#REF!,#REF!,$B$16,#REF!,INAD!$B19,#REF!,"Vencida",#REF!,"&gt;"&amp;G$2)</f>
        <v>#REF!</v>
      </c>
      <c r="H19" s="106">
        <f t="shared" ref="H19:H29" si="5">IFERROR((D19+E19)/C19,0)</f>
        <v>0</v>
      </c>
      <c r="I19" s="106">
        <f t="shared" ref="I19:I29" si="6">IFERROR((F19+G19)/C19,0)</f>
        <v>0</v>
      </c>
    </row>
    <row r="20" spans="1:9" x14ac:dyDescent="0.3">
      <c r="A20" s="2">
        <f t="shared" ref="A20:B20" si="7">A5</f>
        <v>3</v>
      </c>
      <c r="B20" s="84">
        <f t="shared" si="7"/>
        <v>0</v>
      </c>
      <c r="C20" s="47" t="e">
        <f>SUMIFS(#REF!,#REF!,$B$16,#REF!,INAD!$B20)</f>
        <v>#REF!</v>
      </c>
      <c r="D20" s="47" t="e">
        <f>SUMIFS(#REF!,#REF!,$B$16,#REF!,INAD!$B20,#REF!,"Paga",#REF!,"&gt;"&amp;0,#REF!,"&lt;="&amp;INAD!D$2)</f>
        <v>#REF!</v>
      </c>
      <c r="E20" s="47" t="e">
        <f>SUMIFS(#REF!,#REF!,$B$16,#REF!,INAD!$B20,#REF!,"Vencida",#REF!,"&gt;"&amp;0,#REF!,"&lt;="&amp;INAD!E$2)</f>
        <v>#REF!</v>
      </c>
      <c r="F20" s="47" t="e">
        <f>SUMIFS(#REF!,#REF!,$B$16,#REF!,INAD!$B20,#REF!,"Paga",#REF!,"&gt;"&amp;F$2)</f>
        <v>#REF!</v>
      </c>
      <c r="G20" s="47" t="e">
        <f>SUMIFS(#REF!,#REF!,$B$16,#REF!,INAD!$B20,#REF!,"Vencida",#REF!,"&gt;"&amp;G$2)</f>
        <v>#REF!</v>
      </c>
      <c r="H20" s="106">
        <f t="shared" si="5"/>
        <v>0</v>
      </c>
      <c r="I20" s="106">
        <f t="shared" si="6"/>
        <v>0</v>
      </c>
    </row>
    <row r="21" spans="1:9" x14ac:dyDescent="0.3">
      <c r="A21" s="2">
        <f t="shared" ref="A21:B21" si="8">A6</f>
        <v>4</v>
      </c>
      <c r="B21" s="84">
        <f t="shared" si="8"/>
        <v>0</v>
      </c>
      <c r="C21" s="47" t="e">
        <f>SUMIFS(#REF!,#REF!,$B$16,#REF!,INAD!$B21)</f>
        <v>#REF!</v>
      </c>
      <c r="D21" s="47" t="e">
        <f>SUMIFS(#REF!,#REF!,$B$16,#REF!,INAD!$B21,#REF!,"Paga",#REF!,"&gt;"&amp;0,#REF!,"&lt;="&amp;INAD!D$2)</f>
        <v>#REF!</v>
      </c>
      <c r="E21" s="47" t="e">
        <f>SUMIFS(#REF!,#REF!,$B$16,#REF!,INAD!$B21,#REF!,"Vencida",#REF!,"&gt;"&amp;0,#REF!,"&lt;="&amp;INAD!E$2)</f>
        <v>#REF!</v>
      </c>
      <c r="F21" s="47" t="e">
        <f>SUMIFS(#REF!,#REF!,$B$16,#REF!,INAD!$B21,#REF!,"Paga",#REF!,"&gt;"&amp;F$2)</f>
        <v>#REF!</v>
      </c>
      <c r="G21" s="47" t="e">
        <f>SUMIFS(#REF!,#REF!,$B$16,#REF!,INAD!$B21,#REF!,"Vencida",#REF!,"&gt;"&amp;G$2)</f>
        <v>#REF!</v>
      </c>
      <c r="H21" s="106">
        <f t="shared" si="5"/>
        <v>0</v>
      </c>
      <c r="I21" s="106">
        <f t="shared" si="6"/>
        <v>0</v>
      </c>
    </row>
    <row r="22" spans="1:9" x14ac:dyDescent="0.3">
      <c r="A22" s="2">
        <f t="shared" ref="A22:B22" si="9">A7</f>
        <v>5</v>
      </c>
      <c r="B22" s="84">
        <f t="shared" si="9"/>
        <v>0</v>
      </c>
      <c r="C22" s="47" t="e">
        <f>SUMIFS(#REF!,#REF!,$B$16,#REF!,INAD!$B22)</f>
        <v>#REF!</v>
      </c>
      <c r="D22" s="47" t="e">
        <f>SUMIFS(#REF!,#REF!,$B$16,#REF!,INAD!$B22,#REF!,"Paga",#REF!,"&gt;"&amp;0,#REF!,"&lt;="&amp;INAD!D$2)</f>
        <v>#REF!</v>
      </c>
      <c r="E22" s="47" t="e">
        <f>SUMIFS(#REF!,#REF!,$B$16,#REF!,INAD!$B22,#REF!,"Vencida",#REF!,"&gt;"&amp;0,#REF!,"&lt;="&amp;INAD!E$2)</f>
        <v>#REF!</v>
      </c>
      <c r="F22" s="47" t="e">
        <f>SUMIFS(#REF!,#REF!,$B$16,#REF!,INAD!$B22,#REF!,"Paga",#REF!,"&gt;"&amp;F$2)</f>
        <v>#REF!</v>
      </c>
      <c r="G22" s="47" t="e">
        <f>SUMIFS(#REF!,#REF!,$B$16,#REF!,INAD!$B22,#REF!,"Vencida",#REF!,"&gt;"&amp;G$2)</f>
        <v>#REF!</v>
      </c>
      <c r="H22" s="106">
        <f t="shared" si="5"/>
        <v>0</v>
      </c>
      <c r="I22" s="106">
        <f t="shared" si="6"/>
        <v>0</v>
      </c>
    </row>
    <row r="23" spans="1:9" x14ac:dyDescent="0.3">
      <c r="A23" s="2">
        <f t="shared" ref="A23:B23" si="10">A8</f>
        <v>6</v>
      </c>
      <c r="B23" s="84">
        <f t="shared" si="10"/>
        <v>0</v>
      </c>
      <c r="C23" s="47" t="e">
        <f>SUMIFS(#REF!,#REF!,$B$16,#REF!,INAD!$B23)</f>
        <v>#REF!</v>
      </c>
      <c r="D23" s="47" t="e">
        <f>SUMIFS(#REF!,#REF!,$B$16,#REF!,INAD!$B23,#REF!,"Paga",#REF!,"&gt;"&amp;0,#REF!,"&lt;="&amp;INAD!D$2)</f>
        <v>#REF!</v>
      </c>
      <c r="E23" s="47" t="e">
        <f>SUMIFS(#REF!,#REF!,$B$16,#REF!,INAD!$B23,#REF!,"Vencida",#REF!,"&gt;"&amp;0,#REF!,"&lt;="&amp;INAD!E$2)</f>
        <v>#REF!</v>
      </c>
      <c r="F23" s="47" t="e">
        <f>SUMIFS(#REF!,#REF!,$B$16,#REF!,INAD!$B23,#REF!,"Paga",#REF!,"&gt;"&amp;F$2)</f>
        <v>#REF!</v>
      </c>
      <c r="G23" s="47" t="e">
        <f>SUMIFS(#REF!,#REF!,$B$16,#REF!,INAD!$B23,#REF!,"Vencida",#REF!,"&gt;"&amp;G$2)</f>
        <v>#REF!</v>
      </c>
      <c r="H23" s="106">
        <f t="shared" si="5"/>
        <v>0</v>
      </c>
      <c r="I23" s="106">
        <f t="shared" si="6"/>
        <v>0</v>
      </c>
    </row>
    <row r="24" spans="1:9" x14ac:dyDescent="0.3">
      <c r="A24" s="2">
        <f t="shared" ref="A24:B24" si="11">A9</f>
        <v>7</v>
      </c>
      <c r="B24" s="84">
        <f t="shared" si="11"/>
        <v>0</v>
      </c>
      <c r="C24" s="47" t="e">
        <f>SUMIFS(#REF!,#REF!,$B$16,#REF!,INAD!$B24)</f>
        <v>#REF!</v>
      </c>
      <c r="D24" s="47" t="e">
        <f>SUMIFS(#REF!,#REF!,$B$16,#REF!,INAD!$B24,#REF!,"Paga",#REF!,"&gt;"&amp;0,#REF!,"&lt;="&amp;INAD!D$2)</f>
        <v>#REF!</v>
      </c>
      <c r="E24" s="47" t="e">
        <f>SUMIFS(#REF!,#REF!,$B$16,#REF!,INAD!$B24,#REF!,"Vencida",#REF!,"&gt;"&amp;0,#REF!,"&lt;="&amp;INAD!E$2)</f>
        <v>#REF!</v>
      </c>
      <c r="F24" s="47" t="e">
        <f>SUMIFS(#REF!,#REF!,$B$16,#REF!,INAD!$B24,#REF!,"Paga",#REF!,"&gt;"&amp;F$2)</f>
        <v>#REF!</v>
      </c>
      <c r="G24" s="47" t="e">
        <f>SUMIFS(#REF!,#REF!,$B$16,#REF!,INAD!$B24,#REF!,"Vencida",#REF!,"&gt;"&amp;G$2)</f>
        <v>#REF!</v>
      </c>
      <c r="H24" s="106">
        <f t="shared" si="5"/>
        <v>0</v>
      </c>
      <c r="I24" s="106">
        <f t="shared" si="6"/>
        <v>0</v>
      </c>
    </row>
    <row r="25" spans="1:9" x14ac:dyDescent="0.3">
      <c r="A25" s="2">
        <f t="shared" ref="A25:B25" si="12">A10</f>
        <v>8</v>
      </c>
      <c r="B25" s="84">
        <f t="shared" si="12"/>
        <v>0</v>
      </c>
      <c r="C25" s="47" t="e">
        <f>SUMIFS(#REF!,#REF!,$B$16,#REF!,INAD!$B25)</f>
        <v>#REF!</v>
      </c>
      <c r="D25" s="47" t="e">
        <f>SUMIFS(#REF!,#REF!,$B$16,#REF!,INAD!$B25,#REF!,"Paga",#REF!,"&gt;"&amp;0,#REF!,"&lt;="&amp;INAD!D$2)</f>
        <v>#REF!</v>
      </c>
      <c r="E25" s="47" t="e">
        <f>SUMIFS(#REF!,#REF!,$B$16,#REF!,INAD!$B25,#REF!,"Vencida",#REF!,"&gt;"&amp;0,#REF!,"&lt;="&amp;INAD!E$2)</f>
        <v>#REF!</v>
      </c>
      <c r="F25" s="47" t="e">
        <f>SUMIFS(#REF!,#REF!,$B$16,#REF!,INAD!$B25,#REF!,"Paga",#REF!,"&gt;"&amp;F$2)</f>
        <v>#REF!</v>
      </c>
      <c r="G25" s="47" t="e">
        <f>SUMIFS(#REF!,#REF!,$B$16,#REF!,INAD!$B25,#REF!,"Vencida",#REF!,"&gt;"&amp;G$2)</f>
        <v>#REF!</v>
      </c>
      <c r="H25" s="106">
        <f t="shared" si="5"/>
        <v>0</v>
      </c>
      <c r="I25" s="106">
        <f t="shared" si="6"/>
        <v>0</v>
      </c>
    </row>
    <row r="26" spans="1:9" x14ac:dyDescent="0.3">
      <c r="A26" s="2">
        <f t="shared" ref="A26:B26" si="13">A11</f>
        <v>9</v>
      </c>
      <c r="B26" s="84">
        <f t="shared" si="13"/>
        <v>0</v>
      </c>
      <c r="C26" s="47" t="e">
        <f>SUMIFS(#REF!,#REF!,$B$16,#REF!,INAD!$B26)</f>
        <v>#REF!</v>
      </c>
      <c r="D26" s="47" t="e">
        <f>SUMIFS(#REF!,#REF!,$B$16,#REF!,INAD!$B26,#REF!,"Paga",#REF!,"&gt;"&amp;0,#REF!,"&lt;="&amp;INAD!D$2)</f>
        <v>#REF!</v>
      </c>
      <c r="E26" s="47" t="e">
        <f>SUMIFS(#REF!,#REF!,$B$16,#REF!,INAD!$B26,#REF!,"Vencida",#REF!,"&gt;"&amp;0,#REF!,"&lt;="&amp;INAD!E$2)</f>
        <v>#REF!</v>
      </c>
      <c r="F26" s="47" t="e">
        <f>SUMIFS(#REF!,#REF!,$B$16,#REF!,INAD!$B26,#REF!,"Paga",#REF!,"&gt;"&amp;F$2)</f>
        <v>#REF!</v>
      </c>
      <c r="G26" s="47" t="e">
        <f>SUMIFS(#REF!,#REF!,$B$16,#REF!,INAD!$B26,#REF!,"Vencida",#REF!,"&gt;"&amp;G$2)</f>
        <v>#REF!</v>
      </c>
      <c r="H26" s="106">
        <f t="shared" si="5"/>
        <v>0</v>
      </c>
      <c r="I26" s="106">
        <f t="shared" si="6"/>
        <v>0</v>
      </c>
    </row>
    <row r="27" spans="1:9" x14ac:dyDescent="0.3">
      <c r="A27" s="2">
        <f t="shared" ref="A27:B27" si="14">A12</f>
        <v>10</v>
      </c>
      <c r="B27" s="84">
        <f t="shared" si="14"/>
        <v>0</v>
      </c>
      <c r="C27" s="47" t="e">
        <f>SUMIFS(#REF!,#REF!,$B$16,#REF!,INAD!$B27)</f>
        <v>#REF!</v>
      </c>
      <c r="D27" s="47" t="e">
        <f>SUMIFS(#REF!,#REF!,$B$16,#REF!,INAD!$B27,#REF!,"Paga",#REF!,"&gt;"&amp;0,#REF!,"&lt;="&amp;INAD!D$2)</f>
        <v>#REF!</v>
      </c>
      <c r="E27" s="47" t="e">
        <f>SUMIFS(#REF!,#REF!,$B$16,#REF!,INAD!$B27,#REF!,"Vencida",#REF!,"&gt;"&amp;0,#REF!,"&lt;="&amp;INAD!E$2)</f>
        <v>#REF!</v>
      </c>
      <c r="F27" s="47" t="e">
        <f>SUMIFS(#REF!,#REF!,$B$16,#REF!,INAD!$B27,#REF!,"Paga",#REF!,"&gt;"&amp;F$2)</f>
        <v>#REF!</v>
      </c>
      <c r="G27" s="47" t="e">
        <f>SUMIFS(#REF!,#REF!,$B$16,#REF!,INAD!$B27,#REF!,"Vencida",#REF!,"&gt;"&amp;G$2)</f>
        <v>#REF!</v>
      </c>
      <c r="H27" s="106">
        <f t="shared" si="5"/>
        <v>0</v>
      </c>
      <c r="I27" s="106">
        <f t="shared" si="6"/>
        <v>0</v>
      </c>
    </row>
    <row r="28" spans="1:9" x14ac:dyDescent="0.3">
      <c r="A28" s="2">
        <f t="shared" ref="A28:B28" si="15">A13</f>
        <v>11</v>
      </c>
      <c r="B28" s="84">
        <f t="shared" si="15"/>
        <v>0</v>
      </c>
      <c r="C28" s="47" t="e">
        <f>SUMIFS(#REF!,#REF!,$B$16,#REF!,INAD!$B28)</f>
        <v>#REF!</v>
      </c>
      <c r="D28" s="47" t="e">
        <f>SUMIFS(#REF!,#REF!,$B$16,#REF!,INAD!$B28,#REF!,"Paga",#REF!,"&gt;"&amp;0,#REF!,"&lt;="&amp;INAD!D$2)</f>
        <v>#REF!</v>
      </c>
      <c r="E28" s="47" t="e">
        <f>SUMIFS(#REF!,#REF!,$B$16,#REF!,INAD!$B28,#REF!,"Vencida",#REF!,"&gt;"&amp;0,#REF!,"&lt;="&amp;INAD!E$2)</f>
        <v>#REF!</v>
      </c>
      <c r="F28" s="47" t="e">
        <f>SUMIFS(#REF!,#REF!,$B$16,#REF!,INAD!$B28,#REF!,"Paga",#REF!,"&gt;"&amp;F$2)</f>
        <v>#REF!</v>
      </c>
      <c r="G28" s="47" t="e">
        <f>SUMIFS(#REF!,#REF!,$B$16,#REF!,INAD!$B28,#REF!,"Vencida",#REF!,"&gt;"&amp;G$2)</f>
        <v>#REF!</v>
      </c>
      <c r="H28" s="106">
        <f t="shared" si="5"/>
        <v>0</v>
      </c>
      <c r="I28" s="106">
        <f t="shared" si="6"/>
        <v>0</v>
      </c>
    </row>
    <row r="29" spans="1:9" x14ac:dyDescent="0.3">
      <c r="A29" s="2">
        <f t="shared" ref="A29:B29" si="16">A14</f>
        <v>12</v>
      </c>
      <c r="B29" s="84">
        <f t="shared" si="16"/>
        <v>0</v>
      </c>
      <c r="C29" s="47" t="e">
        <f>SUMIFS(#REF!,#REF!,$B$16,#REF!,INAD!$B29)</f>
        <v>#REF!</v>
      </c>
      <c r="D29" s="47" t="e">
        <f>SUMIFS(#REF!,#REF!,$B$16,#REF!,INAD!$B29,#REF!,"Paga",#REF!,"&gt;"&amp;0,#REF!,"&lt;="&amp;INAD!D$2)</f>
        <v>#REF!</v>
      </c>
      <c r="E29" s="47" t="e">
        <f>SUMIFS(#REF!,#REF!,$B$16,#REF!,INAD!$B29,#REF!,"Vencida",#REF!,"&gt;"&amp;0,#REF!,"&lt;="&amp;INAD!E$2)</f>
        <v>#REF!</v>
      </c>
      <c r="F29" s="47" t="e">
        <f>SUMIFS(#REF!,#REF!,$B$16,#REF!,INAD!$B29,#REF!,"Paga",#REF!,"&gt;"&amp;F$2)</f>
        <v>#REF!</v>
      </c>
      <c r="G29" s="47" t="e">
        <f>SUMIFS(#REF!,#REF!,$B$16,#REF!,INAD!$B29,#REF!,"Vencida",#REF!,"&gt;"&amp;G$2)</f>
        <v>#REF!</v>
      </c>
      <c r="H29" s="106">
        <f t="shared" si="5"/>
        <v>0</v>
      </c>
      <c r="I29" s="106">
        <f t="shared" si="6"/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K938"/>
  <sheetViews>
    <sheetView showGridLines="0" topLeftCell="F1" workbookViewId="0">
      <selection activeCell="K2" sqref="K2"/>
    </sheetView>
  </sheetViews>
  <sheetFormatPr defaultRowHeight="16.5" x14ac:dyDescent="0.3"/>
  <cols>
    <col min="1" max="1" width="10.625" bestFit="1" customWidth="1"/>
    <col min="3" max="3" width="7.375" customWidth="1"/>
    <col min="4" max="4" width="36.75" bestFit="1" customWidth="1"/>
    <col min="6" max="6" width="13" bestFit="1" customWidth="1"/>
    <col min="7" max="7" width="38" bestFit="1" customWidth="1"/>
    <col min="8" max="8" width="18.625" bestFit="1" customWidth="1"/>
    <col min="10" max="11" width="38" customWidth="1"/>
  </cols>
  <sheetData>
    <row r="1" spans="1:11" ht="16.5" customHeight="1" x14ac:dyDescent="0.3">
      <c r="A1" s="6" t="s">
        <v>0</v>
      </c>
      <c r="C1" s="2" t="s">
        <v>1</v>
      </c>
      <c r="D1" s="2" t="s">
        <v>76</v>
      </c>
      <c r="G1" s="50" t="s">
        <v>446</v>
      </c>
      <c r="H1" s="50" t="s">
        <v>447</v>
      </c>
      <c r="J1" s="50" t="s">
        <v>67</v>
      </c>
      <c r="K1" s="50" t="s">
        <v>488</v>
      </c>
    </row>
    <row r="2" spans="1:11" ht="17.25" customHeight="1" x14ac:dyDescent="0.3">
      <c r="A2" s="1" t="s">
        <v>1</v>
      </c>
      <c r="C2" s="2" t="s">
        <v>77</v>
      </c>
      <c r="D2" s="36">
        <v>3.0861999999999997E-5</v>
      </c>
      <c r="G2" s="101" t="str">
        <f>Tabela!A2</f>
        <v>ANBIMA</v>
      </c>
      <c r="H2" s="43" t="str">
        <f>Tabela!B2</f>
        <v>ANBIMA</v>
      </c>
      <c r="J2" s="102" t="str">
        <f>G5</f>
        <v>Avaliação de Imóveis</v>
      </c>
      <c r="K2" s="102" t="str">
        <f>J2</f>
        <v>Avaliação de Imóveis</v>
      </c>
    </row>
    <row r="3" spans="1:11" ht="16.5" customHeight="1" x14ac:dyDescent="0.3">
      <c r="A3" s="34">
        <v>36892</v>
      </c>
      <c r="C3" s="2" t="s">
        <v>78</v>
      </c>
      <c r="D3" s="36">
        <v>4.1943000000000001E-5</v>
      </c>
      <c r="G3" s="101" t="str">
        <f>Tabela!A3</f>
        <v>Assessoria Legal</v>
      </c>
      <c r="H3" s="43" t="str">
        <f>Tabela!B3</f>
        <v>Assessor Legal</v>
      </c>
      <c r="J3" s="102" t="str">
        <f>G20</f>
        <v>Monitoramento</v>
      </c>
      <c r="K3" s="102" t="str">
        <f>J3</f>
        <v>Monitoramento</v>
      </c>
    </row>
    <row r="4" spans="1:11" ht="17.25" customHeight="1" x14ac:dyDescent="0.3">
      <c r="A4" s="34">
        <v>36948</v>
      </c>
      <c r="C4" s="2" t="s">
        <v>79</v>
      </c>
      <c r="D4" s="2">
        <v>1E-4</v>
      </c>
      <c r="G4" s="101" t="str">
        <f>Tabela!A4</f>
        <v>Due Diligence</v>
      </c>
      <c r="H4" s="43" t="str">
        <f>Tabela!B4</f>
        <v>Assessor Legal</v>
      </c>
      <c r="J4" s="99" t="str">
        <f>G21</f>
        <v>Distribuição</v>
      </c>
      <c r="K4" s="99" t="str">
        <f>J4</f>
        <v>Distribuição</v>
      </c>
    </row>
    <row r="5" spans="1:11" ht="16.5" customHeight="1" x14ac:dyDescent="0.3">
      <c r="A5" s="34">
        <v>36949</v>
      </c>
      <c r="C5" s="2" t="s">
        <v>80</v>
      </c>
      <c r="D5" s="2">
        <v>1E-4</v>
      </c>
      <c r="G5" s="101" t="str">
        <f>Tabela!A5</f>
        <v>Avaliação de Imóveis</v>
      </c>
      <c r="H5" s="43" t="str">
        <f>Tabela!B5</f>
        <v>Avaliadores</v>
      </c>
      <c r="J5" s="99" t="str">
        <f>G32</f>
        <v>Estruturação</v>
      </c>
      <c r="K5" s="99" t="str">
        <f t="shared" ref="K5:K31" si="0">J5</f>
        <v>Estruturação</v>
      </c>
    </row>
    <row r="6" spans="1:11" ht="17.25" customHeight="1" x14ac:dyDescent="0.3">
      <c r="A6" s="34">
        <v>36994</v>
      </c>
      <c r="C6" s="2" t="s">
        <v>81</v>
      </c>
      <c r="D6" s="2">
        <v>1E-4</v>
      </c>
      <c r="G6" s="101" t="str">
        <f>Tabela!A6</f>
        <v>Tarifa Conta</v>
      </c>
      <c r="H6" s="43" t="str">
        <f>Tabela!B6</f>
        <v>Banco Liquidante</v>
      </c>
      <c r="J6" s="100" t="s">
        <v>10</v>
      </c>
      <c r="K6" s="100" t="str">
        <f t="shared" si="0"/>
        <v>Assessor Legal</v>
      </c>
    </row>
    <row r="7" spans="1:11" ht="16.5" customHeight="1" x14ac:dyDescent="0.3">
      <c r="A7" s="34">
        <v>37002</v>
      </c>
      <c r="C7" s="2" t="s">
        <v>82</v>
      </c>
      <c r="D7" s="2">
        <v>2.0000000000000001E-4</v>
      </c>
      <c r="G7" s="101" t="str">
        <f>Tabela!A7</f>
        <v>Abertura Conta Vinculada</v>
      </c>
      <c r="H7" s="43" t="str">
        <f>Tabela!B7</f>
        <v>Banco Liquidante</v>
      </c>
      <c r="J7" s="98" t="str">
        <f>G3</f>
        <v>Assessoria Legal</v>
      </c>
      <c r="K7" s="98" t="str">
        <f t="shared" si="0"/>
        <v>Assessoria Legal</v>
      </c>
    </row>
    <row r="8" spans="1:11" ht="17.25" customHeight="1" x14ac:dyDescent="0.3">
      <c r="A8" s="34">
        <v>37012</v>
      </c>
      <c r="C8" s="2" t="s">
        <v>83</v>
      </c>
      <c r="D8" s="2">
        <v>2.0000000000000001E-4</v>
      </c>
      <c r="G8" s="101" t="str">
        <f>Tabela!A8</f>
        <v>Manuntenção Conta Vinculada</v>
      </c>
      <c r="H8" s="43" t="str">
        <f>Tabela!B8</f>
        <v>Banco Liquidante</v>
      </c>
      <c r="J8" s="98" t="str">
        <f>G4</f>
        <v>Due Diligence</v>
      </c>
      <c r="K8" s="98" t="str">
        <f t="shared" si="0"/>
        <v>Due Diligence</v>
      </c>
    </row>
    <row r="9" spans="1:11" ht="16.5" customHeight="1" x14ac:dyDescent="0.3">
      <c r="A9" s="34">
        <v>37056</v>
      </c>
      <c r="C9" s="2" t="s">
        <v>84</v>
      </c>
      <c r="D9" s="2">
        <v>4.0000000000000002E-4</v>
      </c>
      <c r="G9" s="101" t="str">
        <f>Tabela!A9</f>
        <v>Pré-Registro  CR</v>
      </c>
      <c r="H9" s="43" t="str">
        <f>Tabela!B9</f>
        <v>CETIP</v>
      </c>
      <c r="J9" s="99" t="str">
        <f>G34</f>
        <v>Servicer</v>
      </c>
      <c r="K9" s="99" t="str">
        <f>J9</f>
        <v>Servicer</v>
      </c>
    </row>
    <row r="10" spans="1:11" ht="17.25" customHeight="1" x14ac:dyDescent="0.3">
      <c r="A10" s="34">
        <v>37141</v>
      </c>
      <c r="C10" s="2" t="s">
        <v>85</v>
      </c>
      <c r="D10" s="2">
        <v>6.9999999999999999E-4</v>
      </c>
      <c r="G10" s="101" t="str">
        <f>Tabela!A10</f>
        <v>Registro CR</v>
      </c>
      <c r="H10" s="43" t="str">
        <f>Tabela!B10</f>
        <v>CETIP</v>
      </c>
      <c r="J10" s="99" t="str">
        <f>G35</f>
        <v>Originador CCB</v>
      </c>
      <c r="K10" s="99" t="str">
        <f>J10</f>
        <v>Originador CCB</v>
      </c>
    </row>
    <row r="11" spans="1:11" ht="16.5" customHeight="1" x14ac:dyDescent="0.3">
      <c r="A11" s="34">
        <v>37176</v>
      </c>
      <c r="C11" s="2" t="s">
        <v>86</v>
      </c>
      <c r="D11" s="2">
        <v>1.2999999999999999E-3</v>
      </c>
      <c r="G11" s="101" t="str">
        <f>Tabela!A11</f>
        <v>Pré-Registro  CDCA</v>
      </c>
      <c r="H11" s="43" t="str">
        <f>Tabela!B11</f>
        <v>CETIP</v>
      </c>
      <c r="J11" s="100" t="s">
        <v>449</v>
      </c>
      <c r="K11" s="100" t="str">
        <f t="shared" si="0"/>
        <v>Securitizadora</v>
      </c>
    </row>
    <row r="12" spans="1:11" ht="17.25" customHeight="1" x14ac:dyDescent="0.3">
      <c r="A12" s="34">
        <v>37197</v>
      </c>
      <c r="C12" s="2" t="s">
        <v>87</v>
      </c>
      <c r="D12" s="2">
        <v>1.6000000000000001E-3</v>
      </c>
      <c r="G12" s="101" t="str">
        <f>Tabela!A12</f>
        <v>Registro CDCA</v>
      </c>
      <c r="H12" s="43" t="str">
        <f>Tabela!B12</f>
        <v>CETIP</v>
      </c>
      <c r="J12" s="98" t="str">
        <f>G31</f>
        <v>Emissão</v>
      </c>
      <c r="K12" s="98" t="str">
        <f t="shared" si="0"/>
        <v>Emissão</v>
      </c>
    </row>
    <row r="13" spans="1:11" ht="16.5" customHeight="1" x14ac:dyDescent="0.3">
      <c r="A13" s="34">
        <v>37210</v>
      </c>
      <c r="C13" s="2" t="s">
        <v>88</v>
      </c>
      <c r="D13" s="2">
        <v>1.6999999999999999E-3</v>
      </c>
      <c r="G13" s="101" t="str">
        <f>Tabela!A13</f>
        <v>Registro CCI</v>
      </c>
      <c r="H13" s="43" t="str">
        <f>Tabela!B13</f>
        <v>CETIP</v>
      </c>
      <c r="J13" s="98" t="str">
        <f>G33</f>
        <v>Taxa de gestão</v>
      </c>
      <c r="K13" s="98" t="str">
        <f>J13</f>
        <v>Taxa de gestão</v>
      </c>
    </row>
    <row r="14" spans="1:11" ht="17.25" customHeight="1" x14ac:dyDescent="0.3">
      <c r="A14" s="34">
        <v>37250</v>
      </c>
      <c r="C14" s="2" t="s">
        <v>89</v>
      </c>
      <c r="D14" s="2">
        <v>1.9E-3</v>
      </c>
      <c r="G14" s="101" t="str">
        <f>Tabela!A14</f>
        <v>Carta de Titularidade</v>
      </c>
      <c r="H14" s="43" t="str">
        <f>Tabela!B14</f>
        <v>CETIP</v>
      </c>
      <c r="J14" s="100" t="s">
        <v>441</v>
      </c>
      <c r="K14" s="100" t="str">
        <f t="shared" si="0"/>
        <v>Banco Liquidante</v>
      </c>
    </row>
    <row r="15" spans="1:11" ht="16.5" customHeight="1" x14ac:dyDescent="0.3">
      <c r="A15" s="34">
        <v>37257</v>
      </c>
      <c r="C15" s="2" t="s">
        <v>90</v>
      </c>
      <c r="D15" s="2">
        <v>2.0999999999999999E-3</v>
      </c>
      <c r="G15" s="101" t="str">
        <f>Tabela!A15</f>
        <v>Pré Registro CPR/NCR/CRP</v>
      </c>
      <c r="H15" s="43" t="str">
        <f>Tabela!B15</f>
        <v>CETIP</v>
      </c>
      <c r="J15" s="98" t="str">
        <f>G6</f>
        <v>Tarifa Conta</v>
      </c>
      <c r="K15" s="98" t="str">
        <f t="shared" si="0"/>
        <v>Tarifa Conta</v>
      </c>
    </row>
    <row r="16" spans="1:11" ht="17.25" customHeight="1" x14ac:dyDescent="0.3">
      <c r="A16" s="34">
        <v>37298</v>
      </c>
      <c r="C16" s="2" t="s">
        <v>91</v>
      </c>
      <c r="D16" s="2">
        <v>2.3999999999999998E-3</v>
      </c>
      <c r="G16" s="101" t="str">
        <f>Tabela!A16</f>
        <v>Pré-Registro Debênture</v>
      </c>
      <c r="H16" s="43" t="str">
        <f>Tabela!B16</f>
        <v>CETIP</v>
      </c>
      <c r="J16" s="98" t="str">
        <f>G7</f>
        <v>Abertura Conta Vinculada</v>
      </c>
      <c r="K16" s="98" t="str">
        <f t="shared" si="0"/>
        <v>Abertura Conta Vinculada</v>
      </c>
    </row>
    <row r="17" spans="1:11" ht="16.5" customHeight="1" x14ac:dyDescent="0.3">
      <c r="A17" s="34">
        <v>37299</v>
      </c>
      <c r="C17" s="2" t="s">
        <v>92</v>
      </c>
      <c r="D17" s="2">
        <v>2.7000000000000001E-3</v>
      </c>
      <c r="G17" s="101" t="str">
        <f>Tabela!A17</f>
        <v>Taxa Transação</v>
      </c>
      <c r="H17" s="43" t="str">
        <f>Tabela!B17</f>
        <v>CETIP</v>
      </c>
      <c r="J17" s="98" t="str">
        <f>G8</f>
        <v>Manuntenção Conta Vinculada</v>
      </c>
      <c r="K17" s="98" t="str">
        <f t="shared" si="0"/>
        <v>Manuntenção Conta Vinculada</v>
      </c>
    </row>
    <row r="18" spans="1:11" ht="17.25" customHeight="1" x14ac:dyDescent="0.3">
      <c r="A18" s="34">
        <v>37344</v>
      </c>
      <c r="C18" s="2" t="s">
        <v>93</v>
      </c>
      <c r="D18" s="2">
        <v>3.0000000000000001E-3</v>
      </c>
      <c r="G18" s="101" t="str">
        <f>Tabela!A18</f>
        <v>Utilização Mensal</v>
      </c>
      <c r="H18" s="43" t="str">
        <f>Tabela!B18</f>
        <v>CETIP</v>
      </c>
      <c r="J18" s="98" t="str">
        <f>G27</f>
        <v>Fiduciário</v>
      </c>
      <c r="K18" s="98" t="str">
        <f t="shared" si="0"/>
        <v>Fiduciário</v>
      </c>
    </row>
    <row r="19" spans="1:11" ht="16.5" customHeight="1" x14ac:dyDescent="0.3">
      <c r="A19" s="34">
        <v>37367</v>
      </c>
      <c r="C19" s="2" t="s">
        <v>94</v>
      </c>
      <c r="D19" s="2">
        <v>3.5999999999999999E-3</v>
      </c>
      <c r="G19" s="101" t="str">
        <f>Tabela!A19</f>
        <v>Módulo de Distribuição de Títulos (MDA)</v>
      </c>
      <c r="H19" s="43" t="str">
        <f>Tabela!B19</f>
        <v>CETIP</v>
      </c>
      <c r="J19" s="100" t="s">
        <v>50</v>
      </c>
      <c r="K19" s="100" t="str">
        <f t="shared" si="0"/>
        <v>Custodiante</v>
      </c>
    </row>
    <row r="20" spans="1:11" ht="17.25" customHeight="1" x14ac:dyDescent="0.3">
      <c r="A20" s="34">
        <v>37377</v>
      </c>
      <c r="C20" s="2" t="s">
        <v>95</v>
      </c>
      <c r="D20" s="2">
        <v>4.1999999999999997E-3</v>
      </c>
      <c r="G20" s="101" t="str">
        <f>Tabela!A20</f>
        <v>Monitoramento</v>
      </c>
      <c r="H20" s="43" t="str">
        <f>Tabela!B20</f>
        <v>Control Union</v>
      </c>
      <c r="J20" s="98" t="str">
        <f>G22</f>
        <v>Agente Registrador</v>
      </c>
      <c r="K20" s="98" t="str">
        <f t="shared" si="0"/>
        <v>Agente Registrador</v>
      </c>
    </row>
    <row r="21" spans="1:11" ht="16.5" customHeight="1" x14ac:dyDescent="0.3">
      <c r="A21" s="34">
        <v>37406</v>
      </c>
      <c r="C21" s="2" t="s">
        <v>96</v>
      </c>
      <c r="D21" s="2">
        <v>4.8999999999999998E-3</v>
      </c>
      <c r="G21" s="101" t="str">
        <f>Tabela!A21</f>
        <v>Distribuição</v>
      </c>
      <c r="H21" s="43" t="str">
        <f>Tabela!B21</f>
        <v>Coordenador Líder</v>
      </c>
      <c r="J21" s="98" t="str">
        <f>G23</f>
        <v>Custódia</v>
      </c>
      <c r="K21" s="98" t="str">
        <f t="shared" si="0"/>
        <v>Custódia</v>
      </c>
    </row>
    <row r="22" spans="1:11" ht="17.25" customHeight="1" x14ac:dyDescent="0.3">
      <c r="A22" s="34">
        <v>37506</v>
      </c>
      <c r="C22" s="2" t="s">
        <v>97</v>
      </c>
      <c r="D22" s="2">
        <v>6.0000000000000001E-3</v>
      </c>
      <c r="G22" s="101" t="str">
        <f>Tabela!A22</f>
        <v>Agente Registrador</v>
      </c>
      <c r="H22" s="43" t="str">
        <f>Tabela!B22</f>
        <v>Custodiante</v>
      </c>
      <c r="J22" s="100" t="s">
        <v>13</v>
      </c>
      <c r="K22" s="100" t="str">
        <f t="shared" si="0"/>
        <v>Escriturador</v>
      </c>
    </row>
    <row r="23" spans="1:11" ht="16.5" customHeight="1" x14ac:dyDescent="0.3">
      <c r="A23" s="34">
        <v>37541</v>
      </c>
      <c r="C23" s="2" t="s">
        <v>98</v>
      </c>
      <c r="D23" s="2">
        <v>6.4999999999999997E-3</v>
      </c>
      <c r="G23" s="101" t="str">
        <f>Tabela!A23</f>
        <v>Custódia</v>
      </c>
      <c r="H23" s="43" t="str">
        <f>Tabela!B23</f>
        <v>Custodiante</v>
      </c>
      <c r="J23" s="98" t="str">
        <f>G25</f>
        <v>Escrituração</v>
      </c>
      <c r="K23" s="98" t="str">
        <f t="shared" si="0"/>
        <v>Escrituração</v>
      </c>
    </row>
    <row r="24" spans="1:11" ht="17.25" customHeight="1" x14ac:dyDescent="0.3">
      <c r="A24" s="34">
        <v>37562</v>
      </c>
      <c r="C24" s="2" t="s">
        <v>99</v>
      </c>
      <c r="D24" s="2">
        <v>7.0000000000000001E-3</v>
      </c>
      <c r="G24" s="101" t="str">
        <f>Tabela!A24</f>
        <v>Registro CVM</v>
      </c>
      <c r="H24" s="43" t="str">
        <f>Tabela!B24</f>
        <v>CVM</v>
      </c>
      <c r="J24" s="98" t="str">
        <f>G26</f>
        <v>Abertura dos Livros Escriturais</v>
      </c>
      <c r="K24" s="98" t="str">
        <f t="shared" si="0"/>
        <v>Abertura dos Livros Escriturais</v>
      </c>
    </row>
    <row r="25" spans="1:11" ht="16.5" customHeight="1" x14ac:dyDescent="0.3">
      <c r="A25" s="34">
        <v>37575</v>
      </c>
      <c r="C25" s="2" t="s">
        <v>100</v>
      </c>
      <c r="D25" s="2">
        <v>7.6E-3</v>
      </c>
      <c r="G25" s="101" t="str">
        <f>Tabela!A25</f>
        <v>Escrituração</v>
      </c>
      <c r="H25" s="43" t="str">
        <f>Tabela!B25</f>
        <v>Escriturador</v>
      </c>
      <c r="J25" s="100" t="s">
        <v>15</v>
      </c>
      <c r="K25" s="100" t="str">
        <f t="shared" si="0"/>
        <v>Rating</v>
      </c>
    </row>
    <row r="26" spans="1:11" ht="17.25" customHeight="1" x14ac:dyDescent="0.3">
      <c r="A26" s="34">
        <v>37615</v>
      </c>
      <c r="C26" s="2" t="s">
        <v>101</v>
      </c>
      <c r="D26" s="2">
        <v>8.2000000000000007E-3</v>
      </c>
      <c r="G26" s="101" t="str">
        <f>Tabela!A26</f>
        <v>Abertura dos Livros Escriturais</v>
      </c>
      <c r="H26" s="43" t="str">
        <f>Tabela!B26</f>
        <v>Escriturador</v>
      </c>
      <c r="J26" s="98" t="str">
        <f>G29</f>
        <v>Rating Emissão</v>
      </c>
      <c r="K26" s="98" t="str">
        <f t="shared" si="0"/>
        <v>Rating Emissão</v>
      </c>
    </row>
    <row r="27" spans="1:11" ht="16.5" customHeight="1" x14ac:dyDescent="0.3">
      <c r="A27" s="34">
        <v>37622</v>
      </c>
      <c r="C27" s="2" t="s">
        <v>102</v>
      </c>
      <c r="D27" s="2">
        <v>9.2999999999999992E-3</v>
      </c>
      <c r="G27" s="101" t="str">
        <f>Tabela!A27</f>
        <v>Fiduciário</v>
      </c>
      <c r="H27" s="43" t="str">
        <f>Tabela!B27</f>
        <v>Fiduciário</v>
      </c>
      <c r="J27" s="98" t="str">
        <f>G30</f>
        <v>Rating Renovação</v>
      </c>
      <c r="K27" s="98" t="str">
        <f t="shared" si="0"/>
        <v>Rating Renovação</v>
      </c>
    </row>
    <row r="28" spans="1:11" ht="17.25" customHeight="1" x14ac:dyDescent="0.3">
      <c r="A28" s="34">
        <v>37683</v>
      </c>
      <c r="C28" s="2" t="s">
        <v>103</v>
      </c>
      <c r="D28" s="2">
        <v>1.0699999999999999E-2</v>
      </c>
      <c r="G28" s="101" t="str">
        <f>Tabela!A28</f>
        <v>Marketing da Distribuição</v>
      </c>
      <c r="H28" s="43" t="str">
        <f>Tabela!B28</f>
        <v>Publicidade</v>
      </c>
      <c r="J28" s="98" t="str">
        <f>G24</f>
        <v>Registro CVM</v>
      </c>
      <c r="K28" s="98" t="str">
        <f t="shared" si="0"/>
        <v>Registro CVM</v>
      </c>
    </row>
    <row r="29" spans="1:11" ht="16.5" customHeight="1" x14ac:dyDescent="0.3">
      <c r="A29" s="34">
        <v>37684</v>
      </c>
      <c r="C29" s="2" t="s">
        <v>104</v>
      </c>
      <c r="D29" s="2">
        <v>1.23E-2</v>
      </c>
      <c r="G29" s="101" t="str">
        <f>Tabela!A29</f>
        <v>Rating Emissão</v>
      </c>
      <c r="H29" s="43" t="str">
        <f>Tabela!B29</f>
        <v>Rating</v>
      </c>
      <c r="J29" s="98" t="str">
        <f>G2</f>
        <v>ANBIMA</v>
      </c>
      <c r="K29" s="98" t="str">
        <f>J29</f>
        <v>ANBIMA</v>
      </c>
    </row>
    <row r="30" spans="1:11" ht="17.25" customHeight="1" x14ac:dyDescent="0.3">
      <c r="A30" s="34">
        <v>37729</v>
      </c>
      <c r="C30" s="2" t="s">
        <v>105</v>
      </c>
      <c r="D30" s="2">
        <v>1.5100000000000001E-2</v>
      </c>
      <c r="G30" s="101" t="str">
        <f>Tabela!A30</f>
        <v>Rating Renovação</v>
      </c>
      <c r="H30" s="43" t="str">
        <f>Tabela!B30</f>
        <v>Rating</v>
      </c>
      <c r="J30" s="98" t="str">
        <f>G28</f>
        <v>Marketing da Distribuição</v>
      </c>
      <c r="K30" s="98" t="str">
        <f>J30</f>
        <v>Marketing da Distribuição</v>
      </c>
    </row>
    <row r="31" spans="1:11" ht="16.5" customHeight="1" x14ac:dyDescent="0.3">
      <c r="A31" s="34">
        <v>37732</v>
      </c>
      <c r="C31" s="2" t="s">
        <v>106</v>
      </c>
      <c r="D31" s="2">
        <v>1.9E-2</v>
      </c>
      <c r="G31" s="101" t="str">
        <f>Tabela!A31</f>
        <v>Emissão</v>
      </c>
      <c r="H31" s="43" t="str">
        <f>Tabela!B31</f>
        <v>Securitizadora</v>
      </c>
      <c r="J31" s="100" t="s">
        <v>40</v>
      </c>
      <c r="K31" s="100" t="str">
        <f t="shared" si="0"/>
        <v>CETIP</v>
      </c>
    </row>
    <row r="32" spans="1:11" ht="17.25" customHeight="1" x14ac:dyDescent="0.3">
      <c r="A32" s="34">
        <v>37742</v>
      </c>
      <c r="C32" s="2" t="s">
        <v>107</v>
      </c>
      <c r="D32" s="2">
        <v>2.35E-2</v>
      </c>
      <c r="G32" s="101" t="str">
        <f>Tabela!A32</f>
        <v>Estruturação</v>
      </c>
      <c r="H32" s="43" t="str">
        <f>Tabela!B32</f>
        <v>Securitizadora</v>
      </c>
      <c r="J32" s="98" t="str">
        <f>G9</f>
        <v>Pré-Registro  CR</v>
      </c>
      <c r="K32" s="98" t="str">
        <f>J32</f>
        <v>Pré-Registro  CR</v>
      </c>
    </row>
    <row r="33" spans="1:11" ht="16.5" customHeight="1" x14ac:dyDescent="0.3">
      <c r="A33" s="34">
        <v>37791</v>
      </c>
      <c r="C33" s="2" t="s">
        <v>108</v>
      </c>
      <c r="D33" s="2">
        <v>2.9000000000000001E-2</v>
      </c>
      <c r="G33" s="101" t="str">
        <f>Tabela!A33</f>
        <v>Taxa de gestão</v>
      </c>
      <c r="H33" s="43" t="str">
        <f>Tabela!B33</f>
        <v>Securitizadora</v>
      </c>
      <c r="J33" s="98" t="str">
        <f>G10</f>
        <v>Registro CR</v>
      </c>
      <c r="K33" s="98" t="str">
        <f>J33</f>
        <v>Registro CR</v>
      </c>
    </row>
    <row r="34" spans="1:11" ht="17.25" customHeight="1" x14ac:dyDescent="0.3">
      <c r="A34" s="34">
        <v>37871</v>
      </c>
      <c r="C34" s="2" t="s">
        <v>109</v>
      </c>
      <c r="D34" s="2">
        <v>3.7100000000000001E-2</v>
      </c>
      <c r="G34" s="101" t="str">
        <f>Tabela!A34</f>
        <v>Servicer</v>
      </c>
      <c r="H34" s="43" t="str">
        <f>Tabela!B34</f>
        <v>Servicer</v>
      </c>
      <c r="J34" s="98" t="str">
        <f>G13</f>
        <v>Registro CCI</v>
      </c>
      <c r="K34" s="98" t="str">
        <f>G11</f>
        <v>Pré-Registro  CDCA</v>
      </c>
    </row>
    <row r="35" spans="1:11" ht="16.5" customHeight="1" x14ac:dyDescent="0.3">
      <c r="A35" s="34">
        <v>37906</v>
      </c>
      <c r="C35" s="2" t="s">
        <v>110</v>
      </c>
      <c r="D35" s="2">
        <v>4.4999999999999998E-2</v>
      </c>
      <c r="G35" s="101" t="str">
        <f>Tabela!A35</f>
        <v>Originador CCB</v>
      </c>
      <c r="H35" s="43" t="str">
        <f>Tabela!B35</f>
        <v>Cia Hipotecária</v>
      </c>
      <c r="J35" s="98" t="str">
        <f>G14</f>
        <v>Carta de Titularidade</v>
      </c>
      <c r="K35" s="98" t="str">
        <f>G12</f>
        <v>Registro CDCA</v>
      </c>
    </row>
    <row r="36" spans="1:11" ht="17.25" customHeight="1" x14ac:dyDescent="0.3">
      <c r="A36" s="34">
        <v>37927</v>
      </c>
      <c r="C36" s="2" t="s">
        <v>111</v>
      </c>
      <c r="D36" s="2">
        <v>5.3999999999999999E-2</v>
      </c>
      <c r="J36" s="98" t="str">
        <f>G16</f>
        <v>Pré-Registro Debênture</v>
      </c>
      <c r="K36" s="98" t="str">
        <f>G15</f>
        <v>Pré Registro CPR/NCR/CRP</v>
      </c>
    </row>
    <row r="37" spans="1:11" ht="16.5" customHeight="1" x14ac:dyDescent="0.3">
      <c r="A37" s="34">
        <v>37940</v>
      </c>
      <c r="C37" s="2" t="s">
        <v>112</v>
      </c>
      <c r="D37" s="2">
        <v>6.5000000000000002E-2</v>
      </c>
      <c r="J37" s="98" t="str">
        <f>G17</f>
        <v>Taxa Transação</v>
      </c>
      <c r="K37" s="98" t="str">
        <f>G16</f>
        <v>Pré-Registro Debênture</v>
      </c>
    </row>
    <row r="38" spans="1:11" ht="17.25" customHeight="1" x14ac:dyDescent="0.3">
      <c r="A38" s="34">
        <v>37980</v>
      </c>
      <c r="C38" s="2" t="s">
        <v>113</v>
      </c>
      <c r="D38" s="2">
        <v>8.0399999999999999E-2</v>
      </c>
      <c r="J38" s="98" t="str">
        <f>G18</f>
        <v>Utilização Mensal</v>
      </c>
      <c r="K38" s="98" t="str">
        <f>G17</f>
        <v>Taxa Transação</v>
      </c>
    </row>
    <row r="39" spans="1:11" ht="16.5" customHeight="1" x14ac:dyDescent="0.3">
      <c r="A39" s="34">
        <v>37987</v>
      </c>
      <c r="C39" s="2" t="s">
        <v>114</v>
      </c>
      <c r="D39" s="2">
        <v>9.7900000000000001E-2</v>
      </c>
      <c r="J39" s="98" t="str">
        <f>G19</f>
        <v>Módulo de Distribuição de Títulos (MDA)</v>
      </c>
      <c r="K39" s="98" t="str">
        <f>G18</f>
        <v>Utilização Mensal</v>
      </c>
    </row>
    <row r="40" spans="1:11" ht="17.25" customHeight="1" x14ac:dyDescent="0.3">
      <c r="A40" s="34">
        <v>38040</v>
      </c>
      <c r="C40" s="2" t="s">
        <v>115</v>
      </c>
      <c r="D40" s="2">
        <v>0.122</v>
      </c>
      <c r="J40" s="98" t="s">
        <v>30</v>
      </c>
      <c r="K40" s="98" t="str">
        <f>G19</f>
        <v>Módulo de Distribuição de Títulos (MDA)</v>
      </c>
    </row>
    <row r="41" spans="1:11" ht="16.5" customHeight="1" x14ac:dyDescent="0.3">
      <c r="A41" s="34">
        <v>38041</v>
      </c>
      <c r="C41" s="2" t="s">
        <v>116</v>
      </c>
      <c r="D41" s="2">
        <v>0.15290000000000001</v>
      </c>
    </row>
    <row r="42" spans="1:11" ht="17.25" customHeight="1" x14ac:dyDescent="0.3">
      <c r="A42" s="34">
        <v>38086</v>
      </c>
      <c r="C42" s="2" t="s">
        <v>117</v>
      </c>
      <c r="D42" s="2">
        <v>0.1938</v>
      </c>
    </row>
    <row r="43" spans="1:11" ht="16.5" customHeight="1" x14ac:dyDescent="0.3">
      <c r="A43" s="34">
        <v>38098</v>
      </c>
      <c r="C43" s="2" t="s">
        <v>118</v>
      </c>
      <c r="D43" s="2">
        <v>0.2392</v>
      </c>
    </row>
    <row r="44" spans="1:11" ht="17.25" customHeight="1" x14ac:dyDescent="0.3">
      <c r="A44" s="34">
        <v>38108</v>
      </c>
      <c r="C44" s="2" t="s">
        <v>119</v>
      </c>
      <c r="D44" s="2">
        <v>0.29909999999999998</v>
      </c>
    </row>
    <row r="45" spans="1:11" ht="16.5" customHeight="1" x14ac:dyDescent="0.3">
      <c r="A45" s="34">
        <v>38148</v>
      </c>
      <c r="C45" s="2" t="s">
        <v>120</v>
      </c>
      <c r="D45" s="2">
        <v>0.37640000000000001</v>
      </c>
    </row>
    <row r="46" spans="1:11" ht="17.25" customHeight="1" x14ac:dyDescent="0.3">
      <c r="A46" s="34">
        <v>38237</v>
      </c>
      <c r="C46" s="2" t="s">
        <v>121</v>
      </c>
      <c r="D46" s="2">
        <v>0.48330000000000001</v>
      </c>
    </row>
    <row r="47" spans="1:11" ht="16.5" customHeight="1" x14ac:dyDescent="0.3">
      <c r="A47" s="34">
        <v>38272</v>
      </c>
      <c r="C47" s="2" t="s">
        <v>122</v>
      </c>
      <c r="D47" s="2">
        <v>0.61019999999999996</v>
      </c>
    </row>
    <row r="48" spans="1:11" ht="17.25" customHeight="1" x14ac:dyDescent="0.3">
      <c r="A48" s="34">
        <v>38293</v>
      </c>
      <c r="C48" s="2" t="s">
        <v>123</v>
      </c>
      <c r="D48" s="2">
        <v>0.78620000000000001</v>
      </c>
    </row>
    <row r="49" spans="1:4" ht="16.5" customHeight="1" x14ac:dyDescent="0.3">
      <c r="A49" s="34">
        <v>38306</v>
      </c>
      <c r="C49" s="2" t="s">
        <v>124</v>
      </c>
      <c r="D49" s="2">
        <v>1.0197000000000001</v>
      </c>
    </row>
    <row r="50" spans="1:4" ht="17.25" customHeight="1" x14ac:dyDescent="0.3">
      <c r="A50" s="34">
        <v>38346</v>
      </c>
      <c r="C50" s="2" t="s">
        <v>125</v>
      </c>
      <c r="D50" s="2">
        <v>1.3408</v>
      </c>
    </row>
    <row r="51" spans="1:4" ht="16.5" customHeight="1" x14ac:dyDescent="0.3">
      <c r="A51" s="34">
        <v>38353</v>
      </c>
      <c r="C51" s="2" t="s">
        <v>126</v>
      </c>
      <c r="D51" s="2">
        <v>1.7599</v>
      </c>
    </row>
    <row r="52" spans="1:4" ht="17.25" customHeight="1" x14ac:dyDescent="0.3">
      <c r="A52" s="34">
        <v>38390</v>
      </c>
      <c r="C52" s="2" t="s">
        <v>127</v>
      </c>
      <c r="D52" s="2">
        <v>2.3191999999999999</v>
      </c>
    </row>
    <row r="53" spans="1:4" ht="16.5" customHeight="1" x14ac:dyDescent="0.3">
      <c r="A53" s="34">
        <v>38391</v>
      </c>
      <c r="C53" s="2" t="s">
        <v>128</v>
      </c>
      <c r="D53" s="2">
        <v>3.1375000000000002</v>
      </c>
    </row>
    <row r="54" spans="1:4" ht="17.25" customHeight="1" x14ac:dyDescent="0.3">
      <c r="A54" s="34">
        <v>38436</v>
      </c>
      <c r="C54" s="2" t="s">
        <v>129</v>
      </c>
      <c r="D54" s="2">
        <v>4.2367999999999997</v>
      </c>
    </row>
    <row r="55" spans="1:4" ht="16.5" customHeight="1" x14ac:dyDescent="0.3">
      <c r="A55" s="34">
        <v>38463</v>
      </c>
      <c r="C55" s="2" t="s">
        <v>130</v>
      </c>
      <c r="D55" s="2">
        <v>5.7685000000000004</v>
      </c>
    </row>
    <row r="56" spans="1:4" ht="17.25" customHeight="1" x14ac:dyDescent="0.3">
      <c r="A56" s="34">
        <v>38473</v>
      </c>
      <c r="C56" s="2" t="s">
        <v>131</v>
      </c>
      <c r="D56" s="2">
        <v>7.9793000000000003</v>
      </c>
    </row>
    <row r="57" spans="1:4" ht="16.5" customHeight="1" x14ac:dyDescent="0.3">
      <c r="A57" s="34">
        <v>38498</v>
      </c>
      <c r="C57" s="2" t="s">
        <v>132</v>
      </c>
      <c r="D57" s="2">
        <v>11.0968</v>
      </c>
    </row>
    <row r="58" spans="1:4" ht="17.25" customHeight="1" x14ac:dyDescent="0.3">
      <c r="A58" s="34">
        <v>38602</v>
      </c>
      <c r="C58" s="2" t="s">
        <v>133</v>
      </c>
      <c r="D58" s="2">
        <v>15.6219</v>
      </c>
    </row>
    <row r="59" spans="1:4" ht="16.5" customHeight="1" x14ac:dyDescent="0.3">
      <c r="A59" s="34">
        <v>38637</v>
      </c>
      <c r="C59" s="2" t="s">
        <v>134</v>
      </c>
      <c r="D59" s="2">
        <v>22.762799999999999</v>
      </c>
    </row>
    <row r="60" spans="1:4" ht="17.25" customHeight="1" x14ac:dyDescent="0.3">
      <c r="A60" s="34">
        <v>38658</v>
      </c>
      <c r="C60" s="2" t="s">
        <v>135</v>
      </c>
      <c r="D60" s="2">
        <v>32.0749</v>
      </c>
    </row>
    <row r="61" spans="1:4" ht="16.5" customHeight="1" x14ac:dyDescent="0.3">
      <c r="A61" s="34">
        <v>38671</v>
      </c>
      <c r="C61" s="2" t="s">
        <v>136</v>
      </c>
      <c r="D61" s="2">
        <v>45.7316</v>
      </c>
    </row>
    <row r="62" spans="1:4" ht="17.25" customHeight="1" x14ac:dyDescent="0.3">
      <c r="A62" s="34">
        <v>38711</v>
      </c>
      <c r="C62" s="2" t="s">
        <v>137</v>
      </c>
      <c r="D62" s="2">
        <v>66.408199999999994</v>
      </c>
    </row>
    <row r="63" spans="1:4" ht="16.5" customHeight="1" x14ac:dyDescent="0.3">
      <c r="A63" s="34">
        <v>38718</v>
      </c>
      <c r="C63" s="2" t="s">
        <v>138</v>
      </c>
      <c r="D63" s="2">
        <v>92.968400000000003</v>
      </c>
    </row>
    <row r="64" spans="1:4" ht="17.25" customHeight="1" x14ac:dyDescent="0.3">
      <c r="A64" s="34">
        <v>38775</v>
      </c>
      <c r="C64" s="2" t="s">
        <v>139</v>
      </c>
      <c r="D64" s="2">
        <v>100</v>
      </c>
    </row>
    <row r="65" spans="1:4" ht="16.5" customHeight="1" x14ac:dyDescent="0.3">
      <c r="A65" s="34">
        <v>38776</v>
      </c>
      <c r="C65" s="2" t="s">
        <v>140</v>
      </c>
      <c r="D65" s="2">
        <v>101.751</v>
      </c>
    </row>
    <row r="66" spans="1:4" ht="17.25" customHeight="1" x14ac:dyDescent="0.3">
      <c r="A66" s="34">
        <v>38821</v>
      </c>
      <c r="C66" s="2" t="s">
        <v>141</v>
      </c>
      <c r="D66" s="2">
        <v>103.602</v>
      </c>
    </row>
    <row r="67" spans="1:4" ht="16.5" customHeight="1" x14ac:dyDescent="0.3">
      <c r="A67" s="34">
        <v>38828</v>
      </c>
      <c r="C67" s="2" t="s">
        <v>142</v>
      </c>
      <c r="D67" s="2">
        <v>106.553</v>
      </c>
    </row>
    <row r="68" spans="1:4" ht="17.25" customHeight="1" x14ac:dyDescent="0.3">
      <c r="A68" s="34">
        <v>38838</v>
      </c>
      <c r="C68" s="2" t="s">
        <v>143</v>
      </c>
      <c r="D68" s="2">
        <v>107.45</v>
      </c>
    </row>
    <row r="69" spans="1:4" ht="16.5" customHeight="1" x14ac:dyDescent="0.3">
      <c r="A69" s="34">
        <v>38883</v>
      </c>
      <c r="C69" s="2" t="s">
        <v>144</v>
      </c>
      <c r="D69" s="2">
        <v>108.44199999999999</v>
      </c>
    </row>
    <row r="70" spans="1:4" ht="17.25" customHeight="1" x14ac:dyDescent="0.3">
      <c r="A70" s="34">
        <v>38967</v>
      </c>
      <c r="C70" s="2" t="s">
        <v>145</v>
      </c>
      <c r="D70" s="2">
        <v>109.94499999999999</v>
      </c>
    </row>
    <row r="71" spans="1:4" ht="16.5" customHeight="1" x14ac:dyDescent="0.3">
      <c r="A71" s="34">
        <v>39002</v>
      </c>
      <c r="C71" s="2" t="s">
        <v>146</v>
      </c>
      <c r="D71" s="2">
        <v>111.178</v>
      </c>
    </row>
    <row r="72" spans="1:4" ht="17.25" customHeight="1" x14ac:dyDescent="0.3">
      <c r="A72" s="34">
        <v>39023</v>
      </c>
      <c r="C72" s="2" t="s">
        <v>147</v>
      </c>
      <c r="D72" s="2">
        <v>113.518</v>
      </c>
    </row>
    <row r="73" spans="1:4" ht="16.5" customHeight="1" x14ac:dyDescent="0.3">
      <c r="A73" s="34">
        <v>39036</v>
      </c>
      <c r="C73" s="2" t="s">
        <v>148</v>
      </c>
      <c r="D73" s="2">
        <v>114.17100000000001</v>
      </c>
    </row>
    <row r="74" spans="1:4" ht="17.25" customHeight="1" x14ac:dyDescent="0.3">
      <c r="A74" s="34">
        <v>39076</v>
      </c>
      <c r="C74" s="2" t="s">
        <v>149</v>
      </c>
      <c r="D74" s="2">
        <v>116.98399999999999</v>
      </c>
    </row>
    <row r="75" spans="1:4" ht="16.5" customHeight="1" x14ac:dyDescent="0.3">
      <c r="A75" s="34">
        <v>39083</v>
      </c>
      <c r="C75" s="2" t="s">
        <v>150</v>
      </c>
      <c r="D75" s="2">
        <v>119.114</v>
      </c>
    </row>
    <row r="76" spans="1:4" ht="17.25" customHeight="1" x14ac:dyDescent="0.3">
      <c r="A76" s="34">
        <v>39132</v>
      </c>
      <c r="C76" s="2" t="s">
        <v>151</v>
      </c>
      <c r="D76" s="2">
        <v>121.729</v>
      </c>
    </row>
    <row r="77" spans="1:4" ht="16.5" customHeight="1" x14ac:dyDescent="0.3">
      <c r="A77" s="34">
        <v>39133</v>
      </c>
      <c r="C77" s="2" t="s">
        <v>152</v>
      </c>
      <c r="D77" s="2">
        <v>120.869</v>
      </c>
    </row>
    <row r="78" spans="1:4" ht="17.25" customHeight="1" x14ac:dyDescent="0.3">
      <c r="A78" s="34">
        <v>39178</v>
      </c>
      <c r="C78" s="2" t="s">
        <v>153</v>
      </c>
      <c r="D78" s="2">
        <v>121.503</v>
      </c>
    </row>
    <row r="79" spans="1:4" ht="16.5" customHeight="1" x14ac:dyDescent="0.3">
      <c r="A79" s="34">
        <v>39193</v>
      </c>
      <c r="C79" s="2" t="s">
        <v>154</v>
      </c>
      <c r="D79" s="2">
        <v>122.955</v>
      </c>
    </row>
    <row r="80" spans="1:4" ht="17.25" customHeight="1" x14ac:dyDescent="0.3">
      <c r="A80" s="34">
        <v>39203</v>
      </c>
      <c r="C80" s="2" t="s">
        <v>155</v>
      </c>
      <c r="D80" s="2">
        <v>123.833</v>
      </c>
    </row>
    <row r="81" spans="1:4" ht="16.5" customHeight="1" x14ac:dyDescent="0.3">
      <c r="A81" s="34">
        <v>39240</v>
      </c>
      <c r="C81" s="2" t="s">
        <v>156</v>
      </c>
      <c r="D81" s="2">
        <v>125.977</v>
      </c>
    </row>
    <row r="82" spans="1:4" ht="17.25" customHeight="1" x14ac:dyDescent="0.3">
      <c r="A82" s="34">
        <v>39332</v>
      </c>
      <c r="C82" s="2" t="s">
        <v>157</v>
      </c>
      <c r="D82" s="2">
        <v>127.202</v>
      </c>
    </row>
    <row r="83" spans="1:4" ht="16.5" customHeight="1" x14ac:dyDescent="0.3">
      <c r="A83" s="34">
        <v>39367</v>
      </c>
      <c r="C83" s="2" t="s">
        <v>158</v>
      </c>
      <c r="D83" s="2">
        <v>127.715</v>
      </c>
    </row>
    <row r="84" spans="1:4" ht="17.25" customHeight="1" x14ac:dyDescent="0.3">
      <c r="A84" s="34">
        <v>39388</v>
      </c>
      <c r="C84" s="2" t="s">
        <v>159</v>
      </c>
      <c r="D84" s="2">
        <v>128.13</v>
      </c>
    </row>
    <row r="85" spans="1:4" ht="16.5" customHeight="1" x14ac:dyDescent="0.3">
      <c r="A85" s="34">
        <v>39401</v>
      </c>
      <c r="C85" s="2" t="s">
        <v>160</v>
      </c>
      <c r="D85" s="2">
        <v>130.12100000000001</v>
      </c>
    </row>
    <row r="86" spans="1:4" ht="17.25" customHeight="1" x14ac:dyDescent="0.3">
      <c r="A86" s="34">
        <v>39441</v>
      </c>
      <c r="C86" s="2" t="s">
        <v>161</v>
      </c>
      <c r="D86" s="2">
        <v>131.44499999999999</v>
      </c>
    </row>
    <row r="87" spans="1:4" ht="16.5" customHeight="1" x14ac:dyDescent="0.3">
      <c r="A87" s="34">
        <v>39448</v>
      </c>
      <c r="C87" s="2" t="s">
        <v>162</v>
      </c>
      <c r="D87" s="2">
        <v>133.21299999999999</v>
      </c>
    </row>
    <row r="88" spans="1:4" ht="17.25" customHeight="1" x14ac:dyDescent="0.3">
      <c r="A88" s="34">
        <v>39482</v>
      </c>
      <c r="C88" s="2" t="s">
        <v>163</v>
      </c>
      <c r="D88" s="2">
        <v>133.58699999999999</v>
      </c>
    </row>
    <row r="89" spans="1:4" ht="16.5" customHeight="1" x14ac:dyDescent="0.3">
      <c r="A89" s="34">
        <v>39483</v>
      </c>
      <c r="C89" s="2" t="s">
        <v>164</v>
      </c>
      <c r="D89" s="2">
        <v>133.72200000000001</v>
      </c>
    </row>
    <row r="90" spans="1:4" ht="17.25" customHeight="1" x14ac:dyDescent="0.3">
      <c r="A90" s="34">
        <v>39528</v>
      </c>
      <c r="C90" s="2" t="s">
        <v>165</v>
      </c>
      <c r="D90" s="2">
        <v>133.97800000000001</v>
      </c>
    </row>
    <row r="91" spans="1:4" ht="16.5" customHeight="1" x14ac:dyDescent="0.3">
      <c r="A91" s="34">
        <v>39559</v>
      </c>
      <c r="C91" s="2" t="s">
        <v>166</v>
      </c>
      <c r="D91" s="2">
        <v>134.24199999999999</v>
      </c>
    </row>
    <row r="92" spans="1:4" ht="17.25" customHeight="1" x14ac:dyDescent="0.3">
      <c r="A92" s="34">
        <v>39569</v>
      </c>
      <c r="C92" s="2" t="s">
        <v>167</v>
      </c>
      <c r="D92" s="2">
        <v>135.22499999999999</v>
      </c>
    </row>
    <row r="93" spans="1:4" ht="16.5" customHeight="1" x14ac:dyDescent="0.3">
      <c r="A93" s="34">
        <v>39590</v>
      </c>
      <c r="C93" s="2" t="s">
        <v>168</v>
      </c>
      <c r="D93" s="2">
        <v>137.613</v>
      </c>
    </row>
    <row r="94" spans="1:4" ht="17.25" customHeight="1" x14ac:dyDescent="0.3">
      <c r="A94" s="34">
        <v>39698</v>
      </c>
      <c r="C94" s="2" t="s">
        <v>169</v>
      </c>
      <c r="D94" s="2">
        <v>138.20400000000001</v>
      </c>
    </row>
    <row r="95" spans="1:4" ht="16.5" customHeight="1" x14ac:dyDescent="0.3">
      <c r="A95" s="34">
        <v>39733</v>
      </c>
      <c r="C95" s="2" t="s">
        <v>170</v>
      </c>
      <c r="D95" s="2">
        <v>139.79499999999999</v>
      </c>
    </row>
    <row r="96" spans="1:4" ht="17.25" customHeight="1" x14ac:dyDescent="0.3">
      <c r="A96" s="34">
        <v>39754</v>
      </c>
      <c r="C96" s="2" t="s">
        <v>171</v>
      </c>
      <c r="D96" s="2">
        <v>140.74199999999999</v>
      </c>
    </row>
    <row r="97" spans="1:4" ht="16.5" customHeight="1" x14ac:dyDescent="0.3">
      <c r="A97" s="34">
        <v>39767</v>
      </c>
      <c r="C97" s="2" t="s">
        <v>172</v>
      </c>
      <c r="D97" s="2">
        <v>141.04</v>
      </c>
    </row>
    <row r="98" spans="1:4" ht="17.25" customHeight="1" x14ac:dyDescent="0.3">
      <c r="A98" s="34">
        <v>39807</v>
      </c>
      <c r="C98" s="2" t="s">
        <v>173</v>
      </c>
      <c r="D98" s="2">
        <v>142.09</v>
      </c>
    </row>
    <row r="99" spans="1:4" ht="16.5" customHeight="1" x14ac:dyDescent="0.3">
      <c r="A99" s="34">
        <v>39814</v>
      </c>
      <c r="C99" s="2" t="s">
        <v>174</v>
      </c>
      <c r="D99" s="2">
        <v>142.221</v>
      </c>
    </row>
    <row r="100" spans="1:4" ht="17.25" customHeight="1" x14ac:dyDescent="0.3">
      <c r="A100" s="34">
        <v>39867</v>
      </c>
      <c r="C100" s="2" t="s">
        <v>175</v>
      </c>
      <c r="D100" s="2">
        <v>142.35300000000001</v>
      </c>
    </row>
    <row r="101" spans="1:4" ht="16.5" customHeight="1" x14ac:dyDescent="0.3">
      <c r="A101" s="34">
        <v>39868</v>
      </c>
      <c r="C101" s="2" t="s">
        <v>176</v>
      </c>
      <c r="D101" s="2">
        <v>143.042</v>
      </c>
    </row>
    <row r="102" spans="1:4" ht="17.25" customHeight="1" x14ac:dyDescent="0.3">
      <c r="A102" s="34">
        <v>39913</v>
      </c>
      <c r="C102" s="2" t="s">
        <v>177</v>
      </c>
      <c r="D102" s="2">
        <v>143.56700000000001</v>
      </c>
    </row>
    <row r="103" spans="1:4" ht="16.5" customHeight="1" x14ac:dyDescent="0.3">
      <c r="A103" s="34">
        <v>39924</v>
      </c>
      <c r="C103" s="2" t="s">
        <v>178</v>
      </c>
      <c r="D103" s="2">
        <v>144.48099999999999</v>
      </c>
    </row>
    <row r="104" spans="1:4" ht="17.25" customHeight="1" x14ac:dyDescent="0.3">
      <c r="A104" s="34">
        <v>39934</v>
      </c>
      <c r="C104" s="2" t="s">
        <v>179</v>
      </c>
      <c r="D104" s="2">
        <v>145.69499999999999</v>
      </c>
    </row>
    <row r="105" spans="1:4" ht="16.5" customHeight="1" x14ac:dyDescent="0.3">
      <c r="A105" s="34">
        <v>39975</v>
      </c>
      <c r="C105" s="2" t="s">
        <v>180</v>
      </c>
      <c r="D105" s="2">
        <v>147.09100000000001</v>
      </c>
    </row>
    <row r="106" spans="1:4" ht="17.25" customHeight="1" x14ac:dyDescent="0.3">
      <c r="A106" s="34">
        <v>40063</v>
      </c>
      <c r="C106" s="2" t="s">
        <v>181</v>
      </c>
      <c r="D106" s="2">
        <v>147.35599999999999</v>
      </c>
    </row>
    <row r="107" spans="1:4" ht="16.5" customHeight="1" x14ac:dyDescent="0.3">
      <c r="A107" s="34">
        <v>40098</v>
      </c>
      <c r="C107" s="2" t="s">
        <v>182</v>
      </c>
      <c r="D107" s="2">
        <v>147.63499999999999</v>
      </c>
    </row>
    <row r="108" spans="1:4" ht="17.25" customHeight="1" x14ac:dyDescent="0.3">
      <c r="A108" s="34">
        <v>40119</v>
      </c>
      <c r="C108" s="2" t="s">
        <v>183</v>
      </c>
      <c r="D108" s="2">
        <v>147.821</v>
      </c>
    </row>
    <row r="109" spans="1:4" ht="16.5" customHeight="1" x14ac:dyDescent="0.3">
      <c r="A109" s="34">
        <v>40132</v>
      </c>
      <c r="C109" s="2" t="s">
        <v>184</v>
      </c>
      <c r="D109" s="2">
        <v>148.02099999999999</v>
      </c>
    </row>
    <row r="110" spans="1:4" ht="17.25" customHeight="1" x14ac:dyDescent="0.3">
      <c r="A110" s="34">
        <v>40172</v>
      </c>
      <c r="C110" s="2" t="s">
        <v>185</v>
      </c>
      <c r="D110" s="2">
        <v>148.58799999999999</v>
      </c>
    </row>
    <row r="111" spans="1:4" ht="16.5" customHeight="1" x14ac:dyDescent="0.3">
      <c r="A111" s="34">
        <v>40179</v>
      </c>
      <c r="C111" s="2" t="s">
        <v>186</v>
      </c>
      <c r="D111" s="2">
        <v>148.339</v>
      </c>
    </row>
    <row r="112" spans="1:4" ht="17.25" customHeight="1" x14ac:dyDescent="0.3">
      <c r="A112" s="34">
        <v>40224</v>
      </c>
      <c r="C112" s="2" t="s">
        <v>187</v>
      </c>
      <c r="D112" s="2">
        <v>148.10900000000001</v>
      </c>
    </row>
    <row r="113" spans="1:4" ht="16.5" customHeight="1" x14ac:dyDescent="0.3">
      <c r="A113" s="34">
        <v>40225</v>
      </c>
      <c r="C113" s="2" t="s">
        <v>188</v>
      </c>
      <c r="D113" s="2">
        <v>147.98400000000001</v>
      </c>
    </row>
    <row r="114" spans="1:4" ht="17.25" customHeight="1" x14ac:dyDescent="0.3">
      <c r="A114" s="34">
        <v>40270</v>
      </c>
      <c r="C114" s="2" t="s">
        <v>189</v>
      </c>
      <c r="D114" s="2">
        <v>148.1</v>
      </c>
    </row>
    <row r="115" spans="1:4" ht="16.5" customHeight="1" x14ac:dyDescent="0.3">
      <c r="A115" s="34">
        <v>40289</v>
      </c>
      <c r="C115" s="2" t="s">
        <v>190</v>
      </c>
      <c r="D115" s="2">
        <v>147.62799999999999</v>
      </c>
    </row>
    <row r="116" spans="1:4" ht="17.25" customHeight="1" x14ac:dyDescent="0.3">
      <c r="A116" s="34">
        <v>40299</v>
      </c>
      <c r="C116" s="2" t="s">
        <v>191</v>
      </c>
      <c r="D116" s="2">
        <v>148.291</v>
      </c>
    </row>
    <row r="117" spans="1:4" ht="16.5" customHeight="1" x14ac:dyDescent="0.3">
      <c r="A117" s="34">
        <v>40332</v>
      </c>
      <c r="C117" s="2" t="s">
        <v>192</v>
      </c>
      <c r="D117" s="2">
        <v>149.53299999999999</v>
      </c>
    </row>
    <row r="118" spans="1:4" ht="17.25" customHeight="1" x14ac:dyDescent="0.3">
      <c r="A118" s="34">
        <v>40428</v>
      </c>
      <c r="C118" s="2" t="s">
        <v>193</v>
      </c>
      <c r="D118" s="2">
        <v>154.93299999999999</v>
      </c>
    </row>
    <row r="119" spans="1:4" ht="16.5" customHeight="1" x14ac:dyDescent="0.3">
      <c r="A119" s="34">
        <v>40463</v>
      </c>
      <c r="C119" s="2" t="s">
        <v>194</v>
      </c>
      <c r="D119" s="2">
        <v>159.32499999999999</v>
      </c>
    </row>
    <row r="120" spans="1:4" ht="17.25" customHeight="1" x14ac:dyDescent="0.3">
      <c r="A120" s="34">
        <v>40484</v>
      </c>
      <c r="C120" s="2" t="s">
        <v>195</v>
      </c>
      <c r="D120" s="2">
        <v>160.459</v>
      </c>
    </row>
    <row r="121" spans="1:4" ht="16.5" customHeight="1" x14ac:dyDescent="0.3">
      <c r="A121" s="34">
        <v>40497</v>
      </c>
      <c r="C121" s="2" t="s">
        <v>196</v>
      </c>
      <c r="D121" s="2">
        <v>159.99600000000001</v>
      </c>
    </row>
    <row r="122" spans="1:4" ht="17.25" customHeight="1" x14ac:dyDescent="0.3">
      <c r="A122" s="34">
        <v>40537</v>
      </c>
      <c r="C122" s="2" t="s">
        <v>197</v>
      </c>
      <c r="D122" s="2">
        <v>160.57300000000001</v>
      </c>
    </row>
    <row r="123" spans="1:4" ht="16.5" customHeight="1" x14ac:dyDescent="0.3">
      <c r="A123" s="34">
        <v>40544</v>
      </c>
      <c r="C123" s="2" t="s">
        <v>198</v>
      </c>
      <c r="D123" s="2">
        <v>163.06</v>
      </c>
    </row>
    <row r="124" spans="1:4" ht="17.25" customHeight="1" x14ac:dyDescent="0.3">
      <c r="A124" s="34">
        <v>40609</v>
      </c>
      <c r="C124" s="2" t="s">
        <v>199</v>
      </c>
      <c r="D124" s="2">
        <v>165.60300000000001</v>
      </c>
    </row>
    <row r="125" spans="1:4" ht="16.5" customHeight="1" x14ac:dyDescent="0.3">
      <c r="A125" s="34">
        <v>40610</v>
      </c>
      <c r="C125" s="2" t="s">
        <v>200</v>
      </c>
      <c r="D125" s="2">
        <v>167.99700000000001</v>
      </c>
    </row>
    <row r="126" spans="1:4" ht="17.25" customHeight="1" x14ac:dyDescent="0.3">
      <c r="A126" s="34">
        <v>40654</v>
      </c>
      <c r="C126" s="2" t="s">
        <v>201</v>
      </c>
      <c r="D126" s="2">
        <v>170.86099999999999</v>
      </c>
    </row>
    <row r="127" spans="1:4" ht="16.5" customHeight="1" x14ac:dyDescent="0.3">
      <c r="A127" s="34">
        <v>40655</v>
      </c>
      <c r="C127" s="2" t="s">
        <v>202</v>
      </c>
      <c r="D127" s="2">
        <v>174.93899999999999</v>
      </c>
    </row>
    <row r="128" spans="1:4" ht="17.25" customHeight="1" x14ac:dyDescent="0.3">
      <c r="A128" s="34">
        <v>40664</v>
      </c>
      <c r="C128" s="2" t="s">
        <v>203</v>
      </c>
      <c r="D128" s="2">
        <v>178.09899999999999</v>
      </c>
    </row>
    <row r="129" spans="1:4" ht="16.5" customHeight="1" x14ac:dyDescent="0.3">
      <c r="A129" s="34">
        <v>40717</v>
      </c>
      <c r="C129" s="2" t="s">
        <v>204</v>
      </c>
      <c r="D129" s="2">
        <v>180.30099999999999</v>
      </c>
    </row>
    <row r="130" spans="1:4" ht="17.25" customHeight="1" x14ac:dyDescent="0.3">
      <c r="A130" s="34">
        <v>40793</v>
      </c>
      <c r="C130" s="2" t="s">
        <v>205</v>
      </c>
      <c r="D130" s="2">
        <v>180.935</v>
      </c>
    </row>
    <row r="131" spans="1:4" ht="16.5" customHeight="1" x14ac:dyDescent="0.3">
      <c r="A131" s="34">
        <v>40828</v>
      </c>
      <c r="C131" s="2" t="s">
        <v>206</v>
      </c>
      <c r="D131" s="2">
        <v>181.214</v>
      </c>
    </row>
    <row r="132" spans="1:4" ht="17.25" customHeight="1" x14ac:dyDescent="0.3">
      <c r="A132" s="34">
        <v>40849</v>
      </c>
      <c r="C132" s="2" t="s">
        <v>207</v>
      </c>
      <c r="D132" s="2">
        <v>181.63499999999999</v>
      </c>
    </row>
    <row r="133" spans="1:4" ht="16.5" customHeight="1" x14ac:dyDescent="0.3">
      <c r="A133" s="34">
        <v>40862</v>
      </c>
      <c r="C133" s="2" t="s">
        <v>208</v>
      </c>
      <c r="D133" s="2">
        <v>182.18899999999999</v>
      </c>
    </row>
    <row r="134" spans="1:4" ht="17.25" customHeight="1" x14ac:dyDescent="0.3">
      <c r="A134" s="34">
        <v>40902</v>
      </c>
      <c r="C134" s="2" t="s">
        <v>209</v>
      </c>
      <c r="D134" s="2">
        <v>183.745</v>
      </c>
    </row>
    <row r="135" spans="1:4" ht="16.5" customHeight="1" x14ac:dyDescent="0.3">
      <c r="A135" s="34">
        <v>40909</v>
      </c>
      <c r="C135" s="2" t="s">
        <v>210</v>
      </c>
      <c r="D135" s="2">
        <v>186.63399999999999</v>
      </c>
    </row>
    <row r="136" spans="1:4" ht="17.25" customHeight="1" x14ac:dyDescent="0.3">
      <c r="A136" s="34">
        <v>40959</v>
      </c>
      <c r="C136" s="2" t="s">
        <v>211</v>
      </c>
      <c r="D136" s="2">
        <v>191.08699999999999</v>
      </c>
    </row>
    <row r="137" spans="1:4" ht="16.5" customHeight="1" x14ac:dyDescent="0.3">
      <c r="A137" s="34">
        <v>40960</v>
      </c>
      <c r="C137" s="2" t="s">
        <v>212</v>
      </c>
      <c r="D137" s="2">
        <v>193.297</v>
      </c>
    </row>
    <row r="138" spans="1:4" ht="17.25" customHeight="1" x14ac:dyDescent="0.3">
      <c r="A138" s="34">
        <v>41005</v>
      </c>
      <c r="C138" s="2" t="s">
        <v>213</v>
      </c>
      <c r="D138" s="2">
        <v>194.04</v>
      </c>
    </row>
    <row r="139" spans="1:4" ht="16.5" customHeight="1" x14ac:dyDescent="0.3">
      <c r="A139" s="34">
        <v>41020</v>
      </c>
      <c r="C139" s="2" t="s">
        <v>214</v>
      </c>
      <c r="D139" s="2">
        <v>194.59899999999999</v>
      </c>
    </row>
    <row r="140" spans="1:4" ht="17.25" customHeight="1" x14ac:dyDescent="0.3">
      <c r="A140" s="34">
        <v>41030</v>
      </c>
      <c r="C140" s="2" t="s">
        <v>215</v>
      </c>
      <c r="D140" s="2">
        <v>195.827</v>
      </c>
    </row>
    <row r="141" spans="1:4" ht="16.5" customHeight="1" x14ac:dyDescent="0.3">
      <c r="A141" s="34">
        <v>41067</v>
      </c>
      <c r="C141" s="2" t="s">
        <v>216</v>
      </c>
      <c r="D141" s="2">
        <v>197.04499999999999</v>
      </c>
    </row>
    <row r="142" spans="1:4" ht="17.25" customHeight="1" x14ac:dyDescent="0.3">
      <c r="A142" s="34">
        <v>41159</v>
      </c>
      <c r="C142" s="2" t="s">
        <v>217</v>
      </c>
      <c r="D142" s="2">
        <v>197.49100000000001</v>
      </c>
    </row>
    <row r="143" spans="1:4" ht="16.5" customHeight="1" x14ac:dyDescent="0.3">
      <c r="A143" s="34">
        <v>41194</v>
      </c>
      <c r="C143" s="2" t="s">
        <v>218</v>
      </c>
      <c r="D143" s="2">
        <v>198.60599999999999</v>
      </c>
    </row>
    <row r="144" spans="1:4" ht="17.25" customHeight="1" x14ac:dyDescent="0.3">
      <c r="A144" s="34">
        <v>41215</v>
      </c>
      <c r="C144" s="2" t="s">
        <v>219</v>
      </c>
      <c r="D144" s="2">
        <v>200.59100000000001</v>
      </c>
    </row>
    <row r="145" spans="1:4" ht="16.5" customHeight="1" x14ac:dyDescent="0.3">
      <c r="A145" s="34">
        <v>41228</v>
      </c>
      <c r="C145" s="2" t="s">
        <v>220</v>
      </c>
      <c r="D145" s="2">
        <v>202.32400000000001</v>
      </c>
    </row>
    <row r="146" spans="1:4" ht="17.25" customHeight="1" x14ac:dyDescent="0.3">
      <c r="A146" s="34">
        <v>41268</v>
      </c>
      <c r="C146" s="2" t="s">
        <v>221</v>
      </c>
      <c r="D146" s="2">
        <v>204.31</v>
      </c>
    </row>
    <row r="147" spans="1:4" ht="16.5" customHeight="1" x14ac:dyDescent="0.3">
      <c r="A147" s="34">
        <v>41275</v>
      </c>
      <c r="C147" s="2" t="s">
        <v>222</v>
      </c>
      <c r="D147" s="2">
        <v>207.34100000000001</v>
      </c>
    </row>
    <row r="148" spans="1:4" ht="17.25" customHeight="1" x14ac:dyDescent="0.3">
      <c r="A148" s="34">
        <v>41316</v>
      </c>
      <c r="C148" s="2" t="s">
        <v>223</v>
      </c>
      <c r="D148" s="2">
        <v>210.21100000000001</v>
      </c>
    </row>
    <row r="149" spans="1:4" ht="16.5" customHeight="1" x14ac:dyDescent="0.3">
      <c r="A149" s="34">
        <v>41317</v>
      </c>
      <c r="C149" s="2" t="s">
        <v>224</v>
      </c>
      <c r="D149" s="2">
        <v>210.85300000000001</v>
      </c>
    </row>
    <row r="150" spans="1:4" ht="17.25" customHeight="1" x14ac:dyDescent="0.3">
      <c r="A150" s="34">
        <v>41362</v>
      </c>
      <c r="C150" s="2" t="s">
        <v>225</v>
      </c>
      <c r="D150" s="2">
        <v>213.339</v>
      </c>
    </row>
    <row r="151" spans="1:4" ht="16.5" customHeight="1" x14ac:dyDescent="0.3">
      <c r="A151" s="34">
        <v>41385</v>
      </c>
      <c r="C151" s="2" t="s">
        <v>226</v>
      </c>
      <c r="D151" s="2">
        <v>215.685</v>
      </c>
    </row>
    <row r="152" spans="1:4" ht="17.25" customHeight="1" x14ac:dyDescent="0.3">
      <c r="A152" s="34">
        <v>41395</v>
      </c>
      <c r="C152" s="2" t="s">
        <v>227</v>
      </c>
      <c r="D152" s="2">
        <v>216.16300000000001</v>
      </c>
    </row>
    <row r="153" spans="1:4" ht="16.5" customHeight="1" x14ac:dyDescent="0.3">
      <c r="A153" s="34">
        <v>41424</v>
      </c>
      <c r="C153" s="2" t="s">
        <v>228</v>
      </c>
      <c r="D153" s="2">
        <v>216.94399999999999</v>
      </c>
    </row>
    <row r="154" spans="1:4" ht="17.25" customHeight="1" x14ac:dyDescent="0.3">
      <c r="A154" s="34">
        <v>41524</v>
      </c>
      <c r="C154" s="2" t="s">
        <v>229</v>
      </c>
      <c r="D154" s="2">
        <v>217.07400000000001</v>
      </c>
    </row>
    <row r="155" spans="1:4" ht="16.5" customHeight="1" x14ac:dyDescent="0.3">
      <c r="A155" s="34">
        <v>41559</v>
      </c>
      <c r="C155" s="2" t="s">
        <v>230</v>
      </c>
      <c r="D155" s="2">
        <v>217.27600000000001</v>
      </c>
    </row>
    <row r="156" spans="1:4" ht="17.25" customHeight="1" x14ac:dyDescent="0.3">
      <c r="A156" s="34">
        <v>41580</v>
      </c>
      <c r="C156" s="2" t="s">
        <v>231</v>
      </c>
      <c r="D156" s="2">
        <v>218.48599999999999</v>
      </c>
    </row>
    <row r="157" spans="1:4" ht="16.5" customHeight="1" x14ac:dyDescent="0.3">
      <c r="A157" s="34">
        <v>41593</v>
      </c>
      <c r="C157" s="2" t="s">
        <v>232</v>
      </c>
      <c r="D157" s="2">
        <v>220.292</v>
      </c>
    </row>
    <row r="158" spans="1:4" ht="17.25" customHeight="1" x14ac:dyDescent="0.3">
      <c r="A158" s="34">
        <v>41633</v>
      </c>
      <c r="C158" s="2" t="s">
        <v>233</v>
      </c>
      <c r="D158" s="2">
        <v>223.68799999999999</v>
      </c>
    </row>
    <row r="159" spans="1:4" ht="16.5" customHeight="1" x14ac:dyDescent="0.3">
      <c r="A159" s="34">
        <v>41640</v>
      </c>
      <c r="C159" s="2" t="s">
        <v>234</v>
      </c>
      <c r="D159" s="2">
        <v>228.05699999999999</v>
      </c>
    </row>
    <row r="160" spans="1:4" ht="17.25" customHeight="1" x14ac:dyDescent="0.3">
      <c r="A160" s="34">
        <v>41701</v>
      </c>
      <c r="C160" s="2" t="s">
        <v>235</v>
      </c>
      <c r="D160" s="2">
        <v>233.34800000000001</v>
      </c>
    </row>
    <row r="161" spans="1:4" ht="16.5" customHeight="1" x14ac:dyDescent="0.3">
      <c r="A161" s="34">
        <v>41702</v>
      </c>
      <c r="C161" s="2" t="s">
        <v>236</v>
      </c>
      <c r="D161" s="2">
        <v>238.94300000000001</v>
      </c>
    </row>
    <row r="162" spans="1:4" ht="17.25" customHeight="1" x14ac:dyDescent="0.3">
      <c r="A162" s="34">
        <v>41747</v>
      </c>
      <c r="C162" s="2" t="s">
        <v>237</v>
      </c>
      <c r="D162" s="2">
        <v>248.19900000000001</v>
      </c>
    </row>
    <row r="163" spans="1:4" ht="16.5" customHeight="1" x14ac:dyDescent="0.3">
      <c r="A163" s="34">
        <v>41750</v>
      </c>
      <c r="C163" s="2" t="s">
        <v>238</v>
      </c>
      <c r="D163" s="2">
        <v>261.08</v>
      </c>
    </row>
    <row r="164" spans="1:4" ht="17.25" customHeight="1" x14ac:dyDescent="0.3">
      <c r="A164" s="34">
        <v>41760</v>
      </c>
      <c r="C164" s="2" t="s">
        <v>239</v>
      </c>
      <c r="D164" s="2">
        <v>270.86700000000002</v>
      </c>
    </row>
    <row r="165" spans="1:4" ht="16.5" customHeight="1" x14ac:dyDescent="0.3">
      <c r="A165" s="34">
        <v>41809</v>
      </c>
      <c r="C165" s="2" t="s">
        <v>240</v>
      </c>
      <c r="D165" s="2">
        <v>277.173</v>
      </c>
    </row>
    <row r="166" spans="1:4" ht="17.25" customHeight="1" x14ac:dyDescent="0.3">
      <c r="A166" s="34">
        <v>41889</v>
      </c>
      <c r="C166" s="2" t="s">
        <v>241</v>
      </c>
      <c r="D166" s="2">
        <v>283.50599999999997</v>
      </c>
    </row>
    <row r="167" spans="1:4" ht="16.5" customHeight="1" x14ac:dyDescent="0.3">
      <c r="A167" s="34">
        <v>41924</v>
      </c>
      <c r="C167" s="2" t="s">
        <v>242</v>
      </c>
      <c r="D167" s="2">
        <v>287.85500000000002</v>
      </c>
    </row>
    <row r="168" spans="1:4" ht="17.25" customHeight="1" x14ac:dyDescent="0.3">
      <c r="A168" s="34">
        <v>41945</v>
      </c>
      <c r="C168" s="2" t="s">
        <v>243</v>
      </c>
      <c r="D168" s="2">
        <v>290.512</v>
      </c>
    </row>
    <row r="169" spans="1:4" ht="16.5" customHeight="1" x14ac:dyDescent="0.3">
      <c r="A169" s="34">
        <v>41958</v>
      </c>
      <c r="C169" s="2" t="s">
        <v>244</v>
      </c>
      <c r="D169" s="2">
        <v>289.74700000000001</v>
      </c>
    </row>
    <row r="170" spans="1:4" ht="17.25" customHeight="1" x14ac:dyDescent="0.3">
      <c r="A170" s="34">
        <v>41998</v>
      </c>
      <c r="C170" s="2" t="s">
        <v>245</v>
      </c>
      <c r="D170" s="2">
        <v>286.84300000000002</v>
      </c>
    </row>
    <row r="171" spans="1:4" ht="16.5" customHeight="1" x14ac:dyDescent="0.3">
      <c r="A171" s="34">
        <v>42005</v>
      </c>
      <c r="C171" s="2" t="s">
        <v>246</v>
      </c>
      <c r="D171" s="2">
        <v>285.649</v>
      </c>
    </row>
    <row r="172" spans="1:4" ht="17.25" customHeight="1" x14ac:dyDescent="0.3">
      <c r="A172" s="34">
        <v>42051</v>
      </c>
      <c r="C172" s="2" t="s">
        <v>247</v>
      </c>
      <c r="D172" s="2">
        <v>286.73500000000001</v>
      </c>
    </row>
    <row r="173" spans="1:4" ht="16.5" customHeight="1" x14ac:dyDescent="0.3">
      <c r="A173" s="34">
        <v>42052</v>
      </c>
      <c r="C173" s="2" t="s">
        <v>248</v>
      </c>
      <c r="D173" s="2">
        <v>290.12700000000001</v>
      </c>
    </row>
    <row r="174" spans="1:4" ht="17.25" customHeight="1" x14ac:dyDescent="0.3">
      <c r="A174" s="34">
        <v>42097</v>
      </c>
      <c r="C174" s="2" t="s">
        <v>249</v>
      </c>
      <c r="D174" s="2">
        <v>291.22899999999998</v>
      </c>
    </row>
    <row r="175" spans="1:4" ht="16.5" customHeight="1" x14ac:dyDescent="0.3">
      <c r="A175" s="34">
        <v>42115</v>
      </c>
      <c r="C175" s="2" t="s">
        <v>250</v>
      </c>
      <c r="D175" s="2">
        <v>292.65699999999998</v>
      </c>
    </row>
    <row r="176" spans="1:4" ht="17.25" customHeight="1" x14ac:dyDescent="0.3">
      <c r="A176" s="34">
        <v>42125</v>
      </c>
      <c r="C176" s="2" t="s">
        <v>251</v>
      </c>
      <c r="D176" s="2">
        <v>294.45499999999998</v>
      </c>
    </row>
    <row r="177" spans="1:4" ht="16.5" customHeight="1" x14ac:dyDescent="0.3">
      <c r="A177" s="34">
        <v>42159</v>
      </c>
      <c r="C177" s="2" t="s">
        <v>252</v>
      </c>
      <c r="D177" s="2">
        <v>297.03899999999999</v>
      </c>
    </row>
    <row r="178" spans="1:4" ht="17.25" customHeight="1" x14ac:dyDescent="0.3">
      <c r="A178" s="34">
        <v>42254</v>
      </c>
      <c r="C178" s="2" t="s">
        <v>253</v>
      </c>
      <c r="D178" s="2">
        <v>299.09699999999998</v>
      </c>
    </row>
    <row r="179" spans="1:4" ht="16.5" customHeight="1" x14ac:dyDescent="0.3">
      <c r="A179" s="34">
        <v>42289</v>
      </c>
      <c r="C179" s="2" t="s">
        <v>254</v>
      </c>
      <c r="D179" s="2">
        <v>302.48399999999998</v>
      </c>
    </row>
    <row r="180" spans="1:4" ht="17.25" customHeight="1" x14ac:dyDescent="0.3">
      <c r="A180" s="34">
        <v>42310</v>
      </c>
      <c r="C180" s="2" t="s">
        <v>255</v>
      </c>
      <c r="D180" s="2">
        <v>306.15100000000001</v>
      </c>
    </row>
    <row r="181" spans="1:4" ht="16.5" customHeight="1" x14ac:dyDescent="0.3">
      <c r="A181" s="34">
        <v>42323</v>
      </c>
      <c r="C181" s="2" t="s">
        <v>256</v>
      </c>
      <c r="D181" s="2">
        <v>310.15199999999999</v>
      </c>
    </row>
    <row r="182" spans="1:4" ht="17.25" customHeight="1" x14ac:dyDescent="0.3">
      <c r="A182" s="34">
        <v>42363</v>
      </c>
      <c r="C182" s="2" t="s">
        <v>257</v>
      </c>
      <c r="D182" s="2">
        <v>314.41899999999998</v>
      </c>
    </row>
    <row r="183" spans="1:4" ht="16.5" customHeight="1" x14ac:dyDescent="0.3">
      <c r="A183" s="34">
        <v>42370</v>
      </c>
      <c r="C183" s="2" t="s">
        <v>258</v>
      </c>
      <c r="D183" s="2">
        <v>318.53199999999998</v>
      </c>
    </row>
    <row r="184" spans="1:4" ht="17.25" customHeight="1" x14ac:dyDescent="0.3">
      <c r="A184" s="34">
        <v>42408</v>
      </c>
      <c r="C184" s="2" t="s">
        <v>259</v>
      </c>
      <c r="D184" s="2">
        <v>322.41199999999998</v>
      </c>
    </row>
    <row r="185" spans="1:4" ht="16.5" customHeight="1" x14ac:dyDescent="0.3">
      <c r="A185" s="34">
        <v>42409</v>
      </c>
      <c r="C185" s="2" t="s">
        <v>260</v>
      </c>
      <c r="D185" s="2">
        <v>324.65100000000001</v>
      </c>
    </row>
    <row r="186" spans="1:4" ht="17.25" customHeight="1" x14ac:dyDescent="0.3">
      <c r="A186" s="34">
        <v>42454</v>
      </c>
      <c r="C186" s="2" t="s">
        <v>261</v>
      </c>
      <c r="D186" s="2">
        <v>325.92500000000001</v>
      </c>
    </row>
    <row r="187" spans="1:4" ht="16.5" customHeight="1" x14ac:dyDescent="0.3">
      <c r="A187" s="34">
        <v>42481</v>
      </c>
      <c r="C187" s="2" t="s">
        <v>262</v>
      </c>
      <c r="D187" s="2">
        <v>328.58800000000002</v>
      </c>
    </row>
    <row r="188" spans="1:4" ht="17.25" customHeight="1" x14ac:dyDescent="0.3">
      <c r="A188" s="34">
        <v>42491</v>
      </c>
      <c r="C188" s="2" t="s">
        <v>263</v>
      </c>
      <c r="D188" s="2">
        <v>331.005</v>
      </c>
    </row>
    <row r="189" spans="1:4" ht="16.5" customHeight="1" x14ac:dyDescent="0.3">
      <c r="A189" s="34">
        <v>42516</v>
      </c>
      <c r="C189" s="2" t="s">
        <v>264</v>
      </c>
      <c r="D189" s="2">
        <v>332.298</v>
      </c>
    </row>
    <row r="190" spans="1:4" ht="17.25" customHeight="1" x14ac:dyDescent="0.3">
      <c r="A190" s="34">
        <v>42620</v>
      </c>
      <c r="C190" s="2" t="s">
        <v>265</v>
      </c>
      <c r="D190" s="2">
        <v>333.28800000000001</v>
      </c>
    </row>
    <row r="191" spans="1:4" ht="16.5" customHeight="1" x14ac:dyDescent="0.3">
      <c r="A191" s="34">
        <v>42655</v>
      </c>
      <c r="C191" s="2" t="s">
        <v>266</v>
      </c>
      <c r="D191" s="2">
        <v>336.12299999999999</v>
      </c>
    </row>
    <row r="192" spans="1:4" ht="17.25" customHeight="1" x14ac:dyDescent="0.3">
      <c r="A192" s="34">
        <v>42676</v>
      </c>
      <c r="C192" s="2" t="s">
        <v>267</v>
      </c>
      <c r="D192" s="2">
        <v>339.03</v>
      </c>
    </row>
    <row r="193" spans="1:4" ht="16.5" customHeight="1" x14ac:dyDescent="0.3">
      <c r="A193" s="34">
        <v>42689</v>
      </c>
      <c r="C193" s="2" t="s">
        <v>268</v>
      </c>
      <c r="D193" s="2">
        <v>338.29899999999998</v>
      </c>
    </row>
    <row r="194" spans="1:4" ht="17.25" customHeight="1" x14ac:dyDescent="0.3">
      <c r="A194" s="34">
        <v>42729</v>
      </c>
      <c r="C194" s="2" t="s">
        <v>269</v>
      </c>
      <c r="D194" s="2">
        <v>336.80099999999999</v>
      </c>
    </row>
    <row r="195" spans="1:4" ht="16.5" customHeight="1" x14ac:dyDescent="0.3">
      <c r="A195" s="34">
        <v>42736</v>
      </c>
      <c r="C195" s="2" t="s">
        <v>270</v>
      </c>
      <c r="D195" s="2">
        <v>335.66300000000001</v>
      </c>
    </row>
    <row r="196" spans="1:4" ht="17.25" customHeight="1" x14ac:dyDescent="0.3">
      <c r="A196" s="34">
        <v>42793</v>
      </c>
      <c r="C196" s="2" t="s">
        <v>271</v>
      </c>
      <c r="D196" s="2">
        <v>333.47399999999999</v>
      </c>
    </row>
    <row r="197" spans="1:4" ht="16.5" customHeight="1" x14ac:dyDescent="0.3">
      <c r="A197" s="34">
        <v>42794</v>
      </c>
      <c r="C197" s="2" t="s">
        <v>272</v>
      </c>
      <c r="D197" s="2">
        <v>331.69</v>
      </c>
    </row>
    <row r="198" spans="1:4" ht="17.25" customHeight="1" x14ac:dyDescent="0.3">
      <c r="A198" s="34">
        <v>42839</v>
      </c>
      <c r="C198" s="2" t="s">
        <v>273</v>
      </c>
      <c r="D198" s="2">
        <v>333.69400000000002</v>
      </c>
    </row>
    <row r="199" spans="1:4" ht="16.5" customHeight="1" x14ac:dyDescent="0.3">
      <c r="A199" s="34">
        <v>42846</v>
      </c>
      <c r="C199" s="2" t="s">
        <v>274</v>
      </c>
      <c r="D199" s="2">
        <v>335.03300000000002</v>
      </c>
    </row>
    <row r="200" spans="1:4" ht="17.25" customHeight="1" x14ac:dyDescent="0.3">
      <c r="A200" s="34">
        <v>42856</v>
      </c>
      <c r="C200" s="2" t="s">
        <v>275</v>
      </c>
      <c r="D200" s="2">
        <v>335.00599999999997</v>
      </c>
    </row>
    <row r="201" spans="1:4" ht="16.5" customHeight="1" x14ac:dyDescent="0.3">
      <c r="A201" s="34">
        <v>42901</v>
      </c>
      <c r="C201" s="2" t="s">
        <v>276</v>
      </c>
      <c r="D201" s="2">
        <v>338.08300000000003</v>
      </c>
    </row>
    <row r="202" spans="1:4" ht="17.25" customHeight="1" x14ac:dyDescent="0.3">
      <c r="A202" s="34">
        <v>42985</v>
      </c>
      <c r="C202" s="2" t="s">
        <v>277</v>
      </c>
      <c r="D202" s="2">
        <v>338.12799999999999</v>
      </c>
    </row>
    <row r="203" spans="1:4" ht="16.5" customHeight="1" x14ac:dyDescent="0.3">
      <c r="A203" s="34">
        <v>43020</v>
      </c>
      <c r="C203" s="2" t="s">
        <v>278</v>
      </c>
      <c r="D203" s="2">
        <v>337.339</v>
      </c>
    </row>
    <row r="204" spans="1:4" ht="17.25" customHeight="1" x14ac:dyDescent="0.3">
      <c r="A204" s="34">
        <v>43041</v>
      </c>
      <c r="C204" s="2" t="s">
        <v>279</v>
      </c>
      <c r="D204" s="2">
        <v>335.92099999999999</v>
      </c>
    </row>
    <row r="205" spans="1:4" ht="16.5" customHeight="1" x14ac:dyDescent="0.3">
      <c r="A205" s="34">
        <v>43054</v>
      </c>
      <c r="C205" s="2" t="s">
        <v>280</v>
      </c>
      <c r="D205" s="2">
        <v>337.185</v>
      </c>
    </row>
    <row r="206" spans="1:4" ht="17.25" customHeight="1" x14ac:dyDescent="0.3">
      <c r="A206" s="34">
        <v>43094</v>
      </c>
      <c r="C206" s="2" t="s">
        <v>281</v>
      </c>
      <c r="D206" s="2">
        <v>339.71199999999999</v>
      </c>
    </row>
    <row r="207" spans="1:4" ht="16.5" customHeight="1" x14ac:dyDescent="0.3">
      <c r="A207" s="34">
        <v>43101</v>
      </c>
      <c r="C207" s="2" t="s">
        <v>282</v>
      </c>
      <c r="D207" s="2">
        <v>340.31200000000001</v>
      </c>
    </row>
    <row r="208" spans="1:4" ht="17.25" customHeight="1" x14ac:dyDescent="0.3">
      <c r="A208" s="34">
        <v>43143</v>
      </c>
      <c r="C208" s="2" t="s">
        <v>283</v>
      </c>
      <c r="D208" s="2">
        <v>341.57400000000001</v>
      </c>
    </row>
    <row r="209" spans="1:4" ht="16.5" customHeight="1" x14ac:dyDescent="0.3">
      <c r="A209" s="34">
        <v>43144</v>
      </c>
      <c r="C209" s="2" t="s">
        <v>284</v>
      </c>
      <c r="D209" s="2">
        <v>342.56099999999998</v>
      </c>
    </row>
    <row r="210" spans="1:4" ht="17.25" customHeight="1" x14ac:dyDescent="0.3">
      <c r="A210" s="34">
        <v>43189</v>
      </c>
      <c r="C210" s="2" t="s">
        <v>285</v>
      </c>
      <c r="D210" s="2">
        <v>344.15499999999997</v>
      </c>
    </row>
    <row r="211" spans="1:4" ht="16.5" customHeight="1" x14ac:dyDescent="0.3">
      <c r="A211" s="34">
        <v>43211</v>
      </c>
      <c r="C211" s="2" t="s">
        <v>286</v>
      </c>
      <c r="D211" s="2">
        <v>346.74599999999998</v>
      </c>
    </row>
    <row r="212" spans="1:4" ht="17.25" customHeight="1" x14ac:dyDescent="0.3">
      <c r="A212" s="34">
        <v>43221</v>
      </c>
      <c r="C212" s="2" t="s">
        <v>287</v>
      </c>
      <c r="D212" s="2">
        <v>347.84199999999998</v>
      </c>
    </row>
    <row r="213" spans="1:4" ht="16.5" customHeight="1" x14ac:dyDescent="0.3">
      <c r="A213" s="34">
        <v>43251</v>
      </c>
      <c r="C213" s="2" t="s">
        <v>288</v>
      </c>
      <c r="D213" s="2">
        <v>349.59300000000002</v>
      </c>
    </row>
    <row r="214" spans="1:4" ht="17.25" customHeight="1" x14ac:dyDescent="0.3">
      <c r="A214" s="34">
        <v>43350</v>
      </c>
      <c r="C214" s="2" t="s">
        <v>289</v>
      </c>
      <c r="D214" s="2">
        <v>350.524</v>
      </c>
    </row>
    <row r="215" spans="1:4" ht="16.5" customHeight="1" x14ac:dyDescent="0.3">
      <c r="A215" s="34">
        <v>43385</v>
      </c>
      <c r="C215" s="2" t="s">
        <v>290</v>
      </c>
      <c r="D215" s="2">
        <v>351.71699999999998</v>
      </c>
    </row>
    <row r="216" spans="1:4" ht="17.25" customHeight="1" x14ac:dyDescent="0.3">
      <c r="A216" s="34">
        <v>43406</v>
      </c>
      <c r="C216" s="2" t="s">
        <v>291</v>
      </c>
      <c r="D216" s="2">
        <v>351.86900000000003</v>
      </c>
    </row>
    <row r="217" spans="1:4" ht="16.5" customHeight="1" x14ac:dyDescent="0.3">
      <c r="A217" s="34">
        <v>43419</v>
      </c>
      <c r="C217" s="2" t="s">
        <v>292</v>
      </c>
      <c r="D217" s="2">
        <v>352.02</v>
      </c>
    </row>
    <row r="218" spans="1:4" ht="17.25" customHeight="1" x14ac:dyDescent="0.3">
      <c r="A218" s="34">
        <v>43459</v>
      </c>
      <c r="C218" s="2" t="s">
        <v>293</v>
      </c>
      <c r="D218" s="2">
        <v>352.93599999999998</v>
      </c>
    </row>
    <row r="219" spans="1:4" ht="16.5" customHeight="1" x14ac:dyDescent="0.3">
      <c r="A219" s="34">
        <v>43466</v>
      </c>
      <c r="C219" s="2" t="s">
        <v>294</v>
      </c>
      <c r="D219" s="2">
        <v>353.92</v>
      </c>
    </row>
    <row r="220" spans="1:4" ht="17.25" customHeight="1" x14ac:dyDescent="0.3">
      <c r="A220" s="34">
        <v>43528</v>
      </c>
      <c r="C220" s="2" t="s">
        <v>295</v>
      </c>
      <c r="D220" s="2">
        <v>357.404</v>
      </c>
    </row>
    <row r="221" spans="1:4" ht="16.5" customHeight="1" x14ac:dyDescent="0.3">
      <c r="A221" s="34">
        <v>43529</v>
      </c>
      <c r="C221" s="2" t="s">
        <v>296</v>
      </c>
      <c r="D221" s="2">
        <v>361.99700000000001</v>
      </c>
    </row>
    <row r="222" spans="1:4" ht="17.25" customHeight="1" x14ac:dyDescent="0.3">
      <c r="A222" s="34">
        <v>43574</v>
      </c>
      <c r="C222" s="2" t="s">
        <v>297</v>
      </c>
      <c r="D222" s="2">
        <v>365.79399999999998</v>
      </c>
    </row>
    <row r="223" spans="1:4" ht="16.5" customHeight="1" x14ac:dyDescent="0.3">
      <c r="A223" s="34">
        <v>43576</v>
      </c>
      <c r="C223" s="2" t="s">
        <v>298</v>
      </c>
      <c r="D223" s="2">
        <v>368.334</v>
      </c>
    </row>
    <row r="224" spans="1:4" ht="17.25" customHeight="1" x14ac:dyDescent="0.3">
      <c r="A224" s="34">
        <v>43586</v>
      </c>
      <c r="C224" s="2" t="s">
        <v>299</v>
      </c>
      <c r="D224" s="2">
        <v>374.815</v>
      </c>
    </row>
    <row r="225" spans="1:4" ht="16.5" customHeight="1" x14ac:dyDescent="0.3">
      <c r="A225" s="34">
        <v>43636</v>
      </c>
      <c r="C225" s="2" t="s">
        <v>300</v>
      </c>
      <c r="D225" s="2">
        <v>378.9</v>
      </c>
    </row>
    <row r="226" spans="1:4" ht="17.25" customHeight="1" x14ac:dyDescent="0.3">
      <c r="A226" s="34">
        <v>43715</v>
      </c>
      <c r="C226" s="2" t="s">
        <v>301</v>
      </c>
      <c r="D226" s="2">
        <v>380.90600000000001</v>
      </c>
    </row>
    <row r="227" spans="1:4" ht="16.5" customHeight="1" x14ac:dyDescent="0.3">
      <c r="A227" s="34">
        <v>43750</v>
      </c>
      <c r="C227" s="2" t="s">
        <v>302</v>
      </c>
      <c r="D227" s="2">
        <v>383.73099999999999</v>
      </c>
    </row>
    <row r="228" spans="1:4" ht="17.25" customHeight="1" x14ac:dyDescent="0.3">
      <c r="A228" s="34">
        <v>43771</v>
      </c>
      <c r="C228" s="2" t="s">
        <v>303</v>
      </c>
      <c r="D228" s="2">
        <v>386.38</v>
      </c>
    </row>
    <row r="229" spans="1:4" ht="16.5" customHeight="1" x14ac:dyDescent="0.3">
      <c r="A229" s="34">
        <v>43784</v>
      </c>
      <c r="C229" s="2" t="s">
        <v>304</v>
      </c>
      <c r="D229" s="2">
        <v>392.59199999999998</v>
      </c>
    </row>
    <row r="230" spans="1:4" ht="17.25" customHeight="1" x14ac:dyDescent="0.3">
      <c r="A230" s="34">
        <v>43824</v>
      </c>
      <c r="C230" s="2" t="s">
        <v>305</v>
      </c>
      <c r="D230" s="2">
        <v>400.38200000000001</v>
      </c>
    </row>
    <row r="231" spans="1:4" ht="16.5" customHeight="1" x14ac:dyDescent="0.3">
      <c r="A231" s="34">
        <v>43831</v>
      </c>
      <c r="C231" s="2" t="s">
        <v>306</v>
      </c>
      <c r="D231" s="2">
        <v>407.44600000000003</v>
      </c>
    </row>
    <row r="232" spans="1:4" ht="17.25" customHeight="1" x14ac:dyDescent="0.3">
      <c r="A232" s="34">
        <v>43885</v>
      </c>
      <c r="C232" s="2" t="s">
        <v>307</v>
      </c>
      <c r="D232" s="2">
        <v>406.12700000000001</v>
      </c>
    </row>
    <row r="233" spans="1:4" ht="16.5" customHeight="1" x14ac:dyDescent="0.3">
      <c r="A233" s="34">
        <v>43886</v>
      </c>
      <c r="C233" s="2" t="s">
        <v>308</v>
      </c>
      <c r="D233" s="2">
        <v>406.55700000000002</v>
      </c>
    </row>
    <row r="234" spans="1:4" ht="17.25" customHeight="1" x14ac:dyDescent="0.3">
      <c r="A234" s="34">
        <v>43931</v>
      </c>
      <c r="C234" s="2" t="s">
        <v>309</v>
      </c>
      <c r="D234" s="2">
        <v>410.524</v>
      </c>
    </row>
    <row r="235" spans="1:4" ht="16.5" customHeight="1" x14ac:dyDescent="0.3">
      <c r="A235" s="34">
        <v>43942</v>
      </c>
      <c r="C235" s="2" t="s">
        <v>310</v>
      </c>
      <c r="D235" s="2">
        <v>412.10399999999998</v>
      </c>
    </row>
    <row r="236" spans="1:4" ht="17.25" customHeight="1" x14ac:dyDescent="0.3">
      <c r="A236" s="34">
        <v>43952</v>
      </c>
      <c r="C236" s="2" t="s">
        <v>311</v>
      </c>
      <c r="D236" s="2">
        <v>411.57499999999999</v>
      </c>
    </row>
    <row r="237" spans="1:4" ht="16.5" customHeight="1" x14ac:dyDescent="0.3">
      <c r="A237" s="34">
        <v>43993</v>
      </c>
      <c r="C237" s="2" t="s">
        <v>312</v>
      </c>
      <c r="D237" s="2">
        <v>409.78199999999998</v>
      </c>
    </row>
    <row r="238" spans="1:4" ht="17.25" customHeight="1" x14ac:dyDescent="0.3">
      <c r="A238" s="34">
        <v>44081</v>
      </c>
      <c r="C238" s="2" t="s">
        <v>313</v>
      </c>
      <c r="D238" s="2">
        <v>410.84899999999999</v>
      </c>
    </row>
    <row r="239" spans="1:4" ht="16.5" customHeight="1" x14ac:dyDescent="0.3">
      <c r="A239" s="34">
        <v>44116</v>
      </c>
      <c r="C239" s="2" t="s">
        <v>314</v>
      </c>
      <c r="D239" s="2">
        <v>407.80799999999999</v>
      </c>
    </row>
    <row r="240" spans="1:4" ht="17.25" customHeight="1" x14ac:dyDescent="0.3">
      <c r="A240" s="34">
        <v>44137</v>
      </c>
      <c r="C240" s="2" t="s">
        <v>315</v>
      </c>
      <c r="D240" s="2">
        <v>407.18099999999998</v>
      </c>
    </row>
    <row r="241" spans="1:4" ht="16.5" customHeight="1" x14ac:dyDescent="0.3">
      <c r="A241" s="34">
        <v>44150</v>
      </c>
      <c r="C241" s="2" t="s">
        <v>316</v>
      </c>
      <c r="D241" s="2">
        <v>406.88499999999999</v>
      </c>
    </row>
    <row r="242" spans="1:4" ht="17.25" customHeight="1" x14ac:dyDescent="0.3">
      <c r="A242" s="34">
        <v>44190</v>
      </c>
      <c r="C242" s="2" t="s">
        <v>317</v>
      </c>
      <c r="D242" s="2">
        <v>406.48599999999999</v>
      </c>
    </row>
    <row r="243" spans="1:4" ht="16.5" customHeight="1" x14ac:dyDescent="0.3">
      <c r="A243" s="34">
        <v>44197</v>
      </c>
      <c r="C243" s="2" t="s">
        <v>318</v>
      </c>
      <c r="D243" s="2">
        <v>404.71800000000002</v>
      </c>
    </row>
    <row r="244" spans="1:4" ht="17.25" customHeight="1" x14ac:dyDescent="0.3">
      <c r="A244" s="34">
        <v>44242</v>
      </c>
      <c r="C244" s="2" t="s">
        <v>319</v>
      </c>
      <c r="D244" s="2">
        <v>403.25299999999999</v>
      </c>
    </row>
    <row r="245" spans="1:4" ht="16.5" customHeight="1" x14ac:dyDescent="0.3">
      <c r="A245" s="34">
        <v>44243</v>
      </c>
      <c r="C245" s="2" t="s">
        <v>320</v>
      </c>
      <c r="D245" s="2">
        <v>404.94499999999999</v>
      </c>
    </row>
    <row r="246" spans="1:4" ht="17.25" customHeight="1" x14ac:dyDescent="0.3">
      <c r="A246" s="34">
        <v>44288</v>
      </c>
      <c r="C246" s="2" t="s">
        <v>321</v>
      </c>
      <c r="D246" s="2">
        <v>405.12900000000002</v>
      </c>
    </row>
    <row r="247" spans="1:4" ht="16.5" customHeight="1" x14ac:dyDescent="0.3">
      <c r="A247" s="34">
        <v>44307</v>
      </c>
      <c r="C247" s="2" t="s">
        <v>322</v>
      </c>
      <c r="D247" s="2">
        <v>405.548</v>
      </c>
    </row>
    <row r="248" spans="1:4" ht="17.25" customHeight="1" x14ac:dyDescent="0.3">
      <c r="A248" s="34">
        <v>44317</v>
      </c>
      <c r="C248" s="2" t="s">
        <v>323</v>
      </c>
      <c r="D248" s="2">
        <v>404.49900000000002</v>
      </c>
    </row>
    <row r="249" spans="1:4" ht="16.5" customHeight="1" x14ac:dyDescent="0.3">
      <c r="A249" s="34">
        <v>44350</v>
      </c>
      <c r="C249" s="2" t="s">
        <v>324</v>
      </c>
      <c r="D249" s="2">
        <v>407.04899999999998</v>
      </c>
    </row>
    <row r="250" spans="1:4" ht="17.25" customHeight="1" x14ac:dyDescent="0.3">
      <c r="A250" s="34">
        <v>44446</v>
      </c>
      <c r="C250" s="2" t="s">
        <v>325</v>
      </c>
      <c r="D250" s="2">
        <v>411.84300000000002</v>
      </c>
    </row>
    <row r="251" spans="1:4" ht="16.5" customHeight="1" x14ac:dyDescent="0.3">
      <c r="A251" s="34">
        <v>44481</v>
      </c>
      <c r="C251" s="2" t="s">
        <v>326</v>
      </c>
      <c r="D251" s="2">
        <v>415.73399999999998</v>
      </c>
    </row>
    <row r="252" spans="1:4" ht="17.25" customHeight="1" x14ac:dyDescent="0.3">
      <c r="A252" s="34">
        <v>44502</v>
      </c>
      <c r="C252" s="2" t="s">
        <v>327</v>
      </c>
      <c r="D252" s="2">
        <v>418.91699999999997</v>
      </c>
    </row>
    <row r="253" spans="1:4" ht="16.5" customHeight="1" x14ac:dyDescent="0.3">
      <c r="A253" s="34">
        <v>44515</v>
      </c>
      <c r="C253" s="2" t="s">
        <v>328</v>
      </c>
      <c r="D253" s="2">
        <v>423.88499999999999</v>
      </c>
    </row>
    <row r="254" spans="1:4" ht="17.25" customHeight="1" x14ac:dyDescent="0.3">
      <c r="A254" s="34">
        <v>44555</v>
      </c>
      <c r="C254" s="2" t="s">
        <v>329</v>
      </c>
      <c r="D254" s="2">
        <v>427.48899999999998</v>
      </c>
    </row>
    <row r="255" spans="1:4" ht="16.5" customHeight="1" x14ac:dyDescent="0.3">
      <c r="A255" s="34">
        <v>44562</v>
      </c>
      <c r="C255" s="2" t="s">
        <v>330</v>
      </c>
      <c r="D255" s="2">
        <v>428.15</v>
      </c>
    </row>
    <row r="256" spans="1:4" ht="17.25" customHeight="1" x14ac:dyDescent="0.3">
      <c r="A256" s="34">
        <v>44620</v>
      </c>
      <c r="C256" s="2" t="s">
        <v>331</v>
      </c>
      <c r="D256" s="2">
        <v>431.44499999999999</v>
      </c>
    </row>
    <row r="257" spans="1:4" ht="16.5" customHeight="1" x14ac:dyDescent="0.3">
      <c r="A257" s="34">
        <v>44621</v>
      </c>
      <c r="C257" s="2" t="s">
        <v>332</v>
      </c>
      <c r="D257" s="2">
        <v>436.423</v>
      </c>
    </row>
    <row r="258" spans="1:4" ht="17.25" customHeight="1" x14ac:dyDescent="0.3">
      <c r="A258" s="34">
        <v>44666</v>
      </c>
      <c r="C258" s="2" t="s">
        <v>333</v>
      </c>
      <c r="D258" s="2">
        <v>440.82900000000001</v>
      </c>
    </row>
    <row r="259" spans="1:4" ht="16.5" customHeight="1" x14ac:dyDescent="0.3">
      <c r="A259" s="34">
        <v>44672</v>
      </c>
      <c r="C259" s="2" t="s">
        <v>334</v>
      </c>
      <c r="D259" s="2">
        <v>447.20600000000002</v>
      </c>
    </row>
    <row r="260" spans="1:4" ht="17.25" customHeight="1" x14ac:dyDescent="0.3">
      <c r="A260" s="34">
        <v>44682</v>
      </c>
      <c r="C260" s="2" t="s">
        <v>335</v>
      </c>
      <c r="D260" s="2">
        <v>450.30099999999999</v>
      </c>
    </row>
    <row r="261" spans="1:4" ht="16.5" customHeight="1" x14ac:dyDescent="0.3">
      <c r="A261" s="34">
        <v>44728</v>
      </c>
      <c r="C261" s="2" t="s">
        <v>336</v>
      </c>
      <c r="D261" s="2">
        <v>453.875</v>
      </c>
    </row>
    <row r="262" spans="1:4" ht="17.25" customHeight="1" x14ac:dyDescent="0.3">
      <c r="A262" s="34">
        <v>44811</v>
      </c>
      <c r="C262" s="2" t="s">
        <v>337</v>
      </c>
      <c r="D262" s="2">
        <v>458.39699999999999</v>
      </c>
    </row>
    <row r="263" spans="1:4" ht="16.5" customHeight="1" x14ac:dyDescent="0.3">
      <c r="A263" s="34">
        <v>44846</v>
      </c>
      <c r="C263" s="2" t="s">
        <v>338</v>
      </c>
      <c r="D263" s="2">
        <v>461.24900000000002</v>
      </c>
    </row>
    <row r="264" spans="1:4" ht="17.25" customHeight="1" x14ac:dyDescent="0.3">
      <c r="A264" s="34">
        <v>44867</v>
      </c>
      <c r="C264" s="2" t="s">
        <v>339</v>
      </c>
      <c r="D264" s="2">
        <v>463.31099999999998</v>
      </c>
    </row>
    <row r="265" spans="1:4" ht="16.5" customHeight="1" x14ac:dyDescent="0.3">
      <c r="A265" s="34">
        <v>44880</v>
      </c>
      <c r="C265" s="2" t="s">
        <v>340</v>
      </c>
      <c r="D265" s="2">
        <v>465.31099999999998</v>
      </c>
    </row>
    <row r="266" spans="1:4" ht="17.25" customHeight="1" x14ac:dyDescent="0.3">
      <c r="A266" s="34">
        <v>44920</v>
      </c>
      <c r="C266" s="2" t="s">
        <v>341</v>
      </c>
      <c r="D266" s="2">
        <v>464.46300000000002</v>
      </c>
    </row>
    <row r="267" spans="1:4" ht="16.5" customHeight="1" x14ac:dyDescent="0.3">
      <c r="A267" s="34">
        <v>44927</v>
      </c>
      <c r="C267" s="2" t="s">
        <v>342</v>
      </c>
      <c r="D267" s="2">
        <v>463.92700000000002</v>
      </c>
    </row>
    <row r="268" spans="1:4" ht="17.25" customHeight="1" x14ac:dyDescent="0.3">
      <c r="A268" s="34">
        <v>44977</v>
      </c>
      <c r="C268" s="2" t="s">
        <v>343</v>
      </c>
      <c r="D268" s="2">
        <v>465.96800000000002</v>
      </c>
    </row>
    <row r="269" spans="1:4" ht="16.5" customHeight="1" x14ac:dyDescent="0.3">
      <c r="A269" s="34">
        <v>44978</v>
      </c>
      <c r="C269" s="2" t="s">
        <v>344</v>
      </c>
      <c r="D269" s="2">
        <v>468.97500000000002</v>
      </c>
    </row>
    <row r="270" spans="1:4" ht="17.25" customHeight="1" x14ac:dyDescent="0.3">
      <c r="A270" s="34">
        <v>45023</v>
      </c>
      <c r="C270" s="2" t="s">
        <v>345</v>
      </c>
      <c r="D270" s="2">
        <v>471.46600000000001</v>
      </c>
    </row>
    <row r="271" spans="1:4" ht="16.5" customHeight="1" x14ac:dyDescent="0.3">
      <c r="A271" s="34">
        <v>45037</v>
      </c>
      <c r="C271" s="2" t="s">
        <v>346</v>
      </c>
      <c r="D271" s="2">
        <v>473.80799999999999</v>
      </c>
    </row>
    <row r="272" spans="1:4" ht="17.25" customHeight="1" x14ac:dyDescent="0.3">
      <c r="A272" s="34">
        <v>45047</v>
      </c>
      <c r="C272" s="2" t="s">
        <v>347</v>
      </c>
      <c r="D272" s="2">
        <v>473.25200000000001</v>
      </c>
    </row>
    <row r="273" spans="1:4" ht="16.5" customHeight="1" x14ac:dyDescent="0.3">
      <c r="A273" s="34">
        <v>45085</v>
      </c>
      <c r="C273" s="2" t="s">
        <v>348</v>
      </c>
      <c r="D273" s="2">
        <v>474.42899999999997</v>
      </c>
    </row>
    <row r="274" spans="1:4" ht="17.25" customHeight="1" x14ac:dyDescent="0.3">
      <c r="A274" s="34">
        <v>45176</v>
      </c>
      <c r="C274" s="2" t="s">
        <v>349</v>
      </c>
      <c r="D274" s="2">
        <v>474.13799999999998</v>
      </c>
    </row>
    <row r="275" spans="1:4" ht="16.5" customHeight="1" x14ac:dyDescent="0.3">
      <c r="A275" s="34">
        <v>45211</v>
      </c>
      <c r="C275" s="2" t="s">
        <v>350</v>
      </c>
      <c r="D275" s="2">
        <v>476.166</v>
      </c>
    </row>
    <row r="276" spans="1:4" ht="17.25" customHeight="1" x14ac:dyDescent="0.3">
      <c r="A276" s="34">
        <v>45232</v>
      </c>
      <c r="C276" s="2" t="s">
        <v>351</v>
      </c>
      <c r="D276" s="2">
        <v>480.22899999999998</v>
      </c>
    </row>
    <row r="277" spans="1:4" ht="16.5" customHeight="1" x14ac:dyDescent="0.3">
      <c r="A277" s="34">
        <v>45245</v>
      </c>
      <c r="C277" s="2" t="s">
        <v>352</v>
      </c>
      <c r="D277" s="2">
        <v>485.14</v>
      </c>
    </row>
    <row r="278" spans="1:4" ht="17.25" customHeight="1" x14ac:dyDescent="0.3">
      <c r="A278" s="34">
        <v>45285</v>
      </c>
      <c r="C278" s="2" t="s">
        <v>353</v>
      </c>
      <c r="D278" s="2">
        <v>488.34199999999998</v>
      </c>
    </row>
    <row r="279" spans="1:4" ht="16.5" customHeight="1" x14ac:dyDescent="0.3">
      <c r="A279" s="34">
        <v>45292</v>
      </c>
      <c r="C279" s="2" t="s">
        <v>354</v>
      </c>
      <c r="D279" s="2">
        <v>494.89100000000002</v>
      </c>
    </row>
    <row r="280" spans="1:4" ht="17.25" customHeight="1" x14ac:dyDescent="0.3">
      <c r="A280" s="34">
        <v>45334</v>
      </c>
      <c r="C280" s="2" t="s">
        <v>355</v>
      </c>
      <c r="D280" s="2">
        <v>501.95699999999999</v>
      </c>
    </row>
    <row r="281" spans="1:4" ht="16.5" customHeight="1" x14ac:dyDescent="0.3">
      <c r="A281" s="34">
        <v>45335</v>
      </c>
      <c r="C281" s="2" t="s">
        <v>356</v>
      </c>
      <c r="D281" s="2">
        <v>506.80399999999997</v>
      </c>
    </row>
    <row r="282" spans="1:4" ht="17.25" customHeight="1" x14ac:dyDescent="0.3">
      <c r="A282" s="34">
        <v>45380</v>
      </c>
      <c r="C282" s="2" t="s">
        <v>357</v>
      </c>
      <c r="D282" s="2">
        <v>506.92599999999999</v>
      </c>
    </row>
    <row r="283" spans="1:4" ht="16.5" customHeight="1" x14ac:dyDescent="0.3">
      <c r="A283" s="34">
        <v>45403</v>
      </c>
      <c r="C283" s="2" t="s">
        <v>358</v>
      </c>
      <c r="D283" s="2">
        <v>506.79500000000002</v>
      </c>
    </row>
    <row r="284" spans="1:4" ht="17.25" customHeight="1" x14ac:dyDescent="0.3">
      <c r="A284" s="34">
        <v>45413</v>
      </c>
      <c r="C284" s="2" t="s">
        <v>359</v>
      </c>
      <c r="D284" s="2">
        <v>510.25200000000001</v>
      </c>
    </row>
    <row r="285" spans="1:4" ht="16.5" customHeight="1" x14ac:dyDescent="0.3">
      <c r="A285" s="34">
        <v>45442</v>
      </c>
      <c r="C285" s="2" t="s">
        <v>360</v>
      </c>
      <c r="D285" s="2">
        <v>511.97699999999998</v>
      </c>
    </row>
    <row r="286" spans="1:4" ht="17.25" customHeight="1" x14ac:dyDescent="0.3">
      <c r="A286" s="34">
        <v>45542</v>
      </c>
      <c r="C286" s="2" t="s">
        <v>361</v>
      </c>
      <c r="D286" s="2">
        <v>513.46699999999998</v>
      </c>
    </row>
    <row r="287" spans="1:4" ht="16.5" customHeight="1" x14ac:dyDescent="0.3">
      <c r="A287" s="34">
        <v>45577</v>
      </c>
      <c r="C287" s="2" t="s">
        <v>362</v>
      </c>
      <c r="D287" s="2">
        <v>514.52599999999995</v>
      </c>
    </row>
    <row r="288" spans="1:4" ht="17.25" customHeight="1" x14ac:dyDescent="0.3">
      <c r="A288" s="34">
        <v>45598</v>
      </c>
      <c r="C288" s="2" t="s">
        <v>363</v>
      </c>
      <c r="D288" s="2">
        <v>515.27599999999995</v>
      </c>
    </row>
    <row r="289" spans="1:4" ht="16.5" customHeight="1" x14ac:dyDescent="0.3">
      <c r="A289" s="34">
        <v>45611</v>
      </c>
      <c r="C289" s="2" t="s">
        <v>364</v>
      </c>
      <c r="D289" s="2">
        <v>515.29899999999998</v>
      </c>
    </row>
    <row r="290" spans="1:4" ht="17.25" customHeight="1" x14ac:dyDescent="0.3">
      <c r="A290" s="34">
        <v>45651</v>
      </c>
      <c r="C290" s="2" t="s">
        <v>365</v>
      </c>
      <c r="D290" s="2">
        <v>519.15300000000002</v>
      </c>
    </row>
    <row r="291" spans="1:4" ht="16.5" customHeight="1" x14ac:dyDescent="0.3">
      <c r="A291" s="34">
        <v>45658</v>
      </c>
      <c r="C291" s="2" t="s">
        <v>366</v>
      </c>
      <c r="D291" s="2">
        <v>520.50800000000004</v>
      </c>
    </row>
    <row r="292" spans="1:4" ht="17.25" customHeight="1" x14ac:dyDescent="0.3">
      <c r="A292" s="34">
        <v>45719</v>
      </c>
      <c r="C292" s="2" t="s">
        <v>367</v>
      </c>
      <c r="D292" s="2">
        <v>521.27</v>
      </c>
    </row>
    <row r="293" spans="1:4" ht="16.5" customHeight="1" x14ac:dyDescent="0.3">
      <c r="A293" s="34">
        <v>45720</v>
      </c>
      <c r="C293" s="2" t="s">
        <v>368</v>
      </c>
      <c r="D293" s="2">
        <v>529.08500000000004</v>
      </c>
    </row>
    <row r="294" spans="1:4" ht="17.25" customHeight="1" x14ac:dyDescent="0.3">
      <c r="A294" s="34">
        <v>45765</v>
      </c>
      <c r="C294" s="2" t="s">
        <v>369</v>
      </c>
      <c r="D294" s="2">
        <v>533.62099999999998</v>
      </c>
    </row>
    <row r="295" spans="1:4" ht="16.5" customHeight="1" x14ac:dyDescent="0.3">
      <c r="A295" s="34">
        <v>45768</v>
      </c>
      <c r="C295" s="2" t="s">
        <v>370</v>
      </c>
      <c r="D295" s="2">
        <v>535.16800000000001</v>
      </c>
    </row>
    <row r="296" spans="1:4" ht="17.25" customHeight="1" x14ac:dyDescent="0.3">
      <c r="A296" s="34">
        <v>45778</v>
      </c>
      <c r="C296" s="2" t="s">
        <v>371</v>
      </c>
      <c r="D296" s="2">
        <v>538.37</v>
      </c>
    </row>
    <row r="297" spans="1:4" ht="16.5" customHeight="1" x14ac:dyDescent="0.3">
      <c r="A297" s="34">
        <v>45827</v>
      </c>
      <c r="C297" s="2" t="s">
        <v>372</v>
      </c>
      <c r="D297" s="2">
        <v>540.95899999999995</v>
      </c>
    </row>
    <row r="298" spans="1:4" ht="17.25" customHeight="1" x14ac:dyDescent="0.3">
      <c r="A298" s="34">
        <v>45907</v>
      </c>
      <c r="C298" s="2" t="s">
        <v>373</v>
      </c>
      <c r="D298" s="2">
        <v>543.03800000000001</v>
      </c>
    </row>
    <row r="299" spans="1:4" ht="16.5" customHeight="1" x14ac:dyDescent="0.3">
      <c r="A299" s="34">
        <v>45942</v>
      </c>
      <c r="C299" s="2" t="s">
        <v>374</v>
      </c>
      <c r="D299" s="2">
        <v>552.08699999999999</v>
      </c>
    </row>
    <row r="300" spans="1:4" ht="17.25" customHeight="1" x14ac:dyDescent="0.3">
      <c r="A300" s="34">
        <v>45963</v>
      </c>
      <c r="C300" s="2" t="s">
        <v>375</v>
      </c>
      <c r="D300" s="2">
        <v>556.41999999999996</v>
      </c>
    </row>
    <row r="301" spans="1:4" ht="16.5" customHeight="1" x14ac:dyDescent="0.3">
      <c r="A301" s="34">
        <v>45976</v>
      </c>
      <c r="C301" s="2" t="s">
        <v>376</v>
      </c>
      <c r="D301" s="2">
        <v>555.67899999999997</v>
      </c>
    </row>
    <row r="302" spans="1:4" ht="17.25" customHeight="1" x14ac:dyDescent="0.3">
      <c r="A302" s="34">
        <v>46016</v>
      </c>
      <c r="C302" s="2" t="s">
        <v>377</v>
      </c>
      <c r="D302" s="2">
        <v>551.55399999999997</v>
      </c>
    </row>
    <row r="303" spans="1:4" ht="16.5" customHeight="1" x14ac:dyDescent="0.3">
      <c r="A303" s="34">
        <v>46023</v>
      </c>
      <c r="C303" s="2" t="s">
        <v>378</v>
      </c>
      <c r="D303" s="2">
        <v>548.202</v>
      </c>
    </row>
    <row r="304" spans="1:4" ht="17.25" customHeight="1" x14ac:dyDescent="0.3">
      <c r="A304" s="34">
        <v>46069</v>
      </c>
      <c r="C304" s="2" t="s">
        <v>379</v>
      </c>
      <c r="D304" s="2">
        <v>546.745</v>
      </c>
    </row>
    <row r="305" spans="1:4" ht="16.5" customHeight="1" x14ac:dyDescent="0.3">
      <c r="A305" s="34">
        <v>46070</v>
      </c>
      <c r="C305" s="2" t="s">
        <v>380</v>
      </c>
      <c r="D305" s="2">
        <v>547.83900000000006</v>
      </c>
    </row>
    <row r="306" spans="1:4" ht="17.25" customHeight="1" x14ac:dyDescent="0.3">
      <c r="A306" s="34">
        <v>46115</v>
      </c>
      <c r="C306" s="2" t="s">
        <v>381</v>
      </c>
      <c r="D306" s="2">
        <v>549.39599999999996</v>
      </c>
    </row>
    <row r="307" spans="1:4" ht="16.5" customHeight="1" x14ac:dyDescent="0.3">
      <c r="A307" s="34">
        <v>46133</v>
      </c>
      <c r="C307" s="2" t="s">
        <v>382</v>
      </c>
      <c r="D307" s="2">
        <v>554.76900000000001</v>
      </c>
    </row>
    <row r="308" spans="1:4" ht="17.25" customHeight="1" x14ac:dyDescent="0.3">
      <c r="A308" s="34">
        <v>46143</v>
      </c>
      <c r="C308" s="2" t="s">
        <v>383</v>
      </c>
      <c r="D308" s="2">
        <v>558.21299999999997</v>
      </c>
    </row>
    <row r="309" spans="1:4" ht="16.5" customHeight="1" x14ac:dyDescent="0.3">
      <c r="A309" s="34">
        <v>46177</v>
      </c>
      <c r="C309" s="2" t="s">
        <v>384</v>
      </c>
      <c r="D309" s="2">
        <v>562.48199999999997</v>
      </c>
    </row>
    <row r="310" spans="1:4" ht="17.25" customHeight="1" x14ac:dyDescent="0.3">
      <c r="A310" s="34">
        <v>46272</v>
      </c>
      <c r="C310" s="2" t="s">
        <v>385</v>
      </c>
      <c r="D310" s="2">
        <v>564.00400000000002</v>
      </c>
    </row>
    <row r="311" spans="1:4" ht="16.5" customHeight="1" x14ac:dyDescent="0.3">
      <c r="A311" s="34">
        <v>46307</v>
      </c>
      <c r="C311" s="2" t="s">
        <v>386</v>
      </c>
      <c r="D311" s="2">
        <v>569.53599999999994</v>
      </c>
    </row>
    <row r="312" spans="1:4" ht="17.25" customHeight="1" x14ac:dyDescent="0.3">
      <c r="A312" s="34">
        <v>46328</v>
      </c>
      <c r="C312" s="2" t="s">
        <v>387</v>
      </c>
      <c r="D312" s="2">
        <v>576.17499999999995</v>
      </c>
    </row>
    <row r="313" spans="1:4" ht="16.5" customHeight="1" x14ac:dyDescent="0.3">
      <c r="A313" s="34">
        <v>46341</v>
      </c>
      <c r="C313" s="2" t="s">
        <v>388</v>
      </c>
      <c r="D313" s="2">
        <v>578.51599999999996</v>
      </c>
    </row>
    <row r="314" spans="1:4" ht="17.25" customHeight="1" x14ac:dyDescent="0.3">
      <c r="A314" s="34">
        <v>46381</v>
      </c>
      <c r="C314" s="2" t="s">
        <v>389</v>
      </c>
      <c r="D314" s="2">
        <v>582.40099999999995</v>
      </c>
    </row>
    <row r="315" spans="1:4" ht="16.5" customHeight="1" x14ac:dyDescent="0.3">
      <c r="A315" s="34">
        <v>46388</v>
      </c>
      <c r="C315" s="2" t="s">
        <v>390</v>
      </c>
      <c r="D315" s="2">
        <v>586.42600000000004</v>
      </c>
    </row>
    <row r="316" spans="1:4" ht="17.25" customHeight="1" x14ac:dyDescent="0.3">
      <c r="A316" s="34">
        <v>46426</v>
      </c>
      <c r="C316" s="2" t="s">
        <v>391</v>
      </c>
      <c r="D316" s="2">
        <v>588.04200000000003</v>
      </c>
    </row>
    <row r="317" spans="1:4" ht="16.5" customHeight="1" x14ac:dyDescent="0.3">
      <c r="A317" s="34">
        <v>46427</v>
      </c>
      <c r="C317" s="2" t="s">
        <v>392</v>
      </c>
      <c r="D317" s="2">
        <v>593.60599999999999</v>
      </c>
    </row>
    <row r="318" spans="1:4" ht="17.25" customHeight="1" x14ac:dyDescent="0.3">
      <c r="A318" s="34">
        <v>46472</v>
      </c>
      <c r="C318" s="2" t="s">
        <v>393</v>
      </c>
      <c r="D318" s="2">
        <v>604.83199999999999</v>
      </c>
    </row>
    <row r="319" spans="1:4" ht="16.5" customHeight="1" x14ac:dyDescent="0.3">
      <c r="A319" s="34">
        <v>46498</v>
      </c>
      <c r="C319" s="2" t="s">
        <v>394</v>
      </c>
      <c r="D319" s="2">
        <v>614.05100000000004</v>
      </c>
    </row>
    <row r="320" spans="1:4" ht="17.25" customHeight="1" x14ac:dyDescent="0.3">
      <c r="A320" s="34">
        <v>46508</v>
      </c>
      <c r="C320" s="2" t="s">
        <v>395</v>
      </c>
      <c r="D320" s="2">
        <v>617.04399999999998</v>
      </c>
    </row>
    <row r="321" spans="1:4" ht="16.5" customHeight="1" x14ac:dyDescent="0.3">
      <c r="A321" s="34">
        <v>46534</v>
      </c>
      <c r="C321" s="2" t="s">
        <v>396</v>
      </c>
      <c r="D321" s="2">
        <v>624.05999999999995</v>
      </c>
    </row>
    <row r="322" spans="1:4" ht="17.25" customHeight="1" x14ac:dyDescent="0.3">
      <c r="A322" s="34">
        <v>46637</v>
      </c>
      <c r="C322" s="2" t="s">
        <v>397</v>
      </c>
      <c r="D322" s="2">
        <v>632.11400000000003</v>
      </c>
    </row>
    <row r="323" spans="1:4" ht="16.5" customHeight="1" x14ac:dyDescent="0.3">
      <c r="A323" s="34">
        <v>46672</v>
      </c>
      <c r="C323" s="2" t="s">
        <v>398</v>
      </c>
      <c r="D323" s="2">
        <v>635.34900000000005</v>
      </c>
    </row>
    <row r="324" spans="1:4" ht="17.25" customHeight="1" x14ac:dyDescent="0.3">
      <c r="A324" s="34">
        <v>46693</v>
      </c>
      <c r="C324" s="2" t="s">
        <v>399</v>
      </c>
      <c r="D324" s="2">
        <v>637.43399999999997</v>
      </c>
    </row>
    <row r="325" spans="1:4" ht="16.5" customHeight="1" x14ac:dyDescent="0.3">
      <c r="A325" s="34">
        <v>46706</v>
      </c>
      <c r="C325" s="2" t="s">
        <v>400</v>
      </c>
      <c r="D325" s="2">
        <v>642.65099999999995</v>
      </c>
    </row>
    <row r="326" spans="1:4" ht="17.25" customHeight="1" x14ac:dyDescent="0.3">
      <c r="A326" s="34">
        <v>46746</v>
      </c>
      <c r="C326" s="2" t="s">
        <v>401</v>
      </c>
      <c r="D326" s="2">
        <v>653.49599999999998</v>
      </c>
    </row>
    <row r="327" spans="1:4" ht="16.5" customHeight="1" x14ac:dyDescent="0.3">
      <c r="A327" s="34">
        <v>46753</v>
      </c>
      <c r="C327" s="2" t="s">
        <v>402</v>
      </c>
      <c r="D327" s="2">
        <v>654.64099999999996</v>
      </c>
    </row>
    <row r="328" spans="1:4" ht="17.25" customHeight="1" x14ac:dyDescent="0.3">
      <c r="A328" s="34">
        <v>46811</v>
      </c>
      <c r="C328" s="2" t="s">
        <v>403</v>
      </c>
      <c r="D328" s="2">
        <v>655.60199999999998</v>
      </c>
    </row>
    <row r="329" spans="1:4" ht="16.5" customHeight="1" x14ac:dyDescent="0.3">
      <c r="A329" s="34">
        <v>46812</v>
      </c>
      <c r="C329" s="2" t="s">
        <v>404</v>
      </c>
      <c r="D329" s="2">
        <v>656.89400000000001</v>
      </c>
    </row>
    <row r="330" spans="1:4" ht="17.25" customHeight="1" x14ac:dyDescent="0.3">
      <c r="A330" s="34">
        <v>46857</v>
      </c>
      <c r="C330" s="2" t="s">
        <v>405</v>
      </c>
      <c r="D330" s="2">
        <v>657.92700000000002</v>
      </c>
    </row>
    <row r="331" spans="1:4" ht="16.5" customHeight="1" x14ac:dyDescent="0.3">
      <c r="A331" s="34">
        <v>46864</v>
      </c>
      <c r="C331" s="2" t="s">
        <v>406</v>
      </c>
      <c r="D331" s="2">
        <v>657.75199999999995</v>
      </c>
    </row>
    <row r="332" spans="1:4" ht="17.25" customHeight="1" x14ac:dyDescent="0.3">
      <c r="A332" s="34">
        <v>46874</v>
      </c>
      <c r="C332" s="2" t="s">
        <v>407</v>
      </c>
      <c r="D332" s="2">
        <v>661.30399999999997</v>
      </c>
    </row>
    <row r="333" spans="1:4" ht="16.5" customHeight="1" x14ac:dyDescent="0.3">
      <c r="A333" s="34">
        <v>46919</v>
      </c>
      <c r="C333" s="2" t="s">
        <v>408</v>
      </c>
      <c r="D333" s="2">
        <v>665.54200000000003</v>
      </c>
    </row>
    <row r="334" spans="1:4" ht="17.25" customHeight="1" x14ac:dyDescent="0.3">
      <c r="A334" s="34">
        <v>47003</v>
      </c>
      <c r="C334" s="2" t="s">
        <v>409</v>
      </c>
      <c r="D334" s="2">
        <v>666.09900000000005</v>
      </c>
    </row>
    <row r="335" spans="1:4" ht="16.5" customHeight="1" x14ac:dyDescent="0.3">
      <c r="A335" s="34">
        <v>47038</v>
      </c>
    </row>
    <row r="336" spans="1:4" ht="17.25" customHeight="1" x14ac:dyDescent="0.3">
      <c r="A336" s="34">
        <v>47059</v>
      </c>
    </row>
    <row r="337" spans="1:1" ht="16.5" customHeight="1" x14ac:dyDescent="0.3">
      <c r="A337" s="34">
        <v>47072</v>
      </c>
    </row>
    <row r="338" spans="1:1" ht="17.25" customHeight="1" x14ac:dyDescent="0.3">
      <c r="A338" s="34">
        <v>47112</v>
      </c>
    </row>
    <row r="339" spans="1:1" ht="16.5" customHeight="1" x14ac:dyDescent="0.3">
      <c r="A339" s="34">
        <v>47119</v>
      </c>
    </row>
    <row r="340" spans="1:1" ht="17.25" customHeight="1" x14ac:dyDescent="0.3">
      <c r="A340" s="34">
        <v>47161</v>
      </c>
    </row>
    <row r="341" spans="1:1" ht="16.5" customHeight="1" x14ac:dyDescent="0.3">
      <c r="A341" s="34">
        <v>47162</v>
      </c>
    </row>
    <row r="342" spans="1:1" ht="17.25" customHeight="1" x14ac:dyDescent="0.3">
      <c r="A342" s="34">
        <v>47207</v>
      </c>
    </row>
    <row r="343" spans="1:1" ht="16.5" customHeight="1" x14ac:dyDescent="0.3">
      <c r="A343" s="34">
        <v>47229</v>
      </c>
    </row>
    <row r="344" spans="1:1" ht="17.25" customHeight="1" x14ac:dyDescent="0.3">
      <c r="A344" s="34">
        <v>47239</v>
      </c>
    </row>
    <row r="345" spans="1:1" ht="16.5" customHeight="1" x14ac:dyDescent="0.3">
      <c r="A345" s="34">
        <v>47269</v>
      </c>
    </row>
    <row r="346" spans="1:1" ht="17.25" customHeight="1" x14ac:dyDescent="0.3">
      <c r="A346" s="34">
        <v>47368</v>
      </c>
    </row>
    <row r="347" spans="1:1" ht="16.5" customHeight="1" x14ac:dyDescent="0.3">
      <c r="A347" s="34">
        <v>47403</v>
      </c>
    </row>
    <row r="348" spans="1:1" ht="17.25" customHeight="1" x14ac:dyDescent="0.3">
      <c r="A348" s="34">
        <v>47424</v>
      </c>
    </row>
    <row r="349" spans="1:1" ht="16.5" customHeight="1" x14ac:dyDescent="0.3">
      <c r="A349" s="34">
        <v>47437</v>
      </c>
    </row>
    <row r="350" spans="1:1" ht="16.5" customHeight="1" x14ac:dyDescent="0.3">
      <c r="A350" s="34">
        <v>47477</v>
      </c>
    </row>
    <row r="351" spans="1:1" ht="17.25" customHeight="1" x14ac:dyDescent="0.3">
      <c r="A351" s="34">
        <v>47484</v>
      </c>
    </row>
    <row r="352" spans="1:1" x14ac:dyDescent="0.3">
      <c r="A352" s="34">
        <v>47546</v>
      </c>
    </row>
    <row r="353" spans="1:1" x14ac:dyDescent="0.3">
      <c r="A353" s="34">
        <v>47547</v>
      </c>
    </row>
    <row r="354" spans="1:1" x14ac:dyDescent="0.3">
      <c r="A354" s="34">
        <v>47592</v>
      </c>
    </row>
    <row r="355" spans="1:1" x14ac:dyDescent="0.3">
      <c r="A355" s="34">
        <v>47594</v>
      </c>
    </row>
    <row r="356" spans="1:1" x14ac:dyDescent="0.3">
      <c r="A356" s="34">
        <v>47604</v>
      </c>
    </row>
    <row r="357" spans="1:1" x14ac:dyDescent="0.3">
      <c r="A357" s="34">
        <v>47654</v>
      </c>
    </row>
    <row r="358" spans="1:1" x14ac:dyDescent="0.3">
      <c r="A358" s="34">
        <v>47733</v>
      </c>
    </row>
    <row r="359" spans="1:1" x14ac:dyDescent="0.3">
      <c r="A359" s="34">
        <v>47768</v>
      </c>
    </row>
    <row r="360" spans="1:1" x14ac:dyDescent="0.3">
      <c r="A360" s="34">
        <v>47789</v>
      </c>
    </row>
    <row r="361" spans="1:1" x14ac:dyDescent="0.3">
      <c r="A361" s="34">
        <v>47802</v>
      </c>
    </row>
    <row r="362" spans="1:1" x14ac:dyDescent="0.3">
      <c r="A362" s="34">
        <v>47842</v>
      </c>
    </row>
    <row r="363" spans="1:1" x14ac:dyDescent="0.3">
      <c r="A363" s="34">
        <v>47849</v>
      </c>
    </row>
    <row r="364" spans="1:1" x14ac:dyDescent="0.3">
      <c r="A364" s="34">
        <v>47903</v>
      </c>
    </row>
    <row r="365" spans="1:1" x14ac:dyDescent="0.3">
      <c r="A365" s="34">
        <v>47904</v>
      </c>
    </row>
    <row r="366" spans="1:1" x14ac:dyDescent="0.3">
      <c r="A366" s="34">
        <v>47949</v>
      </c>
    </row>
    <row r="367" spans="1:1" x14ac:dyDescent="0.3">
      <c r="A367" s="34">
        <v>47959</v>
      </c>
    </row>
    <row r="368" spans="1:1" x14ac:dyDescent="0.3">
      <c r="A368" s="34">
        <v>47969</v>
      </c>
    </row>
    <row r="369" spans="1:1" x14ac:dyDescent="0.3">
      <c r="A369" s="34">
        <v>48011</v>
      </c>
    </row>
    <row r="370" spans="1:1" x14ac:dyDescent="0.3">
      <c r="A370" s="34">
        <v>48098</v>
      </c>
    </row>
    <row r="371" spans="1:1" x14ac:dyDescent="0.3">
      <c r="A371" s="34">
        <v>48133</v>
      </c>
    </row>
    <row r="372" spans="1:1" x14ac:dyDescent="0.3">
      <c r="A372" s="34">
        <v>48154</v>
      </c>
    </row>
    <row r="373" spans="1:1" x14ac:dyDescent="0.3">
      <c r="A373" s="34">
        <v>48167</v>
      </c>
    </row>
    <row r="374" spans="1:1" x14ac:dyDescent="0.3">
      <c r="A374" s="34">
        <v>48207</v>
      </c>
    </row>
    <row r="375" spans="1:1" x14ac:dyDescent="0.3">
      <c r="A375" s="34">
        <v>48214</v>
      </c>
    </row>
    <row r="376" spans="1:1" x14ac:dyDescent="0.3">
      <c r="A376" s="34">
        <v>48253</v>
      </c>
    </row>
    <row r="377" spans="1:1" x14ac:dyDescent="0.3">
      <c r="A377" s="34">
        <v>48254</v>
      </c>
    </row>
    <row r="378" spans="1:1" x14ac:dyDescent="0.3">
      <c r="A378" s="34">
        <v>48299</v>
      </c>
    </row>
    <row r="379" spans="1:1" x14ac:dyDescent="0.3">
      <c r="A379" s="34">
        <v>48325</v>
      </c>
    </row>
    <row r="380" spans="1:1" x14ac:dyDescent="0.3">
      <c r="A380" s="34">
        <v>48335</v>
      </c>
    </row>
    <row r="381" spans="1:1" x14ac:dyDescent="0.3">
      <c r="A381" s="34">
        <v>48361</v>
      </c>
    </row>
    <row r="382" spans="1:1" x14ac:dyDescent="0.3">
      <c r="A382" s="34">
        <v>48464</v>
      </c>
    </row>
    <row r="383" spans="1:1" x14ac:dyDescent="0.3">
      <c r="A383" s="34">
        <v>48499</v>
      </c>
    </row>
    <row r="384" spans="1:1" x14ac:dyDescent="0.3">
      <c r="A384" s="34">
        <v>48520</v>
      </c>
    </row>
    <row r="385" spans="1:1" x14ac:dyDescent="0.3">
      <c r="A385" s="34">
        <v>48533</v>
      </c>
    </row>
    <row r="386" spans="1:1" x14ac:dyDescent="0.3">
      <c r="A386" s="34">
        <v>48573</v>
      </c>
    </row>
    <row r="387" spans="1:1" x14ac:dyDescent="0.3">
      <c r="A387" s="34">
        <v>48580</v>
      </c>
    </row>
    <row r="388" spans="1:1" x14ac:dyDescent="0.3">
      <c r="A388" s="34">
        <v>48638</v>
      </c>
    </row>
    <row r="389" spans="1:1" x14ac:dyDescent="0.3">
      <c r="A389" s="34">
        <v>48639</v>
      </c>
    </row>
    <row r="390" spans="1:1" x14ac:dyDescent="0.3">
      <c r="A390" s="34">
        <v>48684</v>
      </c>
    </row>
    <row r="391" spans="1:1" x14ac:dyDescent="0.3">
      <c r="A391" s="34">
        <v>48690</v>
      </c>
    </row>
    <row r="392" spans="1:1" x14ac:dyDescent="0.3">
      <c r="A392" s="34">
        <v>48700</v>
      </c>
    </row>
    <row r="393" spans="1:1" x14ac:dyDescent="0.3">
      <c r="A393" s="34">
        <v>48746</v>
      </c>
    </row>
    <row r="394" spans="1:1" x14ac:dyDescent="0.3">
      <c r="A394" s="34">
        <v>48829</v>
      </c>
    </row>
    <row r="395" spans="1:1" x14ac:dyDescent="0.3">
      <c r="A395" s="34">
        <v>48864</v>
      </c>
    </row>
    <row r="396" spans="1:1" x14ac:dyDescent="0.3">
      <c r="A396" s="34">
        <v>48885</v>
      </c>
    </row>
    <row r="397" spans="1:1" x14ac:dyDescent="0.3">
      <c r="A397" s="34">
        <v>48898</v>
      </c>
    </row>
    <row r="398" spans="1:1" x14ac:dyDescent="0.3">
      <c r="A398" s="34">
        <v>48938</v>
      </c>
    </row>
    <row r="399" spans="1:1" x14ac:dyDescent="0.3">
      <c r="A399" s="34">
        <v>48945</v>
      </c>
    </row>
    <row r="400" spans="1:1" x14ac:dyDescent="0.3">
      <c r="A400" s="34">
        <v>48995</v>
      </c>
    </row>
    <row r="401" spans="1:1" x14ac:dyDescent="0.3">
      <c r="A401" s="34">
        <v>48996</v>
      </c>
    </row>
    <row r="402" spans="1:1" x14ac:dyDescent="0.3">
      <c r="A402" s="34">
        <v>49041</v>
      </c>
    </row>
    <row r="403" spans="1:1" x14ac:dyDescent="0.3">
      <c r="A403" s="34">
        <v>49055</v>
      </c>
    </row>
    <row r="404" spans="1:1" x14ac:dyDescent="0.3">
      <c r="A404" s="34">
        <v>49065</v>
      </c>
    </row>
    <row r="405" spans="1:1" x14ac:dyDescent="0.3">
      <c r="A405" s="34">
        <v>49103</v>
      </c>
    </row>
    <row r="406" spans="1:1" x14ac:dyDescent="0.3">
      <c r="A406" s="34">
        <v>49194</v>
      </c>
    </row>
    <row r="407" spans="1:1" x14ac:dyDescent="0.3">
      <c r="A407" s="34">
        <v>49229</v>
      </c>
    </row>
    <row r="408" spans="1:1" x14ac:dyDescent="0.3">
      <c r="A408" s="34">
        <v>49250</v>
      </c>
    </row>
    <row r="409" spans="1:1" x14ac:dyDescent="0.3">
      <c r="A409" s="34">
        <v>49263</v>
      </c>
    </row>
    <row r="410" spans="1:1" x14ac:dyDescent="0.3">
      <c r="A410" s="34">
        <v>49303</v>
      </c>
    </row>
    <row r="411" spans="1:1" x14ac:dyDescent="0.3">
      <c r="A411" s="34">
        <v>49310</v>
      </c>
    </row>
    <row r="412" spans="1:1" x14ac:dyDescent="0.3">
      <c r="A412" s="34">
        <v>49345</v>
      </c>
    </row>
    <row r="413" spans="1:1" x14ac:dyDescent="0.3">
      <c r="A413" s="34">
        <v>49346</v>
      </c>
    </row>
    <row r="414" spans="1:1" x14ac:dyDescent="0.3">
      <c r="A414" s="34">
        <v>49391</v>
      </c>
    </row>
    <row r="415" spans="1:1" x14ac:dyDescent="0.3">
      <c r="A415" s="34">
        <v>49420</v>
      </c>
    </row>
    <row r="416" spans="1:1" x14ac:dyDescent="0.3">
      <c r="A416" s="34">
        <v>49430</v>
      </c>
    </row>
    <row r="417" spans="1:1" x14ac:dyDescent="0.3">
      <c r="A417" s="34">
        <v>49453</v>
      </c>
    </row>
    <row r="418" spans="1:1" x14ac:dyDescent="0.3">
      <c r="A418" s="34">
        <v>49559</v>
      </c>
    </row>
    <row r="419" spans="1:1" x14ac:dyDescent="0.3">
      <c r="A419" s="34">
        <v>49594</v>
      </c>
    </row>
    <row r="420" spans="1:1" x14ac:dyDescent="0.3">
      <c r="A420" s="34">
        <v>49615</v>
      </c>
    </row>
    <row r="421" spans="1:1" x14ac:dyDescent="0.3">
      <c r="A421" s="34">
        <v>49628</v>
      </c>
    </row>
    <row r="422" spans="1:1" x14ac:dyDescent="0.3">
      <c r="A422" s="34">
        <v>49668</v>
      </c>
    </row>
    <row r="423" spans="1:1" x14ac:dyDescent="0.3">
      <c r="A423" s="34">
        <v>49675</v>
      </c>
    </row>
    <row r="424" spans="1:1" x14ac:dyDescent="0.3">
      <c r="A424" s="34">
        <v>49730</v>
      </c>
    </row>
    <row r="425" spans="1:1" x14ac:dyDescent="0.3">
      <c r="A425" s="34">
        <v>49731</v>
      </c>
    </row>
    <row r="426" spans="1:1" x14ac:dyDescent="0.3">
      <c r="A426" s="34">
        <v>49776</v>
      </c>
    </row>
    <row r="427" spans="1:1" x14ac:dyDescent="0.3">
      <c r="A427" s="34">
        <v>49786</v>
      </c>
    </row>
    <row r="428" spans="1:1" x14ac:dyDescent="0.3">
      <c r="A428" s="34">
        <v>49796</v>
      </c>
    </row>
    <row r="429" spans="1:1" x14ac:dyDescent="0.3">
      <c r="A429" s="34">
        <v>49838</v>
      </c>
    </row>
    <row r="430" spans="1:1" x14ac:dyDescent="0.3">
      <c r="A430" s="34">
        <v>49925</v>
      </c>
    </row>
    <row r="431" spans="1:1" x14ac:dyDescent="0.3">
      <c r="A431" s="34">
        <v>49960</v>
      </c>
    </row>
    <row r="432" spans="1:1" x14ac:dyDescent="0.3">
      <c r="A432" s="34">
        <v>49981</v>
      </c>
    </row>
    <row r="433" spans="1:1" x14ac:dyDescent="0.3">
      <c r="A433" s="34">
        <v>49994</v>
      </c>
    </row>
    <row r="434" spans="1:1" x14ac:dyDescent="0.3">
      <c r="A434" s="34">
        <v>50034</v>
      </c>
    </row>
    <row r="435" spans="1:1" x14ac:dyDescent="0.3">
      <c r="A435" s="34">
        <v>50041</v>
      </c>
    </row>
    <row r="436" spans="1:1" x14ac:dyDescent="0.3">
      <c r="A436" s="34">
        <v>50087</v>
      </c>
    </row>
    <row r="437" spans="1:1" x14ac:dyDescent="0.3">
      <c r="A437" s="34">
        <v>50088</v>
      </c>
    </row>
    <row r="438" spans="1:1" x14ac:dyDescent="0.3">
      <c r="A438" s="34">
        <v>50133</v>
      </c>
    </row>
    <row r="439" spans="1:1" x14ac:dyDescent="0.3">
      <c r="A439" s="34">
        <v>50151</v>
      </c>
    </row>
    <row r="440" spans="1:1" x14ac:dyDescent="0.3">
      <c r="A440" s="34">
        <v>50161</v>
      </c>
    </row>
    <row r="441" spans="1:1" x14ac:dyDescent="0.3">
      <c r="A441" s="34">
        <v>50195</v>
      </c>
    </row>
    <row r="442" spans="1:1" x14ac:dyDescent="0.3">
      <c r="A442" s="34">
        <v>50290</v>
      </c>
    </row>
    <row r="443" spans="1:1" x14ac:dyDescent="0.3">
      <c r="A443" s="34">
        <v>50325</v>
      </c>
    </row>
    <row r="444" spans="1:1" x14ac:dyDescent="0.3">
      <c r="A444" s="34">
        <v>50346</v>
      </c>
    </row>
    <row r="445" spans="1:1" x14ac:dyDescent="0.3">
      <c r="A445" s="34">
        <v>50359</v>
      </c>
    </row>
    <row r="446" spans="1:1" x14ac:dyDescent="0.3">
      <c r="A446" s="34">
        <v>50399</v>
      </c>
    </row>
    <row r="447" spans="1:1" x14ac:dyDescent="0.3">
      <c r="A447" s="34">
        <v>50406</v>
      </c>
    </row>
    <row r="448" spans="1:1" x14ac:dyDescent="0.3">
      <c r="A448" s="34">
        <v>50472</v>
      </c>
    </row>
    <row r="449" spans="1:1" x14ac:dyDescent="0.3">
      <c r="A449" s="34">
        <v>50473</v>
      </c>
    </row>
    <row r="450" spans="1:1" x14ac:dyDescent="0.3">
      <c r="A450" s="34">
        <v>50516</v>
      </c>
    </row>
    <row r="451" spans="1:1" x14ac:dyDescent="0.3">
      <c r="A451" s="34">
        <v>50518</v>
      </c>
    </row>
    <row r="452" spans="1:1" x14ac:dyDescent="0.3">
      <c r="A452" s="34">
        <v>50526</v>
      </c>
    </row>
    <row r="453" spans="1:1" x14ac:dyDescent="0.3">
      <c r="A453" s="34">
        <v>50580</v>
      </c>
    </row>
    <row r="454" spans="1:1" x14ac:dyDescent="0.3">
      <c r="A454" s="34">
        <v>50655</v>
      </c>
    </row>
    <row r="455" spans="1:1" x14ac:dyDescent="0.3">
      <c r="A455" s="34">
        <v>50690</v>
      </c>
    </row>
    <row r="456" spans="1:1" x14ac:dyDescent="0.3">
      <c r="A456" s="34">
        <v>50711</v>
      </c>
    </row>
    <row r="457" spans="1:1" x14ac:dyDescent="0.3">
      <c r="A457" s="34">
        <v>50724</v>
      </c>
    </row>
    <row r="458" spans="1:1" x14ac:dyDescent="0.3">
      <c r="A458" s="34">
        <v>50764</v>
      </c>
    </row>
    <row r="459" spans="1:1" x14ac:dyDescent="0.3">
      <c r="A459" s="34">
        <v>50771</v>
      </c>
    </row>
    <row r="460" spans="1:1" x14ac:dyDescent="0.3">
      <c r="A460" s="34">
        <v>50822</v>
      </c>
    </row>
    <row r="461" spans="1:1" x14ac:dyDescent="0.3">
      <c r="A461" s="34">
        <v>50823</v>
      </c>
    </row>
    <row r="462" spans="1:1" x14ac:dyDescent="0.3">
      <c r="A462" s="34">
        <v>50868</v>
      </c>
    </row>
    <row r="463" spans="1:1" x14ac:dyDescent="0.3">
      <c r="A463" s="34">
        <v>50881</v>
      </c>
    </row>
    <row r="464" spans="1:1" x14ac:dyDescent="0.3">
      <c r="A464" s="34">
        <v>50891</v>
      </c>
    </row>
    <row r="465" spans="1:1" x14ac:dyDescent="0.3">
      <c r="A465" s="34">
        <v>50930</v>
      </c>
    </row>
    <row r="466" spans="1:1" x14ac:dyDescent="0.3">
      <c r="A466" s="34">
        <v>51020</v>
      </c>
    </row>
    <row r="467" spans="1:1" x14ac:dyDescent="0.3">
      <c r="A467" s="34">
        <v>51055</v>
      </c>
    </row>
    <row r="468" spans="1:1" x14ac:dyDescent="0.3">
      <c r="A468" s="34">
        <v>51076</v>
      </c>
    </row>
    <row r="469" spans="1:1" x14ac:dyDescent="0.3">
      <c r="A469" s="34">
        <v>51089</v>
      </c>
    </row>
    <row r="470" spans="1:1" x14ac:dyDescent="0.3">
      <c r="A470" s="34">
        <v>51129</v>
      </c>
    </row>
    <row r="471" spans="1:1" x14ac:dyDescent="0.3">
      <c r="A471" s="34">
        <v>51136</v>
      </c>
    </row>
    <row r="472" spans="1:1" x14ac:dyDescent="0.3">
      <c r="A472" s="34">
        <v>51179</v>
      </c>
    </row>
    <row r="473" spans="1:1" x14ac:dyDescent="0.3">
      <c r="A473" s="34">
        <v>51180</v>
      </c>
    </row>
    <row r="474" spans="1:1" x14ac:dyDescent="0.3">
      <c r="A474" s="34">
        <v>51225</v>
      </c>
    </row>
    <row r="475" spans="1:1" x14ac:dyDescent="0.3">
      <c r="A475" s="34">
        <v>51247</v>
      </c>
    </row>
    <row r="476" spans="1:1" x14ac:dyDescent="0.3">
      <c r="A476" s="34">
        <v>51257</v>
      </c>
    </row>
    <row r="477" spans="1:1" x14ac:dyDescent="0.3">
      <c r="A477" s="34">
        <v>51287</v>
      </c>
    </row>
    <row r="478" spans="1:1" x14ac:dyDescent="0.3">
      <c r="A478" s="34">
        <v>51386</v>
      </c>
    </row>
    <row r="479" spans="1:1" x14ac:dyDescent="0.3">
      <c r="A479" s="34">
        <v>51421</v>
      </c>
    </row>
    <row r="480" spans="1:1" x14ac:dyDescent="0.3">
      <c r="A480" s="34">
        <v>51442</v>
      </c>
    </row>
    <row r="481" spans="1:1" x14ac:dyDescent="0.3">
      <c r="A481" s="34">
        <v>51455</v>
      </c>
    </row>
    <row r="482" spans="1:1" x14ac:dyDescent="0.3">
      <c r="A482" s="34">
        <v>51495</v>
      </c>
    </row>
    <row r="483" spans="1:1" x14ac:dyDescent="0.3">
      <c r="A483" s="34">
        <v>51502</v>
      </c>
    </row>
    <row r="484" spans="1:1" x14ac:dyDescent="0.3">
      <c r="A484" s="34">
        <v>51564</v>
      </c>
    </row>
    <row r="485" spans="1:1" x14ac:dyDescent="0.3">
      <c r="A485" s="34">
        <v>51565</v>
      </c>
    </row>
    <row r="486" spans="1:1" x14ac:dyDescent="0.3">
      <c r="A486" s="34">
        <v>51610</v>
      </c>
    </row>
    <row r="487" spans="1:1" x14ac:dyDescent="0.3">
      <c r="A487" s="34">
        <v>51612</v>
      </c>
    </row>
    <row r="488" spans="1:1" x14ac:dyDescent="0.3">
      <c r="A488" s="34">
        <v>51622</v>
      </c>
    </row>
    <row r="489" spans="1:1" x14ac:dyDescent="0.3">
      <c r="A489" s="34">
        <v>51672</v>
      </c>
    </row>
    <row r="490" spans="1:1" x14ac:dyDescent="0.3">
      <c r="A490" s="34">
        <v>51751</v>
      </c>
    </row>
    <row r="491" spans="1:1" x14ac:dyDescent="0.3">
      <c r="A491" s="34">
        <v>51786</v>
      </c>
    </row>
    <row r="492" spans="1:1" x14ac:dyDescent="0.3">
      <c r="A492" s="34">
        <v>51807</v>
      </c>
    </row>
    <row r="493" spans="1:1" x14ac:dyDescent="0.3">
      <c r="A493" s="34">
        <v>51820</v>
      </c>
    </row>
    <row r="494" spans="1:1" x14ac:dyDescent="0.3">
      <c r="A494" s="34">
        <v>51860</v>
      </c>
    </row>
    <row r="495" spans="1:1" x14ac:dyDescent="0.3">
      <c r="A495" s="34">
        <v>51867</v>
      </c>
    </row>
    <row r="496" spans="1:1" x14ac:dyDescent="0.3">
      <c r="A496" s="34">
        <v>51914</v>
      </c>
    </row>
    <row r="497" spans="1:1" x14ac:dyDescent="0.3">
      <c r="A497" s="34">
        <v>51915</v>
      </c>
    </row>
    <row r="498" spans="1:1" x14ac:dyDescent="0.3">
      <c r="A498" s="34">
        <v>51960</v>
      </c>
    </row>
    <row r="499" spans="1:1" x14ac:dyDescent="0.3">
      <c r="A499" s="34">
        <v>51977</v>
      </c>
    </row>
    <row r="500" spans="1:1" x14ac:dyDescent="0.3">
      <c r="A500" s="34">
        <v>51987</v>
      </c>
    </row>
    <row r="501" spans="1:1" x14ac:dyDescent="0.3">
      <c r="A501" s="34">
        <v>52022</v>
      </c>
    </row>
    <row r="502" spans="1:1" x14ac:dyDescent="0.3">
      <c r="A502" s="34">
        <v>52116</v>
      </c>
    </row>
    <row r="503" spans="1:1" x14ac:dyDescent="0.3">
      <c r="A503" s="34">
        <v>52151</v>
      </c>
    </row>
    <row r="504" spans="1:1" x14ac:dyDescent="0.3">
      <c r="A504" s="34">
        <v>52172</v>
      </c>
    </row>
    <row r="505" spans="1:1" x14ac:dyDescent="0.3">
      <c r="A505" s="34">
        <v>52185</v>
      </c>
    </row>
    <row r="506" spans="1:1" x14ac:dyDescent="0.3">
      <c r="A506" s="34">
        <v>52225</v>
      </c>
    </row>
    <row r="507" spans="1:1" x14ac:dyDescent="0.3">
      <c r="A507" s="34">
        <v>52232</v>
      </c>
    </row>
    <row r="508" spans="1:1" x14ac:dyDescent="0.3">
      <c r="A508" s="34">
        <v>52271</v>
      </c>
    </row>
    <row r="509" spans="1:1" x14ac:dyDescent="0.3">
      <c r="A509" s="34">
        <v>52272</v>
      </c>
    </row>
    <row r="510" spans="1:1" x14ac:dyDescent="0.3">
      <c r="A510" s="34">
        <v>52317</v>
      </c>
    </row>
    <row r="511" spans="1:1" x14ac:dyDescent="0.3">
      <c r="A511" s="34">
        <v>52342</v>
      </c>
    </row>
    <row r="512" spans="1:1" x14ac:dyDescent="0.3">
      <c r="A512" s="34">
        <v>52352</v>
      </c>
    </row>
    <row r="513" spans="1:1" x14ac:dyDescent="0.3">
      <c r="A513" s="34">
        <v>52379</v>
      </c>
    </row>
    <row r="514" spans="1:1" x14ac:dyDescent="0.3">
      <c r="A514" s="34">
        <v>52481</v>
      </c>
    </row>
    <row r="515" spans="1:1" x14ac:dyDescent="0.3">
      <c r="A515" s="34">
        <v>52516</v>
      </c>
    </row>
    <row r="516" spans="1:1" x14ac:dyDescent="0.3">
      <c r="A516" s="34">
        <v>52537</v>
      </c>
    </row>
    <row r="517" spans="1:1" x14ac:dyDescent="0.3">
      <c r="A517" s="34">
        <v>52550</v>
      </c>
    </row>
    <row r="518" spans="1:1" x14ac:dyDescent="0.3">
      <c r="A518" s="34">
        <v>52590</v>
      </c>
    </row>
    <row r="519" spans="1:1" x14ac:dyDescent="0.3">
      <c r="A519" s="34">
        <v>52597</v>
      </c>
    </row>
    <row r="520" spans="1:1" x14ac:dyDescent="0.3">
      <c r="A520" s="34">
        <v>52656</v>
      </c>
    </row>
    <row r="521" spans="1:1" x14ac:dyDescent="0.3">
      <c r="A521" s="34">
        <v>52657</v>
      </c>
    </row>
    <row r="522" spans="1:1" x14ac:dyDescent="0.3">
      <c r="A522" s="34">
        <v>52702</v>
      </c>
    </row>
    <row r="523" spans="1:1" x14ac:dyDescent="0.3">
      <c r="A523" s="34">
        <v>52708</v>
      </c>
    </row>
    <row r="524" spans="1:1" x14ac:dyDescent="0.3">
      <c r="A524" s="34">
        <v>52718</v>
      </c>
    </row>
    <row r="525" spans="1:1" x14ac:dyDescent="0.3">
      <c r="A525" s="34">
        <v>52764</v>
      </c>
    </row>
    <row r="526" spans="1:1" x14ac:dyDescent="0.3">
      <c r="A526" s="34">
        <v>52847</v>
      </c>
    </row>
    <row r="527" spans="1:1" x14ac:dyDescent="0.3">
      <c r="A527" s="34">
        <v>52882</v>
      </c>
    </row>
    <row r="528" spans="1:1" x14ac:dyDescent="0.3">
      <c r="A528" s="34">
        <v>52903</v>
      </c>
    </row>
    <row r="529" spans="1:1" x14ac:dyDescent="0.3">
      <c r="A529" s="34">
        <v>52916</v>
      </c>
    </row>
    <row r="530" spans="1:1" x14ac:dyDescent="0.3">
      <c r="A530" s="34">
        <v>52956</v>
      </c>
    </row>
    <row r="531" spans="1:1" x14ac:dyDescent="0.3">
      <c r="A531" s="34">
        <v>52963</v>
      </c>
    </row>
    <row r="532" spans="1:1" x14ac:dyDescent="0.3">
      <c r="A532" s="34">
        <v>53013</v>
      </c>
    </row>
    <row r="533" spans="1:1" x14ac:dyDescent="0.3">
      <c r="A533" s="34">
        <v>53014</v>
      </c>
    </row>
    <row r="534" spans="1:1" x14ac:dyDescent="0.3">
      <c r="A534" s="34">
        <v>53059</v>
      </c>
    </row>
    <row r="535" spans="1:1" x14ac:dyDescent="0.3">
      <c r="A535" s="34">
        <v>53073</v>
      </c>
    </row>
    <row r="536" spans="1:1" x14ac:dyDescent="0.3">
      <c r="A536" s="34">
        <v>53083</v>
      </c>
    </row>
    <row r="537" spans="1:1" x14ac:dyDescent="0.3">
      <c r="A537" s="34">
        <v>53121</v>
      </c>
    </row>
    <row r="538" spans="1:1" x14ac:dyDescent="0.3">
      <c r="A538" s="34">
        <v>53212</v>
      </c>
    </row>
    <row r="539" spans="1:1" x14ac:dyDescent="0.3">
      <c r="A539" s="34">
        <v>53247</v>
      </c>
    </row>
    <row r="540" spans="1:1" x14ac:dyDescent="0.3">
      <c r="A540" s="34">
        <v>53268</v>
      </c>
    </row>
    <row r="541" spans="1:1" x14ac:dyDescent="0.3">
      <c r="A541" s="34">
        <v>53281</v>
      </c>
    </row>
    <row r="542" spans="1:1" x14ac:dyDescent="0.3">
      <c r="A542" s="34">
        <v>53321</v>
      </c>
    </row>
    <row r="543" spans="1:1" x14ac:dyDescent="0.3">
      <c r="A543" s="34">
        <v>53328</v>
      </c>
    </row>
    <row r="544" spans="1:1" x14ac:dyDescent="0.3">
      <c r="A544" s="34">
        <v>53363</v>
      </c>
    </row>
    <row r="545" spans="1:1" x14ac:dyDescent="0.3">
      <c r="A545" s="34">
        <v>53364</v>
      </c>
    </row>
    <row r="546" spans="1:1" x14ac:dyDescent="0.3">
      <c r="A546" s="34">
        <v>53409</v>
      </c>
    </row>
    <row r="547" spans="1:1" x14ac:dyDescent="0.3">
      <c r="A547" s="34">
        <v>53438</v>
      </c>
    </row>
    <row r="548" spans="1:1" x14ac:dyDescent="0.3">
      <c r="A548" s="34">
        <v>53448</v>
      </c>
    </row>
    <row r="549" spans="1:1" x14ac:dyDescent="0.3">
      <c r="A549" s="34">
        <v>53471</v>
      </c>
    </row>
    <row r="550" spans="1:1" x14ac:dyDescent="0.3">
      <c r="A550" s="34">
        <v>53577</v>
      </c>
    </row>
    <row r="551" spans="1:1" x14ac:dyDescent="0.3">
      <c r="A551" s="34">
        <v>53612</v>
      </c>
    </row>
    <row r="552" spans="1:1" x14ac:dyDescent="0.3">
      <c r="A552" s="34">
        <v>53633</v>
      </c>
    </row>
    <row r="553" spans="1:1" x14ac:dyDescent="0.3">
      <c r="A553" s="34">
        <v>53646</v>
      </c>
    </row>
    <row r="554" spans="1:1" x14ac:dyDescent="0.3">
      <c r="A554" s="34">
        <v>53686</v>
      </c>
    </row>
    <row r="555" spans="1:1" x14ac:dyDescent="0.3">
      <c r="A555" s="34">
        <v>53693</v>
      </c>
    </row>
    <row r="556" spans="1:1" x14ac:dyDescent="0.3">
      <c r="A556" s="34">
        <v>53748</v>
      </c>
    </row>
    <row r="557" spans="1:1" x14ac:dyDescent="0.3">
      <c r="A557" s="34">
        <v>53749</v>
      </c>
    </row>
    <row r="558" spans="1:1" x14ac:dyDescent="0.3">
      <c r="A558" s="34">
        <v>53794</v>
      </c>
    </row>
    <row r="559" spans="1:1" x14ac:dyDescent="0.3">
      <c r="A559" s="34">
        <v>53803</v>
      </c>
    </row>
    <row r="560" spans="1:1" x14ac:dyDescent="0.3">
      <c r="A560" s="34">
        <v>53813</v>
      </c>
    </row>
    <row r="561" spans="1:1" x14ac:dyDescent="0.3">
      <c r="A561" s="34">
        <v>53856</v>
      </c>
    </row>
    <row r="562" spans="1:1" x14ac:dyDescent="0.3">
      <c r="A562" s="34">
        <v>53942</v>
      </c>
    </row>
    <row r="563" spans="1:1" x14ac:dyDescent="0.3">
      <c r="A563" s="34">
        <v>53977</v>
      </c>
    </row>
    <row r="564" spans="1:1" x14ac:dyDescent="0.3">
      <c r="A564" s="34">
        <v>53998</v>
      </c>
    </row>
    <row r="565" spans="1:1" x14ac:dyDescent="0.3">
      <c r="A565" s="34">
        <v>54011</v>
      </c>
    </row>
    <row r="566" spans="1:1" x14ac:dyDescent="0.3">
      <c r="A566" s="34">
        <v>54051</v>
      </c>
    </row>
    <row r="567" spans="1:1" x14ac:dyDescent="0.3">
      <c r="A567" s="34">
        <v>54058</v>
      </c>
    </row>
    <row r="568" spans="1:1" x14ac:dyDescent="0.3">
      <c r="A568" s="34">
        <v>54105</v>
      </c>
    </row>
    <row r="569" spans="1:1" x14ac:dyDescent="0.3">
      <c r="A569" s="34">
        <v>54106</v>
      </c>
    </row>
    <row r="570" spans="1:1" x14ac:dyDescent="0.3">
      <c r="A570" s="34">
        <v>54151</v>
      </c>
    </row>
    <row r="571" spans="1:1" x14ac:dyDescent="0.3">
      <c r="A571" s="34">
        <v>54169</v>
      </c>
    </row>
    <row r="572" spans="1:1" x14ac:dyDescent="0.3">
      <c r="A572" s="34">
        <v>54179</v>
      </c>
    </row>
    <row r="573" spans="1:1" x14ac:dyDescent="0.3">
      <c r="A573" s="34">
        <v>54213</v>
      </c>
    </row>
    <row r="574" spans="1:1" x14ac:dyDescent="0.3">
      <c r="A574" s="34">
        <v>54308</v>
      </c>
    </row>
    <row r="575" spans="1:1" x14ac:dyDescent="0.3">
      <c r="A575" s="34">
        <v>54343</v>
      </c>
    </row>
    <row r="576" spans="1:1" x14ac:dyDescent="0.3">
      <c r="A576" s="34">
        <v>54364</v>
      </c>
    </row>
    <row r="577" spans="1:1" x14ac:dyDescent="0.3">
      <c r="A577" s="34">
        <v>54377</v>
      </c>
    </row>
    <row r="578" spans="1:1" x14ac:dyDescent="0.3">
      <c r="A578" s="34">
        <v>54417</v>
      </c>
    </row>
    <row r="579" spans="1:1" x14ac:dyDescent="0.3">
      <c r="A579" s="34">
        <v>54424</v>
      </c>
    </row>
    <row r="580" spans="1:1" x14ac:dyDescent="0.3">
      <c r="A580" s="34">
        <v>54483</v>
      </c>
    </row>
    <row r="581" spans="1:1" x14ac:dyDescent="0.3">
      <c r="A581" s="34">
        <v>54484</v>
      </c>
    </row>
    <row r="582" spans="1:1" x14ac:dyDescent="0.3">
      <c r="A582" s="34">
        <v>54529</v>
      </c>
    </row>
    <row r="583" spans="1:1" x14ac:dyDescent="0.3">
      <c r="A583" s="34">
        <v>54534</v>
      </c>
    </row>
    <row r="584" spans="1:1" x14ac:dyDescent="0.3">
      <c r="A584" s="34">
        <v>54544</v>
      </c>
    </row>
    <row r="585" spans="1:1" x14ac:dyDescent="0.3">
      <c r="A585" s="34">
        <v>54591</v>
      </c>
    </row>
    <row r="586" spans="1:1" x14ac:dyDescent="0.3">
      <c r="A586" s="34">
        <v>54673</v>
      </c>
    </row>
    <row r="587" spans="1:1" x14ac:dyDescent="0.3">
      <c r="A587" s="34">
        <v>54708</v>
      </c>
    </row>
    <row r="588" spans="1:1" x14ac:dyDescent="0.3">
      <c r="A588" s="34">
        <v>54729</v>
      </c>
    </row>
    <row r="589" spans="1:1" x14ac:dyDescent="0.3">
      <c r="A589" s="34">
        <v>54742</v>
      </c>
    </row>
    <row r="590" spans="1:1" x14ac:dyDescent="0.3">
      <c r="A590" s="34">
        <v>54782</v>
      </c>
    </row>
    <row r="591" spans="1:1" x14ac:dyDescent="0.3">
      <c r="A591" s="34">
        <v>54789</v>
      </c>
    </row>
    <row r="592" spans="1:1" x14ac:dyDescent="0.3">
      <c r="A592" s="34">
        <v>54840</v>
      </c>
    </row>
    <row r="593" spans="1:1" x14ac:dyDescent="0.3">
      <c r="A593" s="34">
        <v>54841</v>
      </c>
    </row>
    <row r="594" spans="1:1" x14ac:dyDescent="0.3">
      <c r="A594" s="34">
        <v>54886</v>
      </c>
    </row>
    <row r="595" spans="1:1" x14ac:dyDescent="0.3">
      <c r="A595" s="34">
        <v>54899</v>
      </c>
    </row>
    <row r="596" spans="1:1" x14ac:dyDescent="0.3">
      <c r="A596" s="34">
        <v>54909</v>
      </c>
    </row>
    <row r="597" spans="1:1" x14ac:dyDescent="0.3">
      <c r="A597" s="34">
        <v>54948</v>
      </c>
    </row>
    <row r="598" spans="1:1" x14ac:dyDescent="0.3">
      <c r="A598" s="34">
        <v>55038</v>
      </c>
    </row>
    <row r="599" spans="1:1" x14ac:dyDescent="0.3">
      <c r="A599" s="34">
        <v>55073</v>
      </c>
    </row>
    <row r="600" spans="1:1" x14ac:dyDescent="0.3">
      <c r="A600" s="34">
        <v>55094</v>
      </c>
    </row>
    <row r="601" spans="1:1" x14ac:dyDescent="0.3">
      <c r="A601" s="34">
        <v>55107</v>
      </c>
    </row>
    <row r="602" spans="1:1" x14ac:dyDescent="0.3">
      <c r="A602" s="34">
        <v>55147</v>
      </c>
    </row>
    <row r="603" spans="1:1" x14ac:dyDescent="0.3">
      <c r="A603" s="34">
        <v>55154</v>
      </c>
    </row>
    <row r="604" spans="1:1" x14ac:dyDescent="0.3">
      <c r="A604" s="34">
        <v>55197</v>
      </c>
    </row>
    <row r="605" spans="1:1" x14ac:dyDescent="0.3">
      <c r="A605" s="34">
        <v>55198</v>
      </c>
    </row>
    <row r="606" spans="1:1" x14ac:dyDescent="0.3">
      <c r="A606" s="34">
        <v>55243</v>
      </c>
    </row>
    <row r="607" spans="1:1" x14ac:dyDescent="0.3">
      <c r="A607" s="34">
        <v>55264</v>
      </c>
    </row>
    <row r="608" spans="1:1" x14ac:dyDescent="0.3">
      <c r="A608" s="34">
        <v>55274</v>
      </c>
    </row>
    <row r="609" spans="1:1" x14ac:dyDescent="0.3">
      <c r="A609" s="34">
        <v>55305</v>
      </c>
    </row>
    <row r="610" spans="1:1" x14ac:dyDescent="0.3">
      <c r="A610" s="34">
        <v>55403</v>
      </c>
    </row>
    <row r="611" spans="1:1" x14ac:dyDescent="0.3">
      <c r="A611" s="34">
        <v>55438</v>
      </c>
    </row>
    <row r="612" spans="1:1" x14ac:dyDescent="0.3">
      <c r="A612" s="34">
        <v>55459</v>
      </c>
    </row>
    <row r="613" spans="1:1" x14ac:dyDescent="0.3">
      <c r="A613" s="34">
        <v>55472</v>
      </c>
    </row>
    <row r="614" spans="1:1" x14ac:dyDescent="0.3">
      <c r="A614" s="34">
        <v>55512</v>
      </c>
    </row>
    <row r="615" spans="1:1" x14ac:dyDescent="0.3">
      <c r="A615" s="34">
        <v>55519</v>
      </c>
    </row>
    <row r="616" spans="1:1" x14ac:dyDescent="0.3">
      <c r="A616" s="34">
        <v>55582</v>
      </c>
    </row>
    <row r="617" spans="1:1" x14ac:dyDescent="0.3">
      <c r="A617" s="34">
        <v>55583</v>
      </c>
    </row>
    <row r="618" spans="1:1" x14ac:dyDescent="0.3">
      <c r="A618" s="34">
        <v>55628</v>
      </c>
    </row>
    <row r="619" spans="1:1" x14ac:dyDescent="0.3">
      <c r="A619" s="34">
        <v>55630</v>
      </c>
    </row>
    <row r="620" spans="1:1" x14ac:dyDescent="0.3">
      <c r="A620" s="34">
        <v>55640</v>
      </c>
    </row>
    <row r="621" spans="1:1" x14ac:dyDescent="0.3">
      <c r="A621" s="34">
        <v>55690</v>
      </c>
    </row>
    <row r="622" spans="1:1" x14ac:dyDescent="0.3">
      <c r="A622" s="34">
        <v>55769</v>
      </c>
    </row>
    <row r="623" spans="1:1" x14ac:dyDescent="0.3">
      <c r="A623" s="34">
        <v>55804</v>
      </c>
    </row>
    <row r="624" spans="1:1" x14ac:dyDescent="0.3">
      <c r="A624" s="34">
        <v>55825</v>
      </c>
    </row>
    <row r="625" spans="1:1" x14ac:dyDescent="0.3">
      <c r="A625" s="34">
        <v>55838</v>
      </c>
    </row>
    <row r="626" spans="1:1" x14ac:dyDescent="0.3">
      <c r="A626" s="34">
        <v>55878</v>
      </c>
    </row>
    <row r="627" spans="1:1" x14ac:dyDescent="0.3">
      <c r="A627" s="34">
        <v>55885</v>
      </c>
    </row>
    <row r="628" spans="1:1" x14ac:dyDescent="0.3">
      <c r="A628" s="34">
        <v>55932</v>
      </c>
    </row>
    <row r="629" spans="1:1" x14ac:dyDescent="0.3">
      <c r="A629" s="34">
        <v>55933</v>
      </c>
    </row>
    <row r="630" spans="1:1" x14ac:dyDescent="0.3">
      <c r="A630" s="34">
        <v>55978</v>
      </c>
    </row>
    <row r="631" spans="1:1" x14ac:dyDescent="0.3">
      <c r="A631" s="34">
        <v>55995</v>
      </c>
    </row>
    <row r="632" spans="1:1" x14ac:dyDescent="0.3">
      <c r="A632" s="34">
        <v>56005</v>
      </c>
    </row>
    <row r="633" spans="1:1" x14ac:dyDescent="0.3">
      <c r="A633" s="34">
        <v>56040</v>
      </c>
    </row>
    <row r="634" spans="1:1" x14ac:dyDescent="0.3">
      <c r="A634" s="34">
        <v>56134</v>
      </c>
    </row>
    <row r="635" spans="1:1" x14ac:dyDescent="0.3">
      <c r="A635" s="34">
        <v>56169</v>
      </c>
    </row>
    <row r="636" spans="1:1" x14ac:dyDescent="0.3">
      <c r="A636" s="34">
        <v>56190</v>
      </c>
    </row>
    <row r="637" spans="1:1" x14ac:dyDescent="0.3">
      <c r="A637" s="34">
        <v>56203</v>
      </c>
    </row>
    <row r="638" spans="1:1" x14ac:dyDescent="0.3">
      <c r="A638" s="34">
        <v>56243</v>
      </c>
    </row>
    <row r="639" spans="1:1" x14ac:dyDescent="0.3">
      <c r="A639" s="34">
        <v>56250</v>
      </c>
    </row>
    <row r="640" spans="1:1" x14ac:dyDescent="0.3">
      <c r="A640" s="34">
        <v>56289</v>
      </c>
    </row>
    <row r="641" spans="1:1" x14ac:dyDescent="0.3">
      <c r="A641" s="34">
        <v>56290</v>
      </c>
    </row>
    <row r="642" spans="1:1" x14ac:dyDescent="0.3">
      <c r="A642" s="34">
        <v>56335</v>
      </c>
    </row>
    <row r="643" spans="1:1" x14ac:dyDescent="0.3">
      <c r="A643" s="34">
        <v>56360</v>
      </c>
    </row>
    <row r="644" spans="1:1" x14ac:dyDescent="0.3">
      <c r="A644" s="34">
        <v>56370</v>
      </c>
    </row>
    <row r="645" spans="1:1" x14ac:dyDescent="0.3">
      <c r="A645" s="34">
        <v>56397</v>
      </c>
    </row>
    <row r="646" spans="1:1" x14ac:dyDescent="0.3">
      <c r="A646" s="34">
        <v>56499</v>
      </c>
    </row>
    <row r="647" spans="1:1" x14ac:dyDescent="0.3">
      <c r="A647" s="34">
        <v>56534</v>
      </c>
    </row>
    <row r="648" spans="1:1" x14ac:dyDescent="0.3">
      <c r="A648" s="34">
        <v>56555</v>
      </c>
    </row>
    <row r="649" spans="1:1" x14ac:dyDescent="0.3">
      <c r="A649" s="34">
        <v>56568</v>
      </c>
    </row>
    <row r="650" spans="1:1" x14ac:dyDescent="0.3">
      <c r="A650" s="34">
        <v>56608</v>
      </c>
    </row>
    <row r="651" spans="1:1" x14ac:dyDescent="0.3">
      <c r="A651" s="34">
        <v>56615</v>
      </c>
    </row>
    <row r="652" spans="1:1" x14ac:dyDescent="0.3">
      <c r="A652" s="34">
        <v>56674</v>
      </c>
    </row>
    <row r="653" spans="1:1" x14ac:dyDescent="0.3">
      <c r="A653" s="34">
        <v>56675</v>
      </c>
    </row>
    <row r="654" spans="1:1" x14ac:dyDescent="0.3">
      <c r="A654" s="34">
        <v>56720</v>
      </c>
    </row>
    <row r="655" spans="1:1" x14ac:dyDescent="0.3">
      <c r="A655" s="34">
        <v>56725</v>
      </c>
    </row>
    <row r="656" spans="1:1" x14ac:dyDescent="0.3">
      <c r="A656" s="34">
        <v>56735</v>
      </c>
    </row>
    <row r="657" spans="1:1" x14ac:dyDescent="0.3">
      <c r="A657" s="34">
        <v>56782</v>
      </c>
    </row>
    <row r="658" spans="1:1" x14ac:dyDescent="0.3">
      <c r="A658" s="34">
        <v>56864</v>
      </c>
    </row>
    <row r="659" spans="1:1" x14ac:dyDescent="0.3">
      <c r="A659" s="34">
        <v>56899</v>
      </c>
    </row>
    <row r="660" spans="1:1" x14ac:dyDescent="0.3">
      <c r="A660" s="34">
        <v>56920</v>
      </c>
    </row>
    <row r="661" spans="1:1" x14ac:dyDescent="0.3">
      <c r="A661" s="34">
        <v>56933</v>
      </c>
    </row>
    <row r="662" spans="1:1" x14ac:dyDescent="0.3">
      <c r="A662" s="34">
        <v>56973</v>
      </c>
    </row>
    <row r="663" spans="1:1" x14ac:dyDescent="0.3">
      <c r="A663" s="34">
        <v>56980</v>
      </c>
    </row>
    <row r="664" spans="1:1" x14ac:dyDescent="0.3">
      <c r="A664" s="34">
        <v>57024</v>
      </c>
    </row>
    <row r="665" spans="1:1" x14ac:dyDescent="0.3">
      <c r="A665" s="34">
        <v>57025</v>
      </c>
    </row>
    <row r="666" spans="1:1" x14ac:dyDescent="0.3">
      <c r="A666" s="34">
        <v>57070</v>
      </c>
    </row>
    <row r="667" spans="1:1" x14ac:dyDescent="0.3">
      <c r="A667" s="34">
        <v>57091</v>
      </c>
    </row>
    <row r="668" spans="1:1" x14ac:dyDescent="0.3">
      <c r="A668" s="34">
        <v>57101</v>
      </c>
    </row>
    <row r="669" spans="1:1" x14ac:dyDescent="0.3">
      <c r="A669" s="34">
        <v>57132</v>
      </c>
    </row>
    <row r="670" spans="1:1" x14ac:dyDescent="0.3">
      <c r="A670" s="34">
        <v>57230</v>
      </c>
    </row>
    <row r="671" spans="1:1" x14ac:dyDescent="0.3">
      <c r="A671" s="34">
        <v>57265</v>
      </c>
    </row>
    <row r="672" spans="1:1" x14ac:dyDescent="0.3">
      <c r="A672" s="34">
        <v>57286</v>
      </c>
    </row>
    <row r="673" spans="1:1" x14ac:dyDescent="0.3">
      <c r="A673" s="34">
        <v>57299</v>
      </c>
    </row>
    <row r="674" spans="1:1" x14ac:dyDescent="0.3">
      <c r="A674" s="34">
        <v>57339</v>
      </c>
    </row>
    <row r="675" spans="1:1" x14ac:dyDescent="0.3">
      <c r="A675" s="34">
        <v>57346</v>
      </c>
    </row>
    <row r="676" spans="1:1" x14ac:dyDescent="0.3">
      <c r="A676" s="34">
        <v>57409</v>
      </c>
    </row>
    <row r="677" spans="1:1" x14ac:dyDescent="0.3">
      <c r="A677" s="34">
        <v>57410</v>
      </c>
    </row>
    <row r="678" spans="1:1" x14ac:dyDescent="0.3">
      <c r="A678" s="34">
        <v>57455</v>
      </c>
    </row>
    <row r="679" spans="1:1" x14ac:dyDescent="0.3">
      <c r="A679" s="34">
        <v>57456</v>
      </c>
    </row>
    <row r="680" spans="1:1" x14ac:dyDescent="0.3">
      <c r="A680" s="34">
        <v>57466</v>
      </c>
    </row>
    <row r="681" spans="1:1" x14ac:dyDescent="0.3">
      <c r="A681" s="34">
        <v>57517</v>
      </c>
    </row>
    <row r="682" spans="1:1" x14ac:dyDescent="0.3">
      <c r="A682" s="34">
        <v>57595</v>
      </c>
    </row>
    <row r="683" spans="1:1" x14ac:dyDescent="0.3">
      <c r="A683" s="34">
        <v>57630</v>
      </c>
    </row>
    <row r="684" spans="1:1" x14ac:dyDescent="0.3">
      <c r="A684" s="34">
        <v>57651</v>
      </c>
    </row>
    <row r="685" spans="1:1" x14ac:dyDescent="0.3">
      <c r="A685" s="34">
        <v>57664</v>
      </c>
    </row>
    <row r="686" spans="1:1" x14ac:dyDescent="0.3">
      <c r="A686" s="34">
        <v>57704</v>
      </c>
    </row>
    <row r="687" spans="1:1" x14ac:dyDescent="0.3">
      <c r="A687" s="34">
        <v>57711</v>
      </c>
    </row>
    <row r="688" spans="1:1" x14ac:dyDescent="0.3">
      <c r="A688" s="34">
        <v>57766</v>
      </c>
    </row>
    <row r="689" spans="1:1" x14ac:dyDescent="0.3">
      <c r="A689" s="34">
        <v>57767</v>
      </c>
    </row>
    <row r="690" spans="1:1" x14ac:dyDescent="0.3">
      <c r="A690" s="34">
        <v>57812</v>
      </c>
    </row>
    <row r="691" spans="1:1" x14ac:dyDescent="0.3">
      <c r="A691" s="34">
        <v>57821</v>
      </c>
    </row>
    <row r="692" spans="1:1" x14ac:dyDescent="0.3">
      <c r="A692" s="34">
        <v>57831</v>
      </c>
    </row>
    <row r="693" spans="1:1" x14ac:dyDescent="0.3">
      <c r="A693" s="34">
        <v>57874</v>
      </c>
    </row>
    <row r="694" spans="1:1" x14ac:dyDescent="0.3">
      <c r="A694" s="34">
        <v>57960</v>
      </c>
    </row>
    <row r="695" spans="1:1" x14ac:dyDescent="0.3">
      <c r="A695" s="34">
        <v>57995</v>
      </c>
    </row>
    <row r="696" spans="1:1" x14ac:dyDescent="0.3">
      <c r="A696" s="34">
        <v>58016</v>
      </c>
    </row>
    <row r="697" spans="1:1" x14ac:dyDescent="0.3">
      <c r="A697" s="34">
        <v>58029</v>
      </c>
    </row>
    <row r="698" spans="1:1" x14ac:dyDescent="0.3">
      <c r="A698" s="34">
        <v>58069</v>
      </c>
    </row>
    <row r="699" spans="1:1" x14ac:dyDescent="0.3">
      <c r="A699" s="34">
        <v>58076</v>
      </c>
    </row>
    <row r="700" spans="1:1" x14ac:dyDescent="0.3">
      <c r="A700" s="34">
        <v>58116</v>
      </c>
    </row>
    <row r="701" spans="1:1" x14ac:dyDescent="0.3">
      <c r="A701" s="34">
        <v>58117</v>
      </c>
    </row>
    <row r="702" spans="1:1" x14ac:dyDescent="0.3">
      <c r="A702" s="34">
        <v>58162</v>
      </c>
    </row>
    <row r="703" spans="1:1" x14ac:dyDescent="0.3">
      <c r="A703" s="34">
        <v>58186</v>
      </c>
    </row>
    <row r="704" spans="1:1" x14ac:dyDescent="0.3">
      <c r="A704" s="34">
        <v>58196</v>
      </c>
    </row>
    <row r="705" spans="1:1" x14ac:dyDescent="0.3">
      <c r="A705" s="34">
        <v>58224</v>
      </c>
    </row>
    <row r="706" spans="1:1" x14ac:dyDescent="0.3">
      <c r="A706" s="34">
        <v>58325</v>
      </c>
    </row>
    <row r="707" spans="1:1" x14ac:dyDescent="0.3">
      <c r="A707" s="34">
        <v>58360</v>
      </c>
    </row>
    <row r="708" spans="1:1" x14ac:dyDescent="0.3">
      <c r="A708" s="34">
        <v>58381</v>
      </c>
    </row>
    <row r="709" spans="1:1" x14ac:dyDescent="0.3">
      <c r="A709" s="34">
        <v>58394</v>
      </c>
    </row>
    <row r="710" spans="1:1" x14ac:dyDescent="0.3">
      <c r="A710" s="34">
        <v>58434</v>
      </c>
    </row>
    <row r="711" spans="1:1" x14ac:dyDescent="0.3">
      <c r="A711" s="34">
        <v>58441</v>
      </c>
    </row>
    <row r="712" spans="1:1" x14ac:dyDescent="0.3">
      <c r="A712" s="34">
        <v>58501</v>
      </c>
    </row>
    <row r="713" spans="1:1" x14ac:dyDescent="0.3">
      <c r="A713" s="34">
        <v>58502</v>
      </c>
    </row>
    <row r="714" spans="1:1" x14ac:dyDescent="0.3">
      <c r="A714" s="34">
        <v>58547</v>
      </c>
    </row>
    <row r="715" spans="1:1" x14ac:dyDescent="0.3">
      <c r="A715" s="34">
        <v>58552</v>
      </c>
    </row>
    <row r="716" spans="1:1" x14ac:dyDescent="0.3">
      <c r="A716" s="34">
        <v>58562</v>
      </c>
    </row>
    <row r="717" spans="1:1" x14ac:dyDescent="0.3">
      <c r="A717" s="34">
        <v>58609</v>
      </c>
    </row>
    <row r="718" spans="1:1" x14ac:dyDescent="0.3">
      <c r="A718" s="34">
        <v>58691</v>
      </c>
    </row>
    <row r="719" spans="1:1" x14ac:dyDescent="0.3">
      <c r="A719" s="34">
        <v>58726</v>
      </c>
    </row>
    <row r="720" spans="1:1" x14ac:dyDescent="0.3">
      <c r="A720" s="34">
        <v>58747</v>
      </c>
    </row>
    <row r="721" spans="1:1" x14ac:dyDescent="0.3">
      <c r="A721" s="34">
        <v>58760</v>
      </c>
    </row>
    <row r="722" spans="1:1" x14ac:dyDescent="0.3">
      <c r="A722" s="34">
        <v>58800</v>
      </c>
    </row>
    <row r="723" spans="1:1" x14ac:dyDescent="0.3">
      <c r="A723" s="34">
        <v>58807</v>
      </c>
    </row>
    <row r="724" spans="1:1" x14ac:dyDescent="0.3">
      <c r="A724" s="34">
        <v>58858</v>
      </c>
    </row>
    <row r="725" spans="1:1" x14ac:dyDescent="0.3">
      <c r="A725" s="34">
        <v>58859</v>
      </c>
    </row>
    <row r="726" spans="1:1" x14ac:dyDescent="0.3">
      <c r="A726" s="34">
        <v>58904</v>
      </c>
    </row>
    <row r="727" spans="1:1" x14ac:dyDescent="0.3">
      <c r="A727" s="34">
        <v>58917</v>
      </c>
    </row>
    <row r="728" spans="1:1" x14ac:dyDescent="0.3">
      <c r="A728" s="34">
        <v>58927</v>
      </c>
    </row>
    <row r="729" spans="1:1" x14ac:dyDescent="0.3">
      <c r="A729" s="34">
        <v>58966</v>
      </c>
    </row>
    <row r="730" spans="1:1" x14ac:dyDescent="0.3">
      <c r="A730" s="34">
        <v>59056</v>
      </c>
    </row>
    <row r="731" spans="1:1" x14ac:dyDescent="0.3">
      <c r="A731" s="34">
        <v>59091</v>
      </c>
    </row>
    <row r="732" spans="1:1" x14ac:dyDescent="0.3">
      <c r="A732" s="34">
        <v>59112</v>
      </c>
    </row>
    <row r="733" spans="1:1" x14ac:dyDescent="0.3">
      <c r="A733" s="34">
        <v>59125</v>
      </c>
    </row>
    <row r="734" spans="1:1" x14ac:dyDescent="0.3">
      <c r="A734" s="34">
        <v>59165</v>
      </c>
    </row>
    <row r="735" spans="1:1" x14ac:dyDescent="0.3">
      <c r="A735" s="34">
        <v>59172</v>
      </c>
    </row>
    <row r="736" spans="1:1" x14ac:dyDescent="0.3">
      <c r="A736" s="34">
        <v>59208</v>
      </c>
    </row>
    <row r="737" spans="1:1" x14ac:dyDescent="0.3">
      <c r="A737" s="34">
        <v>59209</v>
      </c>
    </row>
    <row r="738" spans="1:1" x14ac:dyDescent="0.3">
      <c r="A738" s="34">
        <v>59254</v>
      </c>
    </row>
    <row r="739" spans="1:1" x14ac:dyDescent="0.3">
      <c r="A739" s="34">
        <v>59282</v>
      </c>
    </row>
    <row r="740" spans="1:1" x14ac:dyDescent="0.3">
      <c r="A740" s="34">
        <v>59292</v>
      </c>
    </row>
    <row r="741" spans="1:1" x14ac:dyDescent="0.3">
      <c r="A741" s="34">
        <v>59316</v>
      </c>
    </row>
    <row r="742" spans="1:1" x14ac:dyDescent="0.3">
      <c r="A742" s="34">
        <v>59421</v>
      </c>
    </row>
    <row r="743" spans="1:1" x14ac:dyDescent="0.3">
      <c r="A743" s="34">
        <v>59456</v>
      </c>
    </row>
    <row r="744" spans="1:1" x14ac:dyDescent="0.3">
      <c r="A744" s="34">
        <v>59477</v>
      </c>
    </row>
    <row r="745" spans="1:1" x14ac:dyDescent="0.3">
      <c r="A745" s="34">
        <v>59490</v>
      </c>
    </row>
    <row r="746" spans="1:1" x14ac:dyDescent="0.3">
      <c r="A746" s="34">
        <v>59530</v>
      </c>
    </row>
    <row r="747" spans="1:1" x14ac:dyDescent="0.3">
      <c r="A747" s="34">
        <v>59537</v>
      </c>
    </row>
    <row r="748" spans="1:1" x14ac:dyDescent="0.3">
      <c r="A748" s="34">
        <v>59593</v>
      </c>
    </row>
    <row r="749" spans="1:1" x14ac:dyDescent="0.3">
      <c r="A749" s="34">
        <v>59594</v>
      </c>
    </row>
    <row r="750" spans="1:1" x14ac:dyDescent="0.3">
      <c r="A750" s="34">
        <v>59639</v>
      </c>
    </row>
    <row r="751" spans="1:1" x14ac:dyDescent="0.3">
      <c r="A751" s="34">
        <v>59647</v>
      </c>
    </row>
    <row r="752" spans="1:1" x14ac:dyDescent="0.3">
      <c r="A752" s="34">
        <v>59657</v>
      </c>
    </row>
    <row r="753" spans="1:1" x14ac:dyDescent="0.3">
      <c r="A753" s="34">
        <v>59701</v>
      </c>
    </row>
    <row r="754" spans="1:1" x14ac:dyDescent="0.3">
      <c r="A754" s="34">
        <v>59786</v>
      </c>
    </row>
    <row r="755" spans="1:1" x14ac:dyDescent="0.3">
      <c r="A755" s="34">
        <v>59821</v>
      </c>
    </row>
    <row r="756" spans="1:1" x14ac:dyDescent="0.3">
      <c r="A756" s="34">
        <v>59842</v>
      </c>
    </row>
    <row r="757" spans="1:1" x14ac:dyDescent="0.3">
      <c r="A757" s="34">
        <v>59855</v>
      </c>
    </row>
    <row r="758" spans="1:1" x14ac:dyDescent="0.3">
      <c r="A758" s="34">
        <v>59895</v>
      </c>
    </row>
    <row r="759" spans="1:1" x14ac:dyDescent="0.3">
      <c r="A759" s="34">
        <v>59902</v>
      </c>
    </row>
    <row r="760" spans="1:1" x14ac:dyDescent="0.3">
      <c r="A760" s="34">
        <v>59950</v>
      </c>
    </row>
    <row r="761" spans="1:1" x14ac:dyDescent="0.3">
      <c r="A761" s="34">
        <v>59951</v>
      </c>
    </row>
    <row r="762" spans="1:1" x14ac:dyDescent="0.3">
      <c r="A762" s="34">
        <v>59996</v>
      </c>
    </row>
    <row r="763" spans="1:1" x14ac:dyDescent="0.3">
      <c r="A763" s="34">
        <v>60013</v>
      </c>
    </row>
    <row r="764" spans="1:1" x14ac:dyDescent="0.3">
      <c r="A764" s="34">
        <v>60023</v>
      </c>
    </row>
    <row r="765" spans="1:1" x14ac:dyDescent="0.3">
      <c r="A765" s="34">
        <v>60058</v>
      </c>
    </row>
    <row r="766" spans="1:1" x14ac:dyDescent="0.3">
      <c r="A766" s="34">
        <v>60152</v>
      </c>
    </row>
    <row r="767" spans="1:1" x14ac:dyDescent="0.3">
      <c r="A767" s="34">
        <v>60187</v>
      </c>
    </row>
    <row r="768" spans="1:1" x14ac:dyDescent="0.3">
      <c r="A768" s="34">
        <v>60208</v>
      </c>
    </row>
    <row r="769" spans="1:1" x14ac:dyDescent="0.3">
      <c r="A769" s="34">
        <v>60221</v>
      </c>
    </row>
    <row r="770" spans="1:1" x14ac:dyDescent="0.3">
      <c r="A770" s="34">
        <v>60261</v>
      </c>
    </row>
    <row r="771" spans="1:1" x14ac:dyDescent="0.3">
      <c r="A771" s="34">
        <v>60268</v>
      </c>
    </row>
    <row r="772" spans="1:1" x14ac:dyDescent="0.3">
      <c r="A772" s="34">
        <v>60307</v>
      </c>
    </row>
    <row r="773" spans="1:1" x14ac:dyDescent="0.3">
      <c r="A773" s="34">
        <v>60308</v>
      </c>
    </row>
    <row r="774" spans="1:1" x14ac:dyDescent="0.3">
      <c r="A774" s="34">
        <v>60353</v>
      </c>
    </row>
    <row r="775" spans="1:1" x14ac:dyDescent="0.3">
      <c r="A775" s="34">
        <v>60378</v>
      </c>
    </row>
    <row r="776" spans="1:1" x14ac:dyDescent="0.3">
      <c r="A776" s="34">
        <v>60388</v>
      </c>
    </row>
    <row r="777" spans="1:1" x14ac:dyDescent="0.3">
      <c r="A777" s="34">
        <v>60415</v>
      </c>
    </row>
    <row r="778" spans="1:1" x14ac:dyDescent="0.3">
      <c r="A778" s="34">
        <v>60517</v>
      </c>
    </row>
    <row r="779" spans="1:1" x14ac:dyDescent="0.3">
      <c r="A779" s="34">
        <v>60552</v>
      </c>
    </row>
    <row r="780" spans="1:1" x14ac:dyDescent="0.3">
      <c r="A780" s="34">
        <v>60573</v>
      </c>
    </row>
    <row r="781" spans="1:1" x14ac:dyDescent="0.3">
      <c r="A781" s="34">
        <v>60586</v>
      </c>
    </row>
    <row r="782" spans="1:1" x14ac:dyDescent="0.3">
      <c r="A782" s="34">
        <v>60626</v>
      </c>
    </row>
    <row r="783" spans="1:1" x14ac:dyDescent="0.3">
      <c r="A783" s="34">
        <v>60633</v>
      </c>
    </row>
    <row r="784" spans="1:1" x14ac:dyDescent="0.3">
      <c r="A784" s="34">
        <v>60685</v>
      </c>
    </row>
    <row r="785" spans="1:1" x14ac:dyDescent="0.3">
      <c r="A785" s="34">
        <v>60686</v>
      </c>
    </row>
    <row r="786" spans="1:1" x14ac:dyDescent="0.3">
      <c r="A786" s="34">
        <v>60731</v>
      </c>
    </row>
    <row r="787" spans="1:1" x14ac:dyDescent="0.3">
      <c r="A787" s="34">
        <v>60743</v>
      </c>
    </row>
    <row r="788" spans="1:1" x14ac:dyDescent="0.3">
      <c r="A788" s="34">
        <v>60753</v>
      </c>
    </row>
    <row r="789" spans="1:1" x14ac:dyDescent="0.3">
      <c r="A789" s="34">
        <v>60793</v>
      </c>
    </row>
    <row r="790" spans="1:1" x14ac:dyDescent="0.3">
      <c r="A790" s="34">
        <v>60882</v>
      </c>
    </row>
    <row r="791" spans="1:1" x14ac:dyDescent="0.3">
      <c r="A791" s="34">
        <v>60917</v>
      </c>
    </row>
    <row r="792" spans="1:1" x14ac:dyDescent="0.3">
      <c r="A792" s="34">
        <v>60938</v>
      </c>
    </row>
    <row r="793" spans="1:1" x14ac:dyDescent="0.3">
      <c r="A793" s="34">
        <v>60951</v>
      </c>
    </row>
    <row r="794" spans="1:1" x14ac:dyDescent="0.3">
      <c r="A794" s="34">
        <v>60991</v>
      </c>
    </row>
    <row r="795" spans="1:1" x14ac:dyDescent="0.3">
      <c r="A795" s="34">
        <v>60998</v>
      </c>
    </row>
    <row r="796" spans="1:1" x14ac:dyDescent="0.3">
      <c r="A796" s="34">
        <v>61042</v>
      </c>
    </row>
    <row r="797" spans="1:1" x14ac:dyDescent="0.3">
      <c r="A797" s="34">
        <v>61043</v>
      </c>
    </row>
    <row r="798" spans="1:1" x14ac:dyDescent="0.3">
      <c r="A798" s="34">
        <v>61088</v>
      </c>
    </row>
    <row r="799" spans="1:1" x14ac:dyDescent="0.3">
      <c r="A799" s="34">
        <v>61108</v>
      </c>
    </row>
    <row r="800" spans="1:1" x14ac:dyDescent="0.3">
      <c r="A800" s="34">
        <v>61118</v>
      </c>
    </row>
    <row r="801" spans="1:1" x14ac:dyDescent="0.3">
      <c r="A801" s="34">
        <v>61150</v>
      </c>
    </row>
    <row r="802" spans="1:1" x14ac:dyDescent="0.3">
      <c r="A802" s="34">
        <v>61247</v>
      </c>
    </row>
    <row r="803" spans="1:1" x14ac:dyDescent="0.3">
      <c r="A803" s="34">
        <v>61282</v>
      </c>
    </row>
    <row r="804" spans="1:1" x14ac:dyDescent="0.3">
      <c r="A804" s="34">
        <v>61303</v>
      </c>
    </row>
    <row r="805" spans="1:1" x14ac:dyDescent="0.3">
      <c r="A805" s="34">
        <v>61316</v>
      </c>
    </row>
    <row r="806" spans="1:1" x14ac:dyDescent="0.3">
      <c r="A806" s="34">
        <v>61356</v>
      </c>
    </row>
    <row r="807" spans="1:1" x14ac:dyDescent="0.3">
      <c r="A807" s="34">
        <v>61363</v>
      </c>
    </row>
    <row r="808" spans="1:1" x14ac:dyDescent="0.3">
      <c r="A808" s="34">
        <v>61427</v>
      </c>
    </row>
    <row r="809" spans="1:1" x14ac:dyDescent="0.3">
      <c r="A809" s="34">
        <v>61428</v>
      </c>
    </row>
    <row r="810" spans="1:1" x14ac:dyDescent="0.3">
      <c r="A810" s="34">
        <v>61473</v>
      </c>
    </row>
    <row r="811" spans="1:1" x14ac:dyDescent="0.3">
      <c r="A811" s="34">
        <v>61474</v>
      </c>
    </row>
    <row r="812" spans="1:1" x14ac:dyDescent="0.3">
      <c r="A812" s="34">
        <v>61484</v>
      </c>
    </row>
    <row r="813" spans="1:1" x14ac:dyDescent="0.3">
      <c r="A813" s="34">
        <v>61535</v>
      </c>
    </row>
    <row r="814" spans="1:1" x14ac:dyDescent="0.3">
      <c r="A814" s="34">
        <v>61613</v>
      </c>
    </row>
    <row r="815" spans="1:1" x14ac:dyDescent="0.3">
      <c r="A815" s="34">
        <v>61648</v>
      </c>
    </row>
    <row r="816" spans="1:1" x14ac:dyDescent="0.3">
      <c r="A816" s="34">
        <v>61669</v>
      </c>
    </row>
    <row r="817" spans="1:1" x14ac:dyDescent="0.3">
      <c r="A817" s="34">
        <v>61682</v>
      </c>
    </row>
    <row r="818" spans="1:1" x14ac:dyDescent="0.3">
      <c r="A818" s="34">
        <v>61722</v>
      </c>
    </row>
    <row r="819" spans="1:1" x14ac:dyDescent="0.3">
      <c r="A819" s="34">
        <v>61729</v>
      </c>
    </row>
    <row r="820" spans="1:1" x14ac:dyDescent="0.3">
      <c r="A820" s="34">
        <v>61784</v>
      </c>
    </row>
    <row r="821" spans="1:1" x14ac:dyDescent="0.3">
      <c r="A821" s="34">
        <v>61785</v>
      </c>
    </row>
    <row r="822" spans="1:1" x14ac:dyDescent="0.3">
      <c r="A822" s="34">
        <v>61830</v>
      </c>
    </row>
    <row r="823" spans="1:1" x14ac:dyDescent="0.3">
      <c r="A823" s="34">
        <v>61839</v>
      </c>
    </row>
    <row r="824" spans="1:1" x14ac:dyDescent="0.3">
      <c r="A824" s="34">
        <v>61849</v>
      </c>
    </row>
    <row r="825" spans="1:1" x14ac:dyDescent="0.3">
      <c r="A825" s="34">
        <v>61892</v>
      </c>
    </row>
    <row r="826" spans="1:1" x14ac:dyDescent="0.3">
      <c r="A826" s="34">
        <v>61978</v>
      </c>
    </row>
    <row r="827" spans="1:1" x14ac:dyDescent="0.3">
      <c r="A827" s="34">
        <v>62013</v>
      </c>
    </row>
    <row r="828" spans="1:1" x14ac:dyDescent="0.3">
      <c r="A828" s="34">
        <v>62034</v>
      </c>
    </row>
    <row r="829" spans="1:1" x14ac:dyDescent="0.3">
      <c r="A829" s="34">
        <v>62047</v>
      </c>
    </row>
    <row r="830" spans="1:1" x14ac:dyDescent="0.3">
      <c r="A830" s="34">
        <v>62087</v>
      </c>
    </row>
    <row r="831" spans="1:1" x14ac:dyDescent="0.3">
      <c r="A831" s="34">
        <v>62094</v>
      </c>
    </row>
    <row r="832" spans="1:1" x14ac:dyDescent="0.3">
      <c r="A832" s="34">
        <v>62134</v>
      </c>
    </row>
    <row r="833" spans="1:1" x14ac:dyDescent="0.3">
      <c r="A833" s="34">
        <v>62135</v>
      </c>
    </row>
    <row r="834" spans="1:1" x14ac:dyDescent="0.3">
      <c r="A834" s="34">
        <v>62180</v>
      </c>
    </row>
    <row r="835" spans="1:1" x14ac:dyDescent="0.3">
      <c r="A835" s="34">
        <v>62204</v>
      </c>
    </row>
    <row r="836" spans="1:1" x14ac:dyDescent="0.3">
      <c r="A836" s="34">
        <v>62214</v>
      </c>
    </row>
    <row r="837" spans="1:1" x14ac:dyDescent="0.3">
      <c r="A837" s="34">
        <v>62242</v>
      </c>
    </row>
    <row r="838" spans="1:1" x14ac:dyDescent="0.3">
      <c r="A838" s="34">
        <v>62343</v>
      </c>
    </row>
    <row r="839" spans="1:1" x14ac:dyDescent="0.3">
      <c r="A839" s="34">
        <v>62378</v>
      </c>
    </row>
    <row r="840" spans="1:1" x14ac:dyDescent="0.3">
      <c r="A840" s="34">
        <v>62399</v>
      </c>
    </row>
    <row r="841" spans="1:1" x14ac:dyDescent="0.3">
      <c r="A841" s="34">
        <v>62412</v>
      </c>
    </row>
    <row r="842" spans="1:1" x14ac:dyDescent="0.3">
      <c r="A842" s="34">
        <v>62452</v>
      </c>
    </row>
    <row r="843" spans="1:1" x14ac:dyDescent="0.3">
      <c r="A843" s="34">
        <v>62459</v>
      </c>
    </row>
    <row r="844" spans="1:1" x14ac:dyDescent="0.3">
      <c r="A844" s="34">
        <v>62519</v>
      </c>
    </row>
    <row r="845" spans="1:1" x14ac:dyDescent="0.3">
      <c r="A845" s="34">
        <v>62520</v>
      </c>
    </row>
    <row r="846" spans="1:1" x14ac:dyDescent="0.3">
      <c r="A846" s="34">
        <v>62565</v>
      </c>
    </row>
    <row r="847" spans="1:1" x14ac:dyDescent="0.3">
      <c r="A847" s="34">
        <v>62569</v>
      </c>
    </row>
    <row r="848" spans="1:1" x14ac:dyDescent="0.3">
      <c r="A848" s="34">
        <v>62579</v>
      </c>
    </row>
    <row r="849" spans="1:1" x14ac:dyDescent="0.3">
      <c r="A849" s="34">
        <v>62627</v>
      </c>
    </row>
    <row r="850" spans="1:1" x14ac:dyDescent="0.3">
      <c r="A850" s="34">
        <v>62708</v>
      </c>
    </row>
    <row r="851" spans="1:1" x14ac:dyDescent="0.3">
      <c r="A851" s="34">
        <v>62743</v>
      </c>
    </row>
    <row r="852" spans="1:1" x14ac:dyDescent="0.3">
      <c r="A852" s="34">
        <v>62764</v>
      </c>
    </row>
    <row r="853" spans="1:1" x14ac:dyDescent="0.3">
      <c r="A853" s="34">
        <v>62777</v>
      </c>
    </row>
    <row r="854" spans="1:1" x14ac:dyDescent="0.3">
      <c r="A854" s="34">
        <v>62817</v>
      </c>
    </row>
    <row r="855" spans="1:1" x14ac:dyDescent="0.3">
      <c r="A855" s="34">
        <v>62824</v>
      </c>
    </row>
    <row r="856" spans="1:1" x14ac:dyDescent="0.3">
      <c r="A856" s="34">
        <v>62876</v>
      </c>
    </row>
    <row r="857" spans="1:1" x14ac:dyDescent="0.3">
      <c r="A857" s="34">
        <v>62877</v>
      </c>
    </row>
    <row r="858" spans="1:1" x14ac:dyDescent="0.3">
      <c r="A858" s="34">
        <v>62922</v>
      </c>
    </row>
    <row r="859" spans="1:1" x14ac:dyDescent="0.3">
      <c r="A859" s="34">
        <v>62935</v>
      </c>
    </row>
    <row r="860" spans="1:1" x14ac:dyDescent="0.3">
      <c r="A860" s="34">
        <v>62945</v>
      </c>
    </row>
    <row r="861" spans="1:1" x14ac:dyDescent="0.3">
      <c r="A861" s="34">
        <v>62984</v>
      </c>
    </row>
    <row r="862" spans="1:1" x14ac:dyDescent="0.3">
      <c r="A862" s="34">
        <v>63074</v>
      </c>
    </row>
    <row r="863" spans="1:1" x14ac:dyDescent="0.3">
      <c r="A863" s="34">
        <v>63109</v>
      </c>
    </row>
    <row r="864" spans="1:1" x14ac:dyDescent="0.3">
      <c r="A864" s="34">
        <v>63130</v>
      </c>
    </row>
    <row r="865" spans="1:1" x14ac:dyDescent="0.3">
      <c r="A865" s="34">
        <v>63143</v>
      </c>
    </row>
    <row r="866" spans="1:1" x14ac:dyDescent="0.3">
      <c r="A866" s="34">
        <v>63183</v>
      </c>
    </row>
    <row r="867" spans="1:1" x14ac:dyDescent="0.3">
      <c r="A867" s="34">
        <v>63190</v>
      </c>
    </row>
    <row r="868" spans="1:1" x14ac:dyDescent="0.3">
      <c r="A868" s="34">
        <v>63226</v>
      </c>
    </row>
    <row r="869" spans="1:1" x14ac:dyDescent="0.3">
      <c r="A869" s="34">
        <v>63227</v>
      </c>
    </row>
    <row r="870" spans="1:1" x14ac:dyDescent="0.3">
      <c r="A870" s="34">
        <v>63272</v>
      </c>
    </row>
    <row r="871" spans="1:1" x14ac:dyDescent="0.3">
      <c r="A871" s="34">
        <v>63300</v>
      </c>
    </row>
    <row r="872" spans="1:1" x14ac:dyDescent="0.3">
      <c r="A872" s="34">
        <v>63310</v>
      </c>
    </row>
    <row r="873" spans="1:1" x14ac:dyDescent="0.3">
      <c r="A873" s="34">
        <v>63334</v>
      </c>
    </row>
    <row r="874" spans="1:1" x14ac:dyDescent="0.3">
      <c r="A874" s="34">
        <v>63439</v>
      </c>
    </row>
    <row r="875" spans="1:1" x14ac:dyDescent="0.3">
      <c r="A875" s="34">
        <v>63474</v>
      </c>
    </row>
    <row r="876" spans="1:1" x14ac:dyDescent="0.3">
      <c r="A876" s="34">
        <v>63495</v>
      </c>
    </row>
    <row r="877" spans="1:1" x14ac:dyDescent="0.3">
      <c r="A877" s="34">
        <v>63508</v>
      </c>
    </row>
    <row r="878" spans="1:1" x14ac:dyDescent="0.3">
      <c r="A878" s="34">
        <v>63548</v>
      </c>
    </row>
    <row r="879" spans="1:1" x14ac:dyDescent="0.3">
      <c r="A879" s="34">
        <v>63555</v>
      </c>
    </row>
    <row r="880" spans="1:1" x14ac:dyDescent="0.3">
      <c r="A880" s="34">
        <v>63611</v>
      </c>
    </row>
    <row r="881" spans="1:1" x14ac:dyDescent="0.3">
      <c r="A881" s="34">
        <v>63612</v>
      </c>
    </row>
    <row r="882" spans="1:1" x14ac:dyDescent="0.3">
      <c r="A882" s="34">
        <v>63657</v>
      </c>
    </row>
    <row r="883" spans="1:1" x14ac:dyDescent="0.3">
      <c r="A883" s="34">
        <v>63665</v>
      </c>
    </row>
    <row r="884" spans="1:1" x14ac:dyDescent="0.3">
      <c r="A884" s="34">
        <v>63675</v>
      </c>
    </row>
    <row r="885" spans="1:1" x14ac:dyDescent="0.3">
      <c r="A885" s="34">
        <v>63719</v>
      </c>
    </row>
    <row r="886" spans="1:1" x14ac:dyDescent="0.3">
      <c r="A886" s="34">
        <v>63804</v>
      </c>
    </row>
    <row r="887" spans="1:1" x14ac:dyDescent="0.3">
      <c r="A887" s="34">
        <v>63839</v>
      </c>
    </row>
    <row r="888" spans="1:1" x14ac:dyDescent="0.3">
      <c r="A888" s="34">
        <v>63860</v>
      </c>
    </row>
    <row r="889" spans="1:1" x14ac:dyDescent="0.3">
      <c r="A889" s="34">
        <v>63873</v>
      </c>
    </row>
    <row r="890" spans="1:1" x14ac:dyDescent="0.3">
      <c r="A890" s="34">
        <v>63913</v>
      </c>
    </row>
    <row r="891" spans="1:1" x14ac:dyDescent="0.3">
      <c r="A891" s="34">
        <v>63920</v>
      </c>
    </row>
    <row r="892" spans="1:1" x14ac:dyDescent="0.3">
      <c r="A892" s="34">
        <v>63968</v>
      </c>
    </row>
    <row r="893" spans="1:1" x14ac:dyDescent="0.3">
      <c r="A893" s="34">
        <v>63969</v>
      </c>
    </row>
    <row r="894" spans="1:1" x14ac:dyDescent="0.3">
      <c r="A894" s="34">
        <v>64014</v>
      </c>
    </row>
    <row r="895" spans="1:1" x14ac:dyDescent="0.3">
      <c r="A895" s="34">
        <v>64030</v>
      </c>
    </row>
    <row r="896" spans="1:1" x14ac:dyDescent="0.3">
      <c r="A896" s="34">
        <v>64040</v>
      </c>
    </row>
    <row r="897" spans="1:1" x14ac:dyDescent="0.3">
      <c r="A897" s="34">
        <v>64076</v>
      </c>
    </row>
    <row r="898" spans="1:1" x14ac:dyDescent="0.3">
      <c r="A898" s="34">
        <v>64169</v>
      </c>
    </row>
    <row r="899" spans="1:1" x14ac:dyDescent="0.3">
      <c r="A899" s="34">
        <v>64204</v>
      </c>
    </row>
    <row r="900" spans="1:1" x14ac:dyDescent="0.3">
      <c r="A900" s="34">
        <v>64225</v>
      </c>
    </row>
    <row r="901" spans="1:1" x14ac:dyDescent="0.3">
      <c r="A901" s="34">
        <v>64238</v>
      </c>
    </row>
    <row r="902" spans="1:1" x14ac:dyDescent="0.3">
      <c r="A902" s="34">
        <v>64278</v>
      </c>
    </row>
    <row r="903" spans="1:1" x14ac:dyDescent="0.3">
      <c r="A903" s="34">
        <v>64285</v>
      </c>
    </row>
    <row r="904" spans="1:1" x14ac:dyDescent="0.3">
      <c r="A904" s="34">
        <v>64346</v>
      </c>
    </row>
    <row r="905" spans="1:1" x14ac:dyDescent="0.3">
      <c r="A905" s="34">
        <v>64347</v>
      </c>
    </row>
    <row r="906" spans="1:1" x14ac:dyDescent="0.3">
      <c r="A906" s="34">
        <v>64392</v>
      </c>
    </row>
    <row r="907" spans="1:1" x14ac:dyDescent="0.3">
      <c r="A907" s="34">
        <v>64396</v>
      </c>
    </row>
    <row r="908" spans="1:1" x14ac:dyDescent="0.3">
      <c r="A908" s="35">
        <v>64406</v>
      </c>
    </row>
    <row r="909" spans="1:1" x14ac:dyDescent="0.3">
      <c r="A909" s="35">
        <v>64454</v>
      </c>
    </row>
    <row r="910" spans="1:1" x14ac:dyDescent="0.3">
      <c r="A910" s="35">
        <v>64535</v>
      </c>
    </row>
    <row r="911" spans="1:1" x14ac:dyDescent="0.3">
      <c r="A911" s="35">
        <v>64570</v>
      </c>
    </row>
    <row r="912" spans="1:1" x14ac:dyDescent="0.3">
      <c r="A912" s="35">
        <v>64591</v>
      </c>
    </row>
    <row r="913" spans="1:1" x14ac:dyDescent="0.3">
      <c r="A913" s="35">
        <v>64604</v>
      </c>
    </row>
    <row r="914" spans="1:1" x14ac:dyDescent="0.3">
      <c r="A914" s="35">
        <v>64644</v>
      </c>
    </row>
    <row r="915" spans="1:1" x14ac:dyDescent="0.3">
      <c r="A915" s="35">
        <v>64651</v>
      </c>
    </row>
    <row r="916" spans="1:1" x14ac:dyDescent="0.3">
      <c r="A916" s="35">
        <v>64703</v>
      </c>
    </row>
    <row r="917" spans="1:1" x14ac:dyDescent="0.3">
      <c r="A917" s="35">
        <v>64704</v>
      </c>
    </row>
    <row r="918" spans="1:1" x14ac:dyDescent="0.3">
      <c r="A918" s="35">
        <v>64749</v>
      </c>
    </row>
    <row r="919" spans="1:1" x14ac:dyDescent="0.3">
      <c r="A919" s="35">
        <v>64761</v>
      </c>
    </row>
    <row r="920" spans="1:1" x14ac:dyDescent="0.3">
      <c r="A920" s="35">
        <v>64771</v>
      </c>
    </row>
    <row r="921" spans="1:1" x14ac:dyDescent="0.3">
      <c r="A921" s="35">
        <v>64811</v>
      </c>
    </row>
    <row r="922" spans="1:1" x14ac:dyDescent="0.3">
      <c r="A922" s="35">
        <v>64900</v>
      </c>
    </row>
    <row r="923" spans="1:1" x14ac:dyDescent="0.3">
      <c r="A923" s="35">
        <v>64935</v>
      </c>
    </row>
    <row r="924" spans="1:1" x14ac:dyDescent="0.3">
      <c r="A924" s="35">
        <v>64956</v>
      </c>
    </row>
    <row r="925" spans="1:1" x14ac:dyDescent="0.3">
      <c r="A925" s="35">
        <v>64969</v>
      </c>
    </row>
    <row r="926" spans="1:1" x14ac:dyDescent="0.3">
      <c r="A926" s="35">
        <v>65009</v>
      </c>
    </row>
    <row r="927" spans="1:1" x14ac:dyDescent="0.3">
      <c r="A927" s="35">
        <v>65016</v>
      </c>
    </row>
    <row r="928" spans="1:1" x14ac:dyDescent="0.3">
      <c r="A928" s="35">
        <v>65060</v>
      </c>
    </row>
    <row r="929" spans="1:1" x14ac:dyDescent="0.3">
      <c r="A929" s="35">
        <v>65061</v>
      </c>
    </row>
    <row r="930" spans="1:1" x14ac:dyDescent="0.3">
      <c r="A930" s="35">
        <v>65106</v>
      </c>
    </row>
    <row r="931" spans="1:1" x14ac:dyDescent="0.3">
      <c r="A931" s="35">
        <v>65126</v>
      </c>
    </row>
    <row r="932" spans="1:1" x14ac:dyDescent="0.3">
      <c r="A932" s="35">
        <v>65136</v>
      </c>
    </row>
    <row r="933" spans="1:1" x14ac:dyDescent="0.3">
      <c r="A933" s="35">
        <v>65168</v>
      </c>
    </row>
    <row r="934" spans="1:1" x14ac:dyDescent="0.3">
      <c r="A934" s="35">
        <v>65265</v>
      </c>
    </row>
    <row r="935" spans="1:1" x14ac:dyDescent="0.3">
      <c r="A935" s="35">
        <v>65300</v>
      </c>
    </row>
    <row r="936" spans="1:1" x14ac:dyDescent="0.3">
      <c r="A936" s="35">
        <v>65321</v>
      </c>
    </row>
    <row r="937" spans="1:1" x14ac:dyDescent="0.3">
      <c r="A937" s="35">
        <v>65334</v>
      </c>
    </row>
    <row r="938" spans="1:1" x14ac:dyDescent="0.3">
      <c r="A938" s="35">
        <v>65374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L35"/>
  <sheetViews>
    <sheetView showGridLines="0" zoomScale="85" zoomScaleNormal="85" workbookViewId="0">
      <selection activeCell="H2" sqref="H2"/>
    </sheetView>
  </sheetViews>
  <sheetFormatPr defaultRowHeight="16.5" x14ac:dyDescent="0.3"/>
  <cols>
    <col min="1" max="1" width="38" customWidth="1"/>
    <col min="2" max="2" width="18.625" bestFit="1" customWidth="1"/>
    <col min="3" max="3" width="18.25" bestFit="1" customWidth="1"/>
    <col min="4" max="4" width="20.625" customWidth="1"/>
    <col min="5" max="5" width="12" bestFit="1" customWidth="1"/>
    <col min="6" max="6" width="12.75" bestFit="1" customWidth="1"/>
    <col min="7" max="7" width="12.875" style="48" bestFit="1" customWidth="1"/>
    <col min="8" max="8" width="17.5" bestFit="1" customWidth="1"/>
    <col min="9" max="9" width="21.75" customWidth="1"/>
    <col min="10" max="10" width="25.875" bestFit="1" customWidth="1"/>
    <col min="11" max="11" width="9.875" bestFit="1" customWidth="1"/>
    <col min="12" max="12" width="9.5" bestFit="1" customWidth="1"/>
  </cols>
  <sheetData>
    <row r="1" spans="1:12" x14ac:dyDescent="0.3">
      <c r="A1" s="50" t="s">
        <v>446</v>
      </c>
      <c r="B1" s="50" t="s">
        <v>447</v>
      </c>
      <c r="C1" s="50" t="s">
        <v>29</v>
      </c>
      <c r="D1" s="50" t="s">
        <v>431</v>
      </c>
      <c r="E1" s="50" t="s">
        <v>432</v>
      </c>
      <c r="F1" s="50" t="s">
        <v>433</v>
      </c>
      <c r="G1" s="51" t="s">
        <v>454</v>
      </c>
      <c r="H1" s="50" t="s">
        <v>455</v>
      </c>
    </row>
    <row r="2" spans="1:12" x14ac:dyDescent="0.3">
      <c r="A2" s="43" t="s">
        <v>434</v>
      </c>
      <c r="B2" s="43" t="s">
        <v>434</v>
      </c>
      <c r="C2" s="44" t="s">
        <v>475</v>
      </c>
      <c r="D2" s="44" t="s">
        <v>30</v>
      </c>
      <c r="E2" s="45">
        <v>13060</v>
      </c>
      <c r="F2" s="45">
        <v>91418</v>
      </c>
      <c r="G2" s="46">
        <v>3.6569999999999997E-5</v>
      </c>
      <c r="H2" s="47">
        <v>0</v>
      </c>
    </row>
    <row r="3" spans="1:12" x14ac:dyDescent="0.3">
      <c r="A3" s="43" t="s">
        <v>448</v>
      </c>
      <c r="B3" s="43" t="s">
        <v>10</v>
      </c>
      <c r="C3" s="44" t="s">
        <v>475</v>
      </c>
      <c r="D3" s="44" t="s">
        <v>30</v>
      </c>
      <c r="E3" s="45">
        <v>0</v>
      </c>
      <c r="F3" s="45">
        <v>0</v>
      </c>
      <c r="G3" s="46">
        <v>0</v>
      </c>
      <c r="H3" s="47">
        <v>100000</v>
      </c>
    </row>
    <row r="4" spans="1:12" x14ac:dyDescent="0.3">
      <c r="A4" s="43" t="s">
        <v>473</v>
      </c>
      <c r="B4" s="43" t="s">
        <v>10</v>
      </c>
      <c r="C4" s="44" t="s">
        <v>475</v>
      </c>
      <c r="D4" s="44" t="s">
        <v>460</v>
      </c>
      <c r="E4" s="45">
        <v>0</v>
      </c>
      <c r="F4" s="45">
        <v>0</v>
      </c>
      <c r="G4" s="46">
        <v>0</v>
      </c>
      <c r="H4" s="47">
        <v>1000</v>
      </c>
    </row>
    <row r="5" spans="1:12" x14ac:dyDescent="0.3">
      <c r="A5" s="43" t="s">
        <v>56</v>
      </c>
      <c r="B5" s="43" t="s">
        <v>453</v>
      </c>
      <c r="C5" s="44" t="s">
        <v>475</v>
      </c>
      <c r="D5" s="44" t="s">
        <v>30</v>
      </c>
      <c r="E5" s="45">
        <v>0</v>
      </c>
      <c r="F5" s="45">
        <v>0</v>
      </c>
      <c r="G5" s="46">
        <v>0</v>
      </c>
      <c r="H5" s="47">
        <v>10000</v>
      </c>
    </row>
    <row r="6" spans="1:12" x14ac:dyDescent="0.3">
      <c r="A6" s="43" t="s">
        <v>457</v>
      </c>
      <c r="B6" s="43" t="s">
        <v>441</v>
      </c>
      <c r="C6" s="44" t="s">
        <v>478</v>
      </c>
      <c r="D6" s="44" t="s">
        <v>471</v>
      </c>
      <c r="E6" s="45">
        <v>0</v>
      </c>
      <c r="F6" s="45">
        <v>0</v>
      </c>
      <c r="G6" s="46">
        <v>0</v>
      </c>
      <c r="H6" s="47">
        <v>150</v>
      </c>
    </row>
    <row r="7" spans="1:12" ht="17.25" thickBot="1" x14ac:dyDescent="0.35">
      <c r="A7" s="43" t="s">
        <v>458</v>
      </c>
      <c r="B7" s="43" t="s">
        <v>441</v>
      </c>
      <c r="C7" s="44" t="s">
        <v>475</v>
      </c>
      <c r="D7" s="44" t="s">
        <v>30</v>
      </c>
      <c r="E7" s="45">
        <v>0</v>
      </c>
      <c r="F7" s="45">
        <v>0</v>
      </c>
      <c r="G7" s="46">
        <v>0</v>
      </c>
      <c r="H7" s="47">
        <v>2500</v>
      </c>
      <c r="J7" s="52" t="s">
        <v>465</v>
      </c>
      <c r="K7" s="52" t="s">
        <v>49</v>
      </c>
      <c r="L7" s="52" t="s">
        <v>466</v>
      </c>
    </row>
    <row r="8" spans="1:12" x14ac:dyDescent="0.3">
      <c r="A8" s="43" t="s">
        <v>459</v>
      </c>
      <c r="B8" s="43" t="s">
        <v>441</v>
      </c>
      <c r="C8" s="44" t="s">
        <v>478</v>
      </c>
      <c r="D8" s="44" t="s">
        <v>30</v>
      </c>
      <c r="E8" s="45">
        <v>0</v>
      </c>
      <c r="F8" s="45">
        <v>0</v>
      </c>
      <c r="G8" s="46">
        <v>0</v>
      </c>
      <c r="H8" s="47">
        <v>1500</v>
      </c>
      <c r="J8" s="53"/>
      <c r="K8" s="53"/>
      <c r="L8" s="53"/>
    </row>
    <row r="9" spans="1:12" x14ac:dyDescent="0.3">
      <c r="A9" s="43" t="s">
        <v>490</v>
      </c>
      <c r="B9" s="43" t="s">
        <v>40</v>
      </c>
      <c r="C9" s="44" t="s">
        <v>475</v>
      </c>
      <c r="D9" s="44" t="s">
        <v>30</v>
      </c>
      <c r="E9" s="45">
        <v>14714.36</v>
      </c>
      <c r="F9" s="45">
        <v>98095.62</v>
      </c>
      <c r="G9" s="49">
        <v>1.2E-5</v>
      </c>
      <c r="H9" s="47">
        <v>0</v>
      </c>
      <c r="I9" s="67"/>
      <c r="J9" s="54" t="s">
        <v>467</v>
      </c>
      <c r="K9" s="56">
        <v>1.166E-5</v>
      </c>
      <c r="L9" s="55">
        <v>0</v>
      </c>
    </row>
    <row r="10" spans="1:12" x14ac:dyDescent="0.3">
      <c r="A10" s="43" t="s">
        <v>491</v>
      </c>
      <c r="B10" s="43" t="s">
        <v>40</v>
      </c>
      <c r="C10" s="44" t="s">
        <v>475</v>
      </c>
      <c r="D10" s="44" t="s">
        <v>30</v>
      </c>
      <c r="E10" s="45">
        <v>0</v>
      </c>
      <c r="F10" s="45">
        <v>0</v>
      </c>
      <c r="G10" s="46">
        <v>2.3300000000000001E-5</v>
      </c>
      <c r="H10" s="47">
        <v>0</v>
      </c>
      <c r="J10" s="54" t="s">
        <v>468</v>
      </c>
      <c r="K10" s="56">
        <v>1.0495E-5</v>
      </c>
      <c r="L10" s="55">
        <v>583.09</v>
      </c>
    </row>
    <row r="11" spans="1:12" x14ac:dyDescent="0.3">
      <c r="A11" s="43" t="s">
        <v>445</v>
      </c>
      <c r="B11" s="43" t="s">
        <v>40</v>
      </c>
      <c r="C11" s="44" t="s">
        <v>475</v>
      </c>
      <c r="D11" s="44" t="s">
        <v>30</v>
      </c>
      <c r="E11" s="45">
        <v>14714.36</v>
      </c>
      <c r="F11" s="45">
        <v>98095.62</v>
      </c>
      <c r="G11" s="48">
        <v>1.2E-5</v>
      </c>
      <c r="H11" s="47">
        <v>0</v>
      </c>
      <c r="J11" s="54" t="s">
        <v>469</v>
      </c>
      <c r="K11" s="56">
        <v>9.3300000000000005E-6</v>
      </c>
      <c r="L11" s="55">
        <v>2682.21</v>
      </c>
    </row>
    <row r="12" spans="1:12" x14ac:dyDescent="0.3">
      <c r="A12" s="43" t="s">
        <v>443</v>
      </c>
      <c r="B12" s="43" t="s">
        <v>40</v>
      </c>
      <c r="C12" s="44" t="s">
        <v>475</v>
      </c>
      <c r="D12" s="44" t="s">
        <v>30</v>
      </c>
      <c r="E12" s="45">
        <v>0</v>
      </c>
      <c r="F12" s="45">
        <v>0</v>
      </c>
      <c r="G12" s="49">
        <v>5.0000000000000002E-5</v>
      </c>
      <c r="H12" s="47">
        <v>0</v>
      </c>
      <c r="J12" s="54" t="s">
        <v>470</v>
      </c>
      <c r="K12" s="56">
        <v>8.1629999999999996E-6</v>
      </c>
      <c r="L12" s="55">
        <v>5014.57</v>
      </c>
    </row>
    <row r="13" spans="1:12" x14ac:dyDescent="0.3">
      <c r="A13" s="43" t="s">
        <v>444</v>
      </c>
      <c r="B13" s="43" t="s">
        <v>40</v>
      </c>
      <c r="C13" s="44" t="s">
        <v>475</v>
      </c>
      <c r="D13" s="44" t="s">
        <v>30</v>
      </c>
      <c r="E13" s="45">
        <v>0</v>
      </c>
      <c r="F13" s="45">
        <v>0</v>
      </c>
      <c r="G13" s="49">
        <v>9.3200000000000002E-5</v>
      </c>
      <c r="H13" s="47">
        <v>0</v>
      </c>
    </row>
    <row r="14" spans="1:12" x14ac:dyDescent="0.3">
      <c r="A14" s="43" t="s">
        <v>479</v>
      </c>
      <c r="B14" s="43" t="s">
        <v>40</v>
      </c>
      <c r="C14" s="44" t="s">
        <v>475</v>
      </c>
      <c r="D14" s="44" t="s">
        <v>480</v>
      </c>
      <c r="E14" s="45">
        <v>0</v>
      </c>
      <c r="F14" s="45">
        <v>0</v>
      </c>
      <c r="G14" s="49">
        <v>0</v>
      </c>
      <c r="H14" s="47">
        <v>71.12</v>
      </c>
    </row>
    <row r="15" spans="1:12" x14ac:dyDescent="0.3">
      <c r="A15" s="43" t="s">
        <v>461</v>
      </c>
      <c r="B15" s="43" t="s">
        <v>40</v>
      </c>
      <c r="C15" s="44" t="s">
        <v>475</v>
      </c>
      <c r="D15" s="44" t="s">
        <v>460</v>
      </c>
      <c r="E15" s="45">
        <v>0</v>
      </c>
      <c r="F15" s="45">
        <v>0</v>
      </c>
      <c r="G15" s="49">
        <v>0</v>
      </c>
      <c r="H15" s="47">
        <v>29.3</v>
      </c>
    </row>
    <row r="16" spans="1:12" x14ac:dyDescent="0.3">
      <c r="A16" s="43" t="s">
        <v>462</v>
      </c>
      <c r="B16" s="43" t="s">
        <v>40</v>
      </c>
      <c r="C16" s="44" t="s">
        <v>475</v>
      </c>
      <c r="D16" s="44" t="s">
        <v>30</v>
      </c>
      <c r="E16" s="45">
        <v>14714.36</v>
      </c>
      <c r="F16" s="45">
        <v>98095.62</v>
      </c>
      <c r="G16" s="49">
        <v>5.0000000000000002E-5</v>
      </c>
      <c r="H16" s="47">
        <v>0</v>
      </c>
      <c r="I16" s="67"/>
    </row>
    <row r="17" spans="1:8" x14ac:dyDescent="0.3">
      <c r="A17" s="43" t="s">
        <v>437</v>
      </c>
      <c r="B17" s="43" t="s">
        <v>40</v>
      </c>
      <c r="C17" s="44" t="s">
        <v>478</v>
      </c>
      <c r="D17" s="44" t="s">
        <v>471</v>
      </c>
      <c r="E17" s="45">
        <v>0</v>
      </c>
      <c r="F17" s="45">
        <v>0</v>
      </c>
      <c r="G17" s="49">
        <v>0</v>
      </c>
      <c r="H17" s="47">
        <v>66.400000000000006</v>
      </c>
    </row>
    <row r="18" spans="1:8" x14ac:dyDescent="0.3">
      <c r="A18" s="43" t="s">
        <v>438</v>
      </c>
      <c r="B18" s="43" t="s">
        <v>40</v>
      </c>
      <c r="C18" s="44" t="s">
        <v>478</v>
      </c>
      <c r="D18" s="44" t="s">
        <v>471</v>
      </c>
      <c r="E18" s="45">
        <v>0</v>
      </c>
      <c r="F18" s="45">
        <v>0</v>
      </c>
      <c r="G18" s="49">
        <v>0</v>
      </c>
      <c r="H18" s="47">
        <v>44.2</v>
      </c>
    </row>
    <row r="19" spans="1:8" x14ac:dyDescent="0.3">
      <c r="A19" s="69" t="s">
        <v>463</v>
      </c>
      <c r="B19" s="69" t="s">
        <v>40</v>
      </c>
      <c r="C19" s="70" t="s">
        <v>475</v>
      </c>
      <c r="D19" s="70" t="s">
        <v>464</v>
      </c>
      <c r="E19" s="71">
        <v>0</v>
      </c>
      <c r="F19" s="71">
        <v>0</v>
      </c>
      <c r="G19" s="72">
        <f>IF((sd_se+sd_subp+sd_sub)&lt;=50000000,K9,IF((sd_se+sd_subp+sd_sub)&lt;=250000000,K10,IF((sd_se+sd_subp+sd_sub)&lt;=500000000,K11,IF((sd_se+sd_subp+sd_sub)&lt;1000000000,K12,"Erro"))))</f>
        <v>1.166E-5</v>
      </c>
      <c r="H19" s="73">
        <f>IF((sd_se+sd_subp+sd_sub)&lt;=50000000,L9,IF((sd_se+sd_subp+sd_sub)&lt;=250000000,L10,IF((sd_se+sd_subp+sd_sub)&lt;=500000000,L11,IF((sd_se+sd_subp+sd_sub)&lt;1000000000,L12,"Erro"))))</f>
        <v>0</v>
      </c>
    </row>
    <row r="20" spans="1:8" x14ac:dyDescent="0.3">
      <c r="A20" s="43" t="s">
        <v>489</v>
      </c>
      <c r="B20" s="43" t="s">
        <v>451</v>
      </c>
      <c r="C20" s="44" t="s">
        <v>478</v>
      </c>
      <c r="D20" s="44" t="s">
        <v>30</v>
      </c>
      <c r="E20" s="45">
        <v>0</v>
      </c>
      <c r="F20" s="45">
        <v>0</v>
      </c>
      <c r="G20" s="49">
        <v>0</v>
      </c>
      <c r="H20" s="47">
        <v>1000</v>
      </c>
    </row>
    <row r="21" spans="1:8" x14ac:dyDescent="0.3">
      <c r="A21" s="43" t="s">
        <v>12</v>
      </c>
      <c r="B21" s="43" t="s">
        <v>51</v>
      </c>
      <c r="C21" s="44" t="s">
        <v>475</v>
      </c>
      <c r="D21" s="44" t="s">
        <v>30</v>
      </c>
      <c r="E21" s="45">
        <v>0</v>
      </c>
      <c r="F21" s="45">
        <v>0</v>
      </c>
      <c r="G21" s="49">
        <v>0.03</v>
      </c>
      <c r="H21" s="47">
        <v>0</v>
      </c>
    </row>
    <row r="22" spans="1:8" x14ac:dyDescent="0.3">
      <c r="A22" s="43" t="s">
        <v>435</v>
      </c>
      <c r="B22" s="43" t="s">
        <v>50</v>
      </c>
      <c r="C22" s="44" t="s">
        <v>475</v>
      </c>
      <c r="D22" s="44" t="s">
        <v>30</v>
      </c>
      <c r="E22" s="45">
        <v>0</v>
      </c>
      <c r="F22" s="45">
        <v>0</v>
      </c>
      <c r="G22" s="49">
        <v>0</v>
      </c>
      <c r="H22" s="47">
        <f>5000/(1-16.33%)</f>
        <v>5975.8575355563526</v>
      </c>
    </row>
    <row r="23" spans="1:8" x14ac:dyDescent="0.3">
      <c r="A23" s="43" t="s">
        <v>11</v>
      </c>
      <c r="B23" s="43" t="s">
        <v>50</v>
      </c>
      <c r="C23" s="44" t="str">
        <f>IF(título="CRI","ANUAL","MeNSAL")</f>
        <v>ANUAL</v>
      </c>
      <c r="D23" s="44" t="s">
        <v>30</v>
      </c>
      <c r="E23" s="45">
        <v>0</v>
      </c>
      <c r="F23" s="45">
        <v>0</v>
      </c>
      <c r="G23" s="49">
        <v>0</v>
      </c>
      <c r="H23" s="47">
        <f>IF(título="CRI",3000/(1-16.33%),1000/(1-16.33%))</f>
        <v>3585.5145213338114</v>
      </c>
    </row>
    <row r="24" spans="1:8" x14ac:dyDescent="0.3">
      <c r="A24" s="43" t="s">
        <v>436</v>
      </c>
      <c r="B24" s="43" t="s">
        <v>39</v>
      </c>
      <c r="C24" s="44" t="s">
        <v>475</v>
      </c>
      <c r="D24" s="44" t="s">
        <v>30</v>
      </c>
      <c r="E24" s="45">
        <v>722.4</v>
      </c>
      <c r="F24" s="45">
        <v>283291.09999999998</v>
      </c>
      <c r="G24" s="49">
        <v>5.0000000000000001E-4</v>
      </c>
      <c r="H24" s="47">
        <v>0</v>
      </c>
    </row>
    <row r="25" spans="1:8" x14ac:dyDescent="0.3">
      <c r="A25" s="43" t="s">
        <v>450</v>
      </c>
      <c r="B25" s="43" t="s">
        <v>13</v>
      </c>
      <c r="C25" s="44" t="s">
        <v>478</v>
      </c>
      <c r="D25" s="44" t="s">
        <v>30</v>
      </c>
      <c r="E25" s="45">
        <v>0</v>
      </c>
      <c r="F25" s="45">
        <v>0</v>
      </c>
      <c r="G25" s="49">
        <v>0</v>
      </c>
      <c r="H25" s="47">
        <v>300</v>
      </c>
    </row>
    <row r="26" spans="1:8" x14ac:dyDescent="0.3">
      <c r="A26" s="2" t="s">
        <v>472</v>
      </c>
      <c r="B26" s="43" t="s">
        <v>13</v>
      </c>
      <c r="C26" s="44" t="s">
        <v>475</v>
      </c>
      <c r="D26" s="44" t="s">
        <v>30</v>
      </c>
      <c r="E26" s="45">
        <v>0</v>
      </c>
      <c r="F26" s="45">
        <v>0</v>
      </c>
      <c r="G26" s="49">
        <v>0</v>
      </c>
      <c r="H26" s="47">
        <v>2500</v>
      </c>
    </row>
    <row r="27" spans="1:8" x14ac:dyDescent="0.3">
      <c r="A27" s="43" t="s">
        <v>14</v>
      </c>
      <c r="B27" s="43" t="s">
        <v>14</v>
      </c>
      <c r="C27" s="44" t="s">
        <v>523</v>
      </c>
      <c r="D27" s="44" t="s">
        <v>30</v>
      </c>
      <c r="E27" s="45">
        <v>0</v>
      </c>
      <c r="F27" s="45">
        <v>0</v>
      </c>
      <c r="G27" s="49">
        <v>0</v>
      </c>
      <c r="H27" s="47">
        <f>4000/(1-16.33%)</f>
        <v>4780.6860284450822</v>
      </c>
    </row>
    <row r="28" spans="1:8" x14ac:dyDescent="0.3">
      <c r="A28" s="2" t="s">
        <v>442</v>
      </c>
      <c r="B28" s="43" t="s">
        <v>452</v>
      </c>
      <c r="C28" s="44" t="s">
        <v>475</v>
      </c>
      <c r="D28" s="44" t="s">
        <v>30</v>
      </c>
      <c r="E28" s="45">
        <v>0</v>
      </c>
      <c r="F28" s="45">
        <v>0</v>
      </c>
      <c r="G28" s="49">
        <v>0</v>
      </c>
      <c r="H28" s="47">
        <v>50000</v>
      </c>
    </row>
    <row r="29" spans="1:8" x14ac:dyDescent="0.3">
      <c r="A29" s="43" t="s">
        <v>440</v>
      </c>
      <c r="B29" s="43" t="s">
        <v>15</v>
      </c>
      <c r="C29" s="44" t="s">
        <v>475</v>
      </c>
      <c r="D29" s="44" t="s">
        <v>30</v>
      </c>
      <c r="E29" s="45">
        <v>0</v>
      </c>
      <c r="F29" s="45">
        <v>0</v>
      </c>
      <c r="G29" s="49">
        <v>0</v>
      </c>
      <c r="H29" s="47">
        <v>35000</v>
      </c>
    </row>
    <row r="30" spans="1:8" x14ac:dyDescent="0.3">
      <c r="A30" s="43" t="s">
        <v>456</v>
      </c>
      <c r="B30" s="43" t="s">
        <v>15</v>
      </c>
      <c r="C30" s="44" t="s">
        <v>477</v>
      </c>
      <c r="D30" s="44" t="s">
        <v>30</v>
      </c>
      <c r="E30" s="45">
        <v>0</v>
      </c>
      <c r="F30" s="45">
        <v>0</v>
      </c>
      <c r="G30" s="49">
        <v>0</v>
      </c>
      <c r="H30" s="47">
        <v>15000</v>
      </c>
    </row>
    <row r="31" spans="1:8" x14ac:dyDescent="0.3">
      <c r="A31" s="43" t="s">
        <v>38</v>
      </c>
      <c r="B31" s="43" t="s">
        <v>449</v>
      </c>
      <c r="C31" s="44" t="s">
        <v>475</v>
      </c>
      <c r="D31" s="44" t="s">
        <v>30</v>
      </c>
      <c r="E31" s="45">
        <v>0</v>
      </c>
      <c r="F31" s="45">
        <v>0</v>
      </c>
      <c r="G31" s="49">
        <v>0</v>
      </c>
      <c r="H31" s="47">
        <v>200000</v>
      </c>
    </row>
    <row r="32" spans="1:8" x14ac:dyDescent="0.3">
      <c r="A32" s="43" t="s">
        <v>48</v>
      </c>
      <c r="B32" s="43" t="s">
        <v>449</v>
      </c>
      <c r="C32" s="44" t="s">
        <v>475</v>
      </c>
      <c r="D32" s="44" t="s">
        <v>30</v>
      </c>
      <c r="E32" s="45">
        <v>0</v>
      </c>
      <c r="F32" s="45">
        <v>0</v>
      </c>
      <c r="G32" s="49">
        <v>0.03</v>
      </c>
      <c r="H32" s="47">
        <v>0</v>
      </c>
    </row>
    <row r="33" spans="1:8" x14ac:dyDescent="0.3">
      <c r="A33" s="43" t="s">
        <v>439</v>
      </c>
      <c r="B33" s="43" t="s">
        <v>449</v>
      </c>
      <c r="C33" s="44" t="s">
        <v>478</v>
      </c>
      <c r="D33" s="44" t="s">
        <v>30</v>
      </c>
      <c r="E33" s="45">
        <v>0</v>
      </c>
      <c r="F33" s="45">
        <v>0</v>
      </c>
      <c r="G33" s="49">
        <v>0</v>
      </c>
      <c r="H33" s="47">
        <v>3000</v>
      </c>
    </row>
    <row r="34" spans="1:8" x14ac:dyDescent="0.3">
      <c r="A34" s="43" t="s">
        <v>525</v>
      </c>
      <c r="B34" s="43" t="s">
        <v>525</v>
      </c>
      <c r="C34" s="44" t="s">
        <v>526</v>
      </c>
      <c r="D34" s="44" t="s">
        <v>30</v>
      </c>
      <c r="E34" s="45">
        <v>0</v>
      </c>
      <c r="F34" s="45">
        <v>0</v>
      </c>
      <c r="G34" s="49">
        <v>0</v>
      </c>
      <c r="H34" s="47">
        <v>30</v>
      </c>
    </row>
    <row r="35" spans="1:8" x14ac:dyDescent="0.3">
      <c r="A35" s="43" t="s">
        <v>527</v>
      </c>
      <c r="B35" s="43" t="s">
        <v>528</v>
      </c>
      <c r="C35" s="44" t="s">
        <v>475</v>
      </c>
      <c r="D35" s="44" t="s">
        <v>30</v>
      </c>
      <c r="E35" s="45">
        <f>50000/(1-11.15%)</f>
        <v>56274.620146314017</v>
      </c>
      <c r="F35" s="45">
        <v>0</v>
      </c>
      <c r="G35" s="49">
        <v>3.0000000000000001E-3</v>
      </c>
      <c r="H35" s="47">
        <v>0</v>
      </c>
    </row>
  </sheetData>
  <autoFilter ref="A1:H33"/>
  <sortState ref="A2:B33">
    <sortCondition ref="B2:B33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41</vt:i4>
      </vt:variant>
    </vt:vector>
  </HeadingPairs>
  <TitlesOfParts>
    <vt:vector size="51" baseType="lpstr">
      <vt:lpstr>Resumo Folheto</vt:lpstr>
      <vt:lpstr>TSHEET</vt:lpstr>
      <vt:lpstr>CUSTOS OP</vt:lpstr>
      <vt:lpstr>CAPA</vt:lpstr>
      <vt:lpstr>ESTRUTURA</vt:lpstr>
      <vt:lpstr>CUSTOS</vt:lpstr>
      <vt:lpstr>ANEXO</vt:lpstr>
      <vt:lpstr>INAD</vt:lpstr>
      <vt:lpstr>bd</vt:lpstr>
      <vt:lpstr>Tabela</vt:lpstr>
      <vt:lpstr>allin</vt:lpstr>
      <vt:lpstr>base_calc</vt:lpstr>
      <vt:lpstr>carência_se</vt:lpstr>
      <vt:lpstr>carência_sub</vt:lpstr>
      <vt:lpstr>carência_subp</vt:lpstr>
      <vt:lpstr>def_fluxo</vt:lpstr>
      <vt:lpstr>def_pgto</vt:lpstr>
      <vt:lpstr>dt_aniversário</vt:lpstr>
      <vt:lpstr>dt_emissão</vt:lpstr>
      <vt:lpstr>dt_pagamento</vt:lpstr>
      <vt:lpstr>dt_vencimento</vt:lpstr>
      <vt:lpstr>bd!ExibeSerie.aspx?serid_37796_module_M_12</vt:lpstr>
      <vt:lpstr>holiday</vt:lpstr>
      <vt:lpstr>icvm</vt:lpstr>
      <vt:lpstr>nm_elegíveis</vt:lpstr>
      <vt:lpstr>nm_séries</vt:lpstr>
      <vt:lpstr>op_tipo</vt:lpstr>
      <vt:lpstr>per_se</vt:lpstr>
      <vt:lpstr>per_sub</vt:lpstr>
      <vt:lpstr>per_subp</vt:lpstr>
      <vt:lpstr>pmt_se</vt:lpstr>
      <vt:lpstr>pmt_sub</vt:lpstr>
      <vt:lpstr>pmt_subp</vt:lpstr>
      <vt:lpstr>prazo_op</vt:lpstr>
      <vt:lpstr>prazo_se</vt:lpstr>
      <vt:lpstr>prazo_sub</vt:lpstr>
      <vt:lpstr>prazo_subp</vt:lpstr>
      <vt:lpstr>sd_lastro1</vt:lpstr>
      <vt:lpstr>sd_lastro2</vt:lpstr>
      <vt:lpstr>sd_over</vt:lpstr>
      <vt:lpstr>sd_over2</vt:lpstr>
      <vt:lpstr>sd_se</vt:lpstr>
      <vt:lpstr>sd_sub</vt:lpstr>
      <vt:lpstr>sd_subp</vt:lpstr>
      <vt:lpstr>título</vt:lpstr>
      <vt:lpstr>tx_lastro</vt:lpstr>
      <vt:lpstr>tx_over</vt:lpstr>
      <vt:lpstr>tx_se</vt:lpstr>
      <vt:lpstr>tx_se2</vt:lpstr>
      <vt:lpstr>tx_sub</vt:lpstr>
      <vt:lpstr>tx_subp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Barbosa</dc:creator>
  <cp:lastModifiedBy>Usuário</cp:lastModifiedBy>
  <cp:lastPrinted>2017-03-06T14:30:44Z</cp:lastPrinted>
  <dcterms:created xsi:type="dcterms:W3CDTF">2014-12-16T13:02:12Z</dcterms:created>
  <dcterms:modified xsi:type="dcterms:W3CDTF">2017-08-17T17:23:57Z</dcterms:modified>
</cp:coreProperties>
</file>